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iesgo\Documents\Codex\2026-09-08\en-x20\outputs\simulador\"/>
    </mc:Choice>
  </mc:AlternateContent>
  <xr:revisionPtr revIDLastSave="0" documentId="13_ncr:1_{E80EE3DF-4A0E-4571-BD84-9CF8D1B2951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o" sheetId="1" r:id="rId1"/>
    <sheet name="Simulador" sheetId="2" r:id="rId2"/>
    <sheet name="Catalogo" sheetId="3" r:id="rId3"/>
    <sheet name="Cruce" sheetId="4" r:id="rId4"/>
    <sheet name="Trelew" sheetId="5" r:id="rId5"/>
    <sheet name="Madry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L215" i="6"/>
  <c r="B215" i="6"/>
  <c r="C215" i="6" s="1"/>
  <c r="L214" i="6"/>
  <c r="C214" i="6"/>
  <c r="B214" i="6"/>
  <c r="B213" i="6"/>
  <c r="C213" i="6" s="1"/>
  <c r="B212" i="6"/>
  <c r="B211" i="6"/>
  <c r="C210" i="6"/>
  <c r="B210" i="6"/>
  <c r="B209" i="6"/>
  <c r="C208" i="6"/>
  <c r="B208" i="6"/>
  <c r="B207" i="6"/>
  <c r="C207" i="6" s="1"/>
  <c r="C206" i="6"/>
  <c r="B206" i="6"/>
  <c r="B205" i="6"/>
  <c r="C205" i="6" s="1"/>
  <c r="B204" i="6"/>
  <c r="B203" i="6"/>
  <c r="C202" i="6"/>
  <c r="B202" i="6"/>
  <c r="B201" i="6"/>
  <c r="C201" i="6" s="1"/>
  <c r="C200" i="6"/>
  <c r="B200" i="6"/>
  <c r="B199" i="6"/>
  <c r="C199" i="6" s="1"/>
  <c r="C198" i="6"/>
  <c r="B198" i="6"/>
  <c r="B197" i="6"/>
  <c r="C196" i="6"/>
  <c r="B196" i="6"/>
  <c r="B195" i="6"/>
  <c r="C195" i="6" s="1"/>
  <c r="C194" i="6"/>
  <c r="B194" i="6"/>
  <c r="B193" i="6"/>
  <c r="C193" i="6" s="1"/>
  <c r="C192" i="6"/>
  <c r="B192" i="6"/>
  <c r="B191" i="6"/>
  <c r="C191" i="6" s="1"/>
  <c r="C190" i="6"/>
  <c r="B190" i="6"/>
  <c r="B189" i="6"/>
  <c r="C188" i="6"/>
  <c r="B188" i="6"/>
  <c r="B187" i="6"/>
  <c r="C187" i="6" s="1"/>
  <c r="C186" i="6"/>
  <c r="B186" i="6"/>
  <c r="B185" i="6"/>
  <c r="C185" i="6" s="1"/>
  <c r="C184" i="6"/>
  <c r="B184" i="6"/>
  <c r="B183" i="6"/>
  <c r="C183" i="6" s="1"/>
  <c r="C182" i="6"/>
  <c r="B182" i="6"/>
  <c r="B181" i="6"/>
  <c r="C180" i="6"/>
  <c r="B180" i="6"/>
  <c r="B179" i="6"/>
  <c r="C178" i="6"/>
  <c r="B178" i="6"/>
  <c r="B177" i="6"/>
  <c r="C176" i="6"/>
  <c r="B176" i="6"/>
  <c r="B175" i="6"/>
  <c r="C175" i="6" s="1"/>
  <c r="C174" i="6"/>
  <c r="B174" i="6"/>
  <c r="B173" i="6"/>
  <c r="C172" i="6"/>
  <c r="B172" i="6"/>
  <c r="B171" i="6"/>
  <c r="C171" i="6" s="1"/>
  <c r="C170" i="6"/>
  <c r="B170" i="6"/>
  <c r="B169" i="6"/>
  <c r="C169" i="6" s="1"/>
  <c r="C168" i="6"/>
  <c r="B168" i="6"/>
  <c r="B167" i="6"/>
  <c r="C167" i="6" s="1"/>
  <c r="C166" i="6"/>
  <c r="B166" i="6"/>
  <c r="B165" i="6"/>
  <c r="C164" i="6"/>
  <c r="B164" i="6"/>
  <c r="B163" i="6"/>
  <c r="C163" i="6" s="1"/>
  <c r="C162" i="6"/>
  <c r="B162" i="6"/>
  <c r="B161" i="6"/>
  <c r="C161" i="6" s="1"/>
  <c r="C160" i="6"/>
  <c r="B160" i="6"/>
  <c r="B159" i="6"/>
  <c r="C159" i="6" s="1"/>
  <c r="C158" i="6"/>
  <c r="B158" i="6"/>
  <c r="B157" i="6"/>
  <c r="C156" i="6"/>
  <c r="B156" i="6"/>
  <c r="B155" i="6"/>
  <c r="C155" i="6" s="1"/>
  <c r="C154" i="6"/>
  <c r="B154" i="6"/>
  <c r="B153" i="6"/>
  <c r="C153" i="6" s="1"/>
  <c r="C152" i="6"/>
  <c r="B152" i="6"/>
  <c r="B151" i="6"/>
  <c r="C151" i="6" s="1"/>
  <c r="C150" i="6"/>
  <c r="B150" i="6"/>
  <c r="B149" i="6"/>
  <c r="C149" i="6" s="1"/>
  <c r="C148" i="6"/>
  <c r="B148" i="6"/>
  <c r="B147" i="6"/>
  <c r="C146" i="6"/>
  <c r="B146" i="6"/>
  <c r="B145" i="6"/>
  <c r="C145" i="6" s="1"/>
  <c r="C144" i="6"/>
  <c r="B144" i="6"/>
  <c r="B143" i="6"/>
  <c r="C142" i="6"/>
  <c r="B142" i="6"/>
  <c r="B141" i="6"/>
  <c r="C140" i="6"/>
  <c r="B140" i="6"/>
  <c r="C139" i="6"/>
  <c r="B139" i="6"/>
  <c r="C138" i="6"/>
  <c r="B138" i="6"/>
  <c r="C137" i="6"/>
  <c r="B137" i="6"/>
  <c r="C136" i="6"/>
  <c r="B136" i="6"/>
  <c r="B135" i="6"/>
  <c r="C135" i="6" s="1"/>
  <c r="C134" i="6"/>
  <c r="B134" i="6"/>
  <c r="C133" i="6"/>
  <c r="B133" i="6"/>
  <c r="B132" i="6"/>
  <c r="C131" i="6"/>
  <c r="B131" i="6"/>
  <c r="C130" i="6"/>
  <c r="B130" i="6"/>
  <c r="B129" i="6"/>
  <c r="C129" i="6" s="1"/>
  <c r="C128" i="6"/>
  <c r="B128" i="6"/>
  <c r="C127" i="6"/>
  <c r="B127" i="6"/>
  <c r="B126" i="6"/>
  <c r="B125" i="6"/>
  <c r="B124" i="6"/>
  <c r="C123" i="6"/>
  <c r="B123" i="6"/>
  <c r="C122" i="6"/>
  <c r="B122" i="6"/>
  <c r="B121" i="6"/>
  <c r="C121" i="6" s="1"/>
  <c r="C120" i="6"/>
  <c r="B120" i="6"/>
  <c r="C119" i="6"/>
  <c r="B119" i="6"/>
  <c r="B118" i="6"/>
  <c r="B117" i="6"/>
  <c r="C116" i="6"/>
  <c r="B116" i="6"/>
  <c r="B115" i="6"/>
  <c r="C114" i="6"/>
  <c r="B114" i="6"/>
  <c r="B113" i="6"/>
  <c r="C113" i="6" s="1"/>
  <c r="C112" i="6"/>
  <c r="B112" i="6"/>
  <c r="C111" i="6"/>
  <c r="B111" i="6"/>
  <c r="B110" i="6"/>
  <c r="C109" i="6"/>
  <c r="B109" i="6"/>
  <c r="C108" i="6"/>
  <c r="B108" i="6"/>
  <c r="C107" i="6"/>
  <c r="B107" i="6"/>
  <c r="C106" i="6"/>
  <c r="B106" i="6"/>
  <c r="B105" i="6"/>
  <c r="C105" i="6" s="1"/>
  <c r="C104" i="6"/>
  <c r="B104" i="6"/>
  <c r="C103" i="6"/>
  <c r="B103" i="6"/>
  <c r="B102" i="6"/>
  <c r="C102" i="6" s="1"/>
  <c r="B101" i="6"/>
  <c r="B100" i="6"/>
  <c r="C99" i="6"/>
  <c r="B99" i="6"/>
  <c r="C98" i="6"/>
  <c r="B98" i="6"/>
  <c r="B97" i="6"/>
  <c r="C97" i="6" s="1"/>
  <c r="C96" i="6"/>
  <c r="B96" i="6"/>
  <c r="C95" i="6"/>
  <c r="B95" i="6"/>
  <c r="B94" i="6"/>
  <c r="C94" i="6" s="1"/>
  <c r="B93" i="6"/>
  <c r="B92" i="6"/>
  <c r="B91" i="6"/>
  <c r="C91" i="6" s="1"/>
  <c r="C90" i="6"/>
  <c r="B90" i="6"/>
  <c r="C89" i="6"/>
  <c r="B89" i="6"/>
  <c r="C88" i="6"/>
  <c r="B88" i="6"/>
  <c r="C87" i="6"/>
  <c r="B87" i="6"/>
  <c r="B86" i="6"/>
  <c r="C86" i="6" s="1"/>
  <c r="C85" i="6"/>
  <c r="B85" i="6"/>
  <c r="B84" i="6"/>
  <c r="C84" i="6" s="1"/>
  <c r="B83" i="6"/>
  <c r="B82" i="6"/>
  <c r="C81" i="6"/>
  <c r="B81" i="6"/>
  <c r="C80" i="6"/>
  <c r="B80" i="6"/>
  <c r="B79" i="6"/>
  <c r="B78" i="6"/>
  <c r="C77" i="6"/>
  <c r="B77" i="6"/>
  <c r="B76" i="6"/>
  <c r="C76" i="6" s="1"/>
  <c r="C75" i="6"/>
  <c r="B75" i="6"/>
  <c r="B74" i="6"/>
  <c r="C73" i="6"/>
  <c r="B73" i="6"/>
  <c r="C72" i="6"/>
  <c r="B72" i="6"/>
  <c r="B71" i="6"/>
  <c r="B70" i="6"/>
  <c r="C69" i="6"/>
  <c r="B69" i="6"/>
  <c r="B68" i="6"/>
  <c r="C68" i="6" s="1"/>
  <c r="C67" i="6"/>
  <c r="B67" i="6"/>
  <c r="B66" i="6"/>
  <c r="C65" i="6"/>
  <c r="B65" i="6"/>
  <c r="C64" i="6"/>
  <c r="B64" i="6"/>
  <c r="B63" i="6"/>
  <c r="C63" i="6" s="1"/>
  <c r="B62" i="6"/>
  <c r="B61" i="6"/>
  <c r="C61" i="6" s="1"/>
  <c r="B60" i="6"/>
  <c r="B59" i="6"/>
  <c r="C59" i="6" s="1"/>
  <c r="B58" i="6"/>
  <c r="B57" i="6"/>
  <c r="C57" i="6" s="1"/>
  <c r="C56" i="6"/>
  <c r="B56" i="6"/>
  <c r="B55" i="6"/>
  <c r="C55" i="6" s="1"/>
  <c r="C54" i="6"/>
  <c r="B54" i="6"/>
  <c r="B53" i="6"/>
  <c r="C52" i="6"/>
  <c r="B52" i="6"/>
  <c r="C51" i="6"/>
  <c r="B51" i="6"/>
  <c r="B50" i="6"/>
  <c r="B49" i="6"/>
  <c r="C48" i="6"/>
  <c r="B48" i="6"/>
  <c r="B47" i="6"/>
  <c r="C47" i="6" s="1"/>
  <c r="C46" i="6"/>
  <c r="B46" i="6"/>
  <c r="B45" i="6"/>
  <c r="C44" i="6"/>
  <c r="B44" i="6"/>
  <c r="C43" i="6"/>
  <c r="B43" i="6"/>
  <c r="B42" i="6"/>
  <c r="B41" i="6"/>
  <c r="C40" i="6"/>
  <c r="B40" i="6"/>
  <c r="B39" i="6"/>
  <c r="C39" i="6" s="1"/>
  <c r="B38" i="6"/>
  <c r="B37" i="6"/>
  <c r="B36" i="6"/>
  <c r="C36" i="6" s="1"/>
  <c r="C35" i="6"/>
  <c r="B35" i="6"/>
  <c r="C34" i="6"/>
  <c r="B34" i="6"/>
  <c r="C33" i="6"/>
  <c r="B33" i="6"/>
  <c r="B32" i="6"/>
  <c r="B31" i="6"/>
  <c r="B30" i="6"/>
  <c r="C29" i="6"/>
  <c r="B29" i="6"/>
  <c r="B28" i="6"/>
  <c r="C27" i="6"/>
  <c r="B27" i="6"/>
  <c r="C26" i="6"/>
  <c r="B26" i="6"/>
  <c r="C25" i="6"/>
  <c r="B25" i="6"/>
  <c r="B24" i="6"/>
  <c r="B23" i="6"/>
  <c r="C22" i="6"/>
  <c r="B22" i="6"/>
  <c r="B21" i="6"/>
  <c r="B20" i="6"/>
  <c r="C19" i="6"/>
  <c r="B19" i="6"/>
  <c r="C18" i="6"/>
  <c r="B18" i="6"/>
  <c r="C17" i="6"/>
  <c r="B17" i="6"/>
  <c r="B16" i="6"/>
  <c r="C16" i="6" s="1"/>
  <c r="B15" i="6"/>
  <c r="B14" i="6"/>
  <c r="C14" i="6" s="1"/>
  <c r="B13" i="6"/>
  <c r="C13" i="6" s="1"/>
  <c r="B12" i="6"/>
  <c r="C12" i="6" s="1"/>
  <c r="B11" i="6"/>
  <c r="C11" i="6" s="1"/>
  <c r="B10" i="6"/>
  <c r="C10" i="6" s="1"/>
  <c r="C9" i="6"/>
  <c r="B9" i="6"/>
  <c r="B8" i="6"/>
  <c r="B7" i="6"/>
  <c r="B6" i="6"/>
  <c r="C6" i="6" s="1"/>
  <c r="B5" i="6"/>
  <c r="C5" i="6" s="1"/>
  <c r="M204" i="5"/>
  <c r="B204" i="5"/>
  <c r="H204" i="5" s="1"/>
  <c r="M203" i="5"/>
  <c r="C203" i="5"/>
  <c r="B203" i="5"/>
  <c r="H203" i="5" s="1"/>
  <c r="I203" i="5" s="1"/>
  <c r="M202" i="5"/>
  <c r="B202" i="5"/>
  <c r="C202" i="5" s="1"/>
  <c r="M201" i="5"/>
  <c r="B201" i="5"/>
  <c r="H201" i="5" s="1"/>
  <c r="M200" i="5"/>
  <c r="B200" i="5"/>
  <c r="C200" i="5" s="1"/>
  <c r="M199" i="5"/>
  <c r="B199" i="5"/>
  <c r="H199" i="5" s="1"/>
  <c r="M198" i="5"/>
  <c r="B198" i="5"/>
  <c r="C198" i="5" s="1"/>
  <c r="B197" i="5"/>
  <c r="C196" i="5"/>
  <c r="B196" i="5"/>
  <c r="B195" i="5"/>
  <c r="C195" i="5" s="1"/>
  <c r="B194" i="5"/>
  <c r="B193" i="5"/>
  <c r="C193" i="5" s="1"/>
  <c r="B192" i="5"/>
  <c r="C192" i="5" s="1"/>
  <c r="B191" i="5"/>
  <c r="C191" i="5" s="1"/>
  <c r="B190" i="5"/>
  <c r="C190" i="5" s="1"/>
  <c r="B189" i="5"/>
  <c r="C188" i="5"/>
  <c r="B188" i="5"/>
  <c r="B187" i="5"/>
  <c r="C187" i="5" s="1"/>
  <c r="B186" i="5"/>
  <c r="B185" i="5"/>
  <c r="C185" i="5" s="1"/>
  <c r="B184" i="5"/>
  <c r="C184" i="5" s="1"/>
  <c r="B183" i="5"/>
  <c r="C183" i="5" s="1"/>
  <c r="B182" i="5"/>
  <c r="C182" i="5" s="1"/>
  <c r="B181" i="5"/>
  <c r="C180" i="5"/>
  <c r="B180" i="5"/>
  <c r="B179" i="5"/>
  <c r="C179" i="5" s="1"/>
  <c r="C178" i="5"/>
  <c r="B178" i="5"/>
  <c r="B177" i="5"/>
  <c r="C177" i="5" s="1"/>
  <c r="B176" i="5"/>
  <c r="C175" i="5"/>
  <c r="B175" i="5"/>
  <c r="B174" i="5"/>
  <c r="C174" i="5" s="1"/>
  <c r="B173" i="5"/>
  <c r="B172" i="5"/>
  <c r="C172" i="5" s="1"/>
  <c r="B171" i="5"/>
  <c r="C171" i="5" s="1"/>
  <c r="B170" i="5"/>
  <c r="C170" i="5" s="1"/>
  <c r="B169" i="5"/>
  <c r="C169" i="5" s="1"/>
  <c r="B168" i="5"/>
  <c r="B167" i="5"/>
  <c r="C167" i="5" s="1"/>
  <c r="B166" i="5"/>
  <c r="C166" i="5" s="1"/>
  <c r="B165" i="5"/>
  <c r="C165" i="5" s="1"/>
  <c r="B164" i="5"/>
  <c r="C164" i="5" s="1"/>
  <c r="C163" i="5"/>
  <c r="B163" i="5"/>
  <c r="B162" i="5"/>
  <c r="C162" i="5" s="1"/>
  <c r="B161" i="5"/>
  <c r="C161" i="5" s="1"/>
  <c r="B160" i="5"/>
  <c r="C160" i="5" s="1"/>
  <c r="C159" i="5"/>
  <c r="B159" i="5"/>
  <c r="B158" i="5"/>
  <c r="B157" i="5"/>
  <c r="C156" i="5"/>
  <c r="B156" i="5"/>
  <c r="B155" i="5"/>
  <c r="B154" i="5"/>
  <c r="C153" i="5"/>
  <c r="B153" i="5"/>
  <c r="B152" i="5"/>
  <c r="B151" i="5"/>
  <c r="C150" i="5"/>
  <c r="B150" i="5"/>
  <c r="B149" i="5"/>
  <c r="B148" i="5"/>
  <c r="B147" i="5"/>
  <c r="C146" i="5"/>
  <c r="B146" i="5"/>
  <c r="B145" i="5"/>
  <c r="C145" i="5" s="1"/>
  <c r="B144" i="5"/>
  <c r="C144" i="5" s="1"/>
  <c r="B143" i="5"/>
  <c r="B142" i="5"/>
  <c r="B141" i="5"/>
  <c r="B140" i="5"/>
  <c r="C140" i="5" s="1"/>
  <c r="B139" i="5"/>
  <c r="B138" i="5"/>
  <c r="C137" i="5"/>
  <c r="B137" i="5"/>
  <c r="B136" i="5"/>
  <c r="C136" i="5" s="1"/>
  <c r="B135" i="5"/>
  <c r="C134" i="5"/>
  <c r="B134" i="5"/>
  <c r="B133" i="5"/>
  <c r="B132" i="5"/>
  <c r="B131" i="5"/>
  <c r="B130" i="5"/>
  <c r="C130" i="5" s="1"/>
  <c r="C129" i="5"/>
  <c r="B129" i="5"/>
  <c r="C128" i="5"/>
  <c r="B128" i="5"/>
  <c r="B127" i="5"/>
  <c r="C127" i="5" s="1"/>
  <c r="B126" i="5"/>
  <c r="C126" i="5" s="1"/>
  <c r="C125" i="5"/>
  <c r="B125" i="5"/>
  <c r="B124" i="5"/>
  <c r="C124" i="5" s="1"/>
  <c r="B123" i="5"/>
  <c r="C123" i="5" s="1"/>
  <c r="B122" i="5"/>
  <c r="C122" i="5" s="1"/>
  <c r="B121" i="5"/>
  <c r="B120" i="5"/>
  <c r="C120" i="5" s="1"/>
  <c r="B119" i="5"/>
  <c r="C118" i="5"/>
  <c r="B118" i="5"/>
  <c r="C117" i="5"/>
  <c r="B117" i="5"/>
  <c r="B116" i="5"/>
  <c r="C116" i="5" s="1"/>
  <c r="B115" i="5"/>
  <c r="C115" i="5" s="1"/>
  <c r="B114" i="5"/>
  <c r="C114" i="5" s="1"/>
  <c r="B113" i="5"/>
  <c r="B112" i="5"/>
  <c r="C112" i="5" s="1"/>
  <c r="B111" i="5"/>
  <c r="B110" i="5"/>
  <c r="B109" i="5"/>
  <c r="C109" i="5" s="1"/>
  <c r="B108" i="5"/>
  <c r="C107" i="5"/>
  <c r="B107" i="5"/>
  <c r="B106" i="5"/>
  <c r="C106" i="5" s="1"/>
  <c r="B105" i="5"/>
  <c r="C104" i="5"/>
  <c r="B104" i="5"/>
  <c r="B103" i="5"/>
  <c r="B102" i="5"/>
  <c r="C102" i="5" s="1"/>
  <c r="B101" i="5"/>
  <c r="C101" i="5" s="1"/>
  <c r="B100" i="5"/>
  <c r="C100" i="5" s="1"/>
  <c r="C99" i="5"/>
  <c r="B99" i="5"/>
  <c r="B98" i="5"/>
  <c r="B97" i="5"/>
  <c r="C96" i="5"/>
  <c r="B96" i="5"/>
  <c r="B95" i="5"/>
  <c r="B94" i="5"/>
  <c r="C93" i="5"/>
  <c r="B93" i="5"/>
  <c r="B92" i="5"/>
  <c r="C92" i="5" s="1"/>
  <c r="B91" i="5"/>
  <c r="C91" i="5" s="1"/>
  <c r="B90" i="5"/>
  <c r="C90" i="5" s="1"/>
  <c r="B89" i="5"/>
  <c r="C88" i="5"/>
  <c r="B88" i="5"/>
  <c r="B87" i="5"/>
  <c r="B86" i="5"/>
  <c r="B85" i="5"/>
  <c r="C85" i="5" s="1"/>
  <c r="B84" i="5"/>
  <c r="C84" i="5" s="1"/>
  <c r="C83" i="5"/>
  <c r="B83" i="5"/>
  <c r="B82" i="5"/>
  <c r="C82" i="5" s="1"/>
  <c r="B81" i="5"/>
  <c r="C80" i="5"/>
  <c r="B80" i="5"/>
  <c r="B79" i="5"/>
  <c r="B78" i="5"/>
  <c r="C78" i="5" s="1"/>
  <c r="C77" i="5"/>
  <c r="B77" i="5"/>
  <c r="B76" i="5"/>
  <c r="B75" i="5"/>
  <c r="C75" i="5" s="1"/>
  <c r="B74" i="5"/>
  <c r="C74" i="5" s="1"/>
  <c r="B73" i="5"/>
  <c r="B72" i="5"/>
  <c r="C72" i="5" s="1"/>
  <c r="B71" i="5"/>
  <c r="C70" i="5"/>
  <c r="B70" i="5"/>
  <c r="C69" i="5"/>
  <c r="B69" i="5"/>
  <c r="C68" i="5"/>
  <c r="B68" i="5"/>
  <c r="C67" i="5"/>
  <c r="B67" i="5"/>
  <c r="B66" i="5"/>
  <c r="C66" i="5" s="1"/>
  <c r="B65" i="5"/>
  <c r="C64" i="5"/>
  <c r="B64" i="5"/>
  <c r="B63" i="5"/>
  <c r="C63" i="5" s="1"/>
  <c r="B62" i="5"/>
  <c r="C61" i="5"/>
  <c r="B61" i="5"/>
  <c r="C60" i="5"/>
  <c r="B60" i="5"/>
  <c r="C59" i="5"/>
  <c r="B59" i="5"/>
  <c r="B58" i="5"/>
  <c r="B57" i="5"/>
  <c r="C56" i="5"/>
  <c r="B56" i="5"/>
  <c r="B55" i="5"/>
  <c r="C55" i="5" s="1"/>
  <c r="B54" i="5"/>
  <c r="C54" i="5" s="1"/>
  <c r="B53" i="5"/>
  <c r="C52" i="5"/>
  <c r="B52" i="5"/>
  <c r="C51" i="5"/>
  <c r="B51" i="5"/>
  <c r="H50" i="5"/>
  <c r="B50" i="5"/>
  <c r="C50" i="5" s="1"/>
  <c r="B49" i="5"/>
  <c r="B48" i="5"/>
  <c r="C48" i="5" s="1"/>
  <c r="B47" i="5"/>
  <c r="C47" i="5" s="1"/>
  <c r="C46" i="5"/>
  <c r="B46" i="5"/>
  <c r="H45" i="5"/>
  <c r="B45" i="5"/>
  <c r="C45" i="5" s="1"/>
  <c r="B44" i="5"/>
  <c r="C44" i="5" s="1"/>
  <c r="B43" i="5"/>
  <c r="C43" i="5" s="1"/>
  <c r="B42" i="5"/>
  <c r="C42" i="5" s="1"/>
  <c r="B41" i="5"/>
  <c r="B40" i="5"/>
  <c r="C40" i="5" s="1"/>
  <c r="B39" i="5"/>
  <c r="C39" i="5" s="1"/>
  <c r="B38" i="5"/>
  <c r="C38" i="5" s="1"/>
  <c r="B37" i="5"/>
  <c r="C37" i="5" s="1"/>
  <c r="B36" i="5"/>
  <c r="B35" i="5"/>
  <c r="C35" i="5" s="1"/>
  <c r="B34" i="5"/>
  <c r="C33" i="5"/>
  <c r="B33" i="5"/>
  <c r="B32" i="5"/>
  <c r="C32" i="5" s="1"/>
  <c r="B31" i="5"/>
  <c r="C30" i="5"/>
  <c r="B30" i="5"/>
  <c r="B29" i="5"/>
  <c r="C29" i="5" s="1"/>
  <c r="B28" i="5"/>
  <c r="C28" i="5" s="1"/>
  <c r="B27" i="5"/>
  <c r="C27" i="5" s="1"/>
  <c r="B26" i="5"/>
  <c r="B25" i="5"/>
  <c r="C25" i="5" s="1"/>
  <c r="B24" i="5"/>
  <c r="C24" i="5" s="1"/>
  <c r="B23" i="5"/>
  <c r="B22" i="5"/>
  <c r="C22" i="5" s="1"/>
  <c r="B21" i="5"/>
  <c r="C21" i="5" s="1"/>
  <c r="C20" i="5"/>
  <c r="B20" i="5"/>
  <c r="B19" i="5"/>
  <c r="C19" i="5" s="1"/>
  <c r="B18" i="5"/>
  <c r="C17" i="5"/>
  <c r="B17" i="5"/>
  <c r="B16" i="5"/>
  <c r="C16" i="5" s="1"/>
  <c r="B15" i="5"/>
  <c r="B14" i="5"/>
  <c r="H14" i="5" s="1"/>
  <c r="B13" i="5"/>
  <c r="C13" i="5" s="1"/>
  <c r="B12" i="5"/>
  <c r="C12" i="5" s="1"/>
  <c r="B11" i="5"/>
  <c r="B10" i="5"/>
  <c r="B9" i="5"/>
  <c r="C9" i="5" s="1"/>
  <c r="B8" i="5"/>
  <c r="C8" i="5" s="1"/>
  <c r="C7" i="5"/>
  <c r="B7" i="5"/>
  <c r="B6" i="5"/>
  <c r="C6" i="5" s="1"/>
  <c r="H5" i="5"/>
  <c r="C5" i="5"/>
  <c r="B5" i="5"/>
  <c r="F14" i="4"/>
  <c r="G14" i="4" s="1"/>
  <c r="H14" i="4" s="1"/>
  <c r="E14" i="4"/>
  <c r="I13" i="4"/>
  <c r="J13" i="4" s="1"/>
  <c r="G13" i="4"/>
  <c r="H13" i="4" s="1"/>
  <c r="F13" i="4"/>
  <c r="E13" i="4"/>
  <c r="I12" i="4"/>
  <c r="J12" i="4" s="1"/>
  <c r="G12" i="4"/>
  <c r="H12" i="4" s="1"/>
  <c r="F12" i="4"/>
  <c r="E12" i="4"/>
  <c r="F11" i="4"/>
  <c r="E11" i="4"/>
  <c r="F10" i="4"/>
  <c r="E10" i="4"/>
  <c r="G9" i="4"/>
  <c r="H9" i="4" s="1"/>
  <c r="F9" i="4"/>
  <c r="I9" i="4" s="1"/>
  <c r="J9" i="4" s="1"/>
  <c r="E9" i="4"/>
  <c r="G8" i="4"/>
  <c r="H8" i="4" s="1"/>
  <c r="F8" i="4"/>
  <c r="E8" i="4"/>
  <c r="I8" i="4" s="1"/>
  <c r="J8" i="4" s="1"/>
  <c r="F7" i="4"/>
  <c r="I7" i="4" s="1"/>
  <c r="J7" i="4" s="1"/>
  <c r="E7" i="4"/>
  <c r="G6" i="4"/>
  <c r="H6" i="4" s="1"/>
  <c r="F6" i="4"/>
  <c r="E6" i="4"/>
  <c r="I6" i="4" s="1"/>
  <c r="J6" i="4" s="1"/>
  <c r="J5" i="4"/>
  <c r="I5" i="4"/>
  <c r="F5" i="4"/>
  <c r="G5" i="4" s="1"/>
  <c r="H5" i="4" s="1"/>
  <c r="E5" i="4"/>
  <c r="J905" i="3"/>
  <c r="H905" i="3"/>
  <c r="I905" i="3" s="1"/>
  <c r="J904" i="3"/>
  <c r="H904" i="3"/>
  <c r="I904" i="3" s="1"/>
  <c r="J903" i="3"/>
  <c r="I903" i="3"/>
  <c r="H903" i="3"/>
  <c r="J902" i="3"/>
  <c r="H902" i="3"/>
  <c r="I902" i="3" s="1"/>
  <c r="J901" i="3"/>
  <c r="I901" i="3"/>
  <c r="H901" i="3"/>
  <c r="J900" i="3"/>
  <c r="H900" i="3"/>
  <c r="I900" i="3" s="1"/>
  <c r="J899" i="3"/>
  <c r="I899" i="3"/>
  <c r="H899" i="3"/>
  <c r="J898" i="3"/>
  <c r="H898" i="3"/>
  <c r="I898" i="3" s="1"/>
  <c r="J897" i="3"/>
  <c r="I897" i="3"/>
  <c r="H897" i="3"/>
  <c r="J896" i="3"/>
  <c r="H896" i="3"/>
  <c r="I896" i="3" s="1"/>
  <c r="J895" i="3"/>
  <c r="H895" i="3"/>
  <c r="I895" i="3" s="1"/>
  <c r="J894" i="3"/>
  <c r="I894" i="3"/>
  <c r="H894" i="3"/>
  <c r="J893" i="3"/>
  <c r="H893" i="3"/>
  <c r="I893" i="3" s="1"/>
  <c r="J892" i="3"/>
  <c r="I892" i="3"/>
  <c r="H892" i="3"/>
  <c r="J891" i="3"/>
  <c r="I891" i="3"/>
  <c r="H891" i="3"/>
  <c r="J890" i="3"/>
  <c r="I890" i="3"/>
  <c r="H890" i="3"/>
  <c r="J889" i="3"/>
  <c r="H889" i="3"/>
  <c r="I889" i="3" s="1"/>
  <c r="J888" i="3"/>
  <c r="H888" i="3"/>
  <c r="I888" i="3" s="1"/>
  <c r="J887" i="3"/>
  <c r="I887" i="3"/>
  <c r="H887" i="3"/>
  <c r="J886" i="3"/>
  <c r="H886" i="3"/>
  <c r="I886" i="3" s="1"/>
  <c r="J885" i="3"/>
  <c r="H885" i="3"/>
  <c r="I885" i="3" s="1"/>
  <c r="J884" i="3"/>
  <c r="H884" i="3"/>
  <c r="I884" i="3" s="1"/>
  <c r="J883" i="3"/>
  <c r="I883" i="3"/>
  <c r="H883" i="3"/>
  <c r="J882" i="3"/>
  <c r="H882" i="3"/>
  <c r="I882" i="3" s="1"/>
  <c r="J881" i="3"/>
  <c r="I881" i="3"/>
  <c r="H881" i="3"/>
  <c r="J880" i="3"/>
  <c r="H880" i="3"/>
  <c r="I880" i="3" s="1"/>
  <c r="J879" i="3"/>
  <c r="H879" i="3"/>
  <c r="I879" i="3" s="1"/>
  <c r="J878" i="3"/>
  <c r="I878" i="3"/>
  <c r="H878" i="3"/>
  <c r="J877" i="3"/>
  <c r="H877" i="3"/>
  <c r="I877" i="3" s="1"/>
  <c r="J876" i="3"/>
  <c r="I876" i="3"/>
  <c r="H876" i="3"/>
  <c r="J875" i="3"/>
  <c r="I875" i="3"/>
  <c r="H875" i="3"/>
  <c r="J874" i="3"/>
  <c r="I874" i="3"/>
  <c r="H874" i="3"/>
  <c r="J873" i="3"/>
  <c r="H873" i="3"/>
  <c r="I873" i="3" s="1"/>
  <c r="J872" i="3"/>
  <c r="H872" i="3"/>
  <c r="I872" i="3" s="1"/>
  <c r="J871" i="3"/>
  <c r="I871" i="3"/>
  <c r="H871" i="3"/>
  <c r="J870" i="3"/>
  <c r="H870" i="3"/>
  <c r="I870" i="3" s="1"/>
  <c r="J869" i="3"/>
  <c r="I869" i="3"/>
  <c r="H869" i="3"/>
  <c r="J868" i="3"/>
  <c r="I868" i="3"/>
  <c r="H868" i="3"/>
  <c r="J867" i="3"/>
  <c r="I867" i="3"/>
  <c r="H867" i="3"/>
  <c r="J866" i="3"/>
  <c r="H866" i="3"/>
  <c r="I866" i="3" s="1"/>
  <c r="J865" i="3"/>
  <c r="I865" i="3"/>
  <c r="H865" i="3"/>
  <c r="J864" i="3"/>
  <c r="H864" i="3"/>
  <c r="I864" i="3" s="1"/>
  <c r="J863" i="3"/>
  <c r="H863" i="3"/>
  <c r="I863" i="3" s="1"/>
  <c r="J862" i="3"/>
  <c r="I862" i="3"/>
  <c r="H862" i="3"/>
  <c r="J861" i="3"/>
  <c r="H861" i="3"/>
  <c r="I861" i="3" s="1"/>
  <c r="J860" i="3"/>
  <c r="I860" i="3"/>
  <c r="H860" i="3"/>
  <c r="J859" i="3"/>
  <c r="I859" i="3"/>
  <c r="H859" i="3"/>
  <c r="J858" i="3"/>
  <c r="I858" i="3"/>
  <c r="H858" i="3"/>
  <c r="J857" i="3"/>
  <c r="I857" i="3"/>
  <c r="H857" i="3"/>
  <c r="J856" i="3"/>
  <c r="H856" i="3"/>
  <c r="I856" i="3" s="1"/>
  <c r="J855" i="3"/>
  <c r="I855" i="3"/>
  <c r="H855" i="3"/>
  <c r="J854" i="3"/>
  <c r="I854" i="3"/>
  <c r="H854" i="3"/>
  <c r="J853" i="3"/>
  <c r="I853" i="3"/>
  <c r="H853" i="3"/>
  <c r="J852" i="3"/>
  <c r="H852" i="3"/>
  <c r="I852" i="3" s="1"/>
  <c r="J851" i="3"/>
  <c r="I851" i="3"/>
  <c r="H851" i="3"/>
  <c r="J850" i="3"/>
  <c r="H850" i="3"/>
  <c r="I850" i="3" s="1"/>
  <c r="J849" i="3"/>
  <c r="H849" i="3"/>
  <c r="I849" i="3" s="1"/>
  <c r="J848" i="3"/>
  <c r="H848" i="3"/>
  <c r="I848" i="3" s="1"/>
  <c r="J847" i="3"/>
  <c r="H847" i="3"/>
  <c r="I847" i="3" s="1"/>
  <c r="J846" i="3"/>
  <c r="I846" i="3"/>
  <c r="H846" i="3"/>
  <c r="J845" i="3"/>
  <c r="H845" i="3"/>
  <c r="I845" i="3" s="1"/>
  <c r="J844" i="3"/>
  <c r="I844" i="3"/>
  <c r="H844" i="3"/>
  <c r="J843" i="3"/>
  <c r="I843" i="3"/>
  <c r="H843" i="3"/>
  <c r="J842" i="3"/>
  <c r="I842" i="3"/>
  <c r="H842" i="3"/>
  <c r="J841" i="3"/>
  <c r="H841" i="3"/>
  <c r="I841" i="3" s="1"/>
  <c r="J840" i="3"/>
  <c r="H840" i="3"/>
  <c r="I840" i="3" s="1"/>
  <c r="J839" i="3"/>
  <c r="I839" i="3"/>
  <c r="H839" i="3"/>
  <c r="J838" i="3"/>
  <c r="H838" i="3"/>
  <c r="I838" i="3" s="1"/>
  <c r="J837" i="3"/>
  <c r="I837" i="3"/>
  <c r="H837" i="3"/>
  <c r="J836" i="3"/>
  <c r="H836" i="3"/>
  <c r="I836" i="3" s="1"/>
  <c r="J835" i="3"/>
  <c r="I835" i="3"/>
  <c r="H835" i="3"/>
  <c r="J834" i="3"/>
  <c r="H834" i="3"/>
  <c r="I834" i="3" s="1"/>
  <c r="J833" i="3"/>
  <c r="I833" i="3"/>
  <c r="H833" i="3"/>
  <c r="J832" i="3"/>
  <c r="H832" i="3"/>
  <c r="I832" i="3" s="1"/>
  <c r="J831" i="3"/>
  <c r="H831" i="3"/>
  <c r="I831" i="3" s="1"/>
  <c r="J830" i="3"/>
  <c r="I830" i="3"/>
  <c r="H830" i="3"/>
  <c r="J829" i="3"/>
  <c r="I829" i="3"/>
  <c r="H829" i="3"/>
  <c r="J828" i="3"/>
  <c r="I828" i="3"/>
  <c r="H828" i="3"/>
  <c r="J827" i="3"/>
  <c r="I827" i="3"/>
  <c r="H827" i="3"/>
  <c r="J826" i="3"/>
  <c r="I826" i="3"/>
  <c r="H826" i="3"/>
  <c r="J825" i="3"/>
  <c r="H825" i="3"/>
  <c r="I825" i="3" s="1"/>
  <c r="J824" i="3"/>
  <c r="H824" i="3"/>
  <c r="I824" i="3" s="1"/>
  <c r="J823" i="3"/>
  <c r="I823" i="3"/>
  <c r="H823" i="3"/>
  <c r="J822" i="3"/>
  <c r="H822" i="3"/>
  <c r="I822" i="3" s="1"/>
  <c r="J821" i="3"/>
  <c r="I821" i="3"/>
  <c r="H821" i="3"/>
  <c r="J820" i="3"/>
  <c r="H820" i="3"/>
  <c r="I820" i="3" s="1"/>
  <c r="J819" i="3"/>
  <c r="I819" i="3"/>
  <c r="H819" i="3"/>
  <c r="J818" i="3"/>
  <c r="I818" i="3"/>
  <c r="H818" i="3"/>
  <c r="J817" i="3"/>
  <c r="I817" i="3"/>
  <c r="H817" i="3"/>
  <c r="J816" i="3"/>
  <c r="H816" i="3"/>
  <c r="I816" i="3" s="1"/>
  <c r="J815" i="3"/>
  <c r="I815" i="3"/>
  <c r="H815" i="3"/>
  <c r="J814" i="3"/>
  <c r="I814" i="3"/>
  <c r="H814" i="3"/>
  <c r="J813" i="3"/>
  <c r="H813" i="3"/>
  <c r="I813" i="3" s="1"/>
  <c r="J812" i="3"/>
  <c r="I812" i="3"/>
  <c r="H812" i="3"/>
  <c r="J811" i="3"/>
  <c r="I811" i="3"/>
  <c r="H811" i="3"/>
  <c r="J810" i="3"/>
  <c r="I810" i="3"/>
  <c r="H810" i="3"/>
  <c r="J809" i="3"/>
  <c r="H809" i="3"/>
  <c r="I809" i="3" s="1"/>
  <c r="J808" i="3"/>
  <c r="H808" i="3"/>
  <c r="I808" i="3" s="1"/>
  <c r="J807" i="3"/>
  <c r="H807" i="3"/>
  <c r="I807" i="3" s="1"/>
  <c r="J806" i="3"/>
  <c r="H806" i="3"/>
  <c r="I806" i="3" s="1"/>
  <c r="J805" i="3"/>
  <c r="I805" i="3"/>
  <c r="H805" i="3"/>
  <c r="J804" i="3"/>
  <c r="H804" i="3"/>
  <c r="I804" i="3" s="1"/>
  <c r="J803" i="3"/>
  <c r="I803" i="3"/>
  <c r="H803" i="3"/>
  <c r="J802" i="3"/>
  <c r="H802" i="3"/>
  <c r="I802" i="3" s="1"/>
  <c r="J801" i="3"/>
  <c r="I801" i="3"/>
  <c r="H801" i="3"/>
  <c r="J800" i="3"/>
  <c r="H800" i="3"/>
  <c r="I800" i="3" s="1"/>
  <c r="J799" i="3"/>
  <c r="H799" i="3"/>
  <c r="I799" i="3" s="1"/>
  <c r="J798" i="3"/>
  <c r="I798" i="3"/>
  <c r="H798" i="3"/>
  <c r="J797" i="3"/>
  <c r="H797" i="3"/>
  <c r="I797" i="3" s="1"/>
  <c r="J796" i="3"/>
  <c r="H796" i="3"/>
  <c r="I796" i="3" s="1"/>
  <c r="J795" i="3"/>
  <c r="I795" i="3"/>
  <c r="H795" i="3"/>
  <c r="J794" i="3"/>
  <c r="I794" i="3"/>
  <c r="H794" i="3"/>
  <c r="J793" i="3"/>
  <c r="H793" i="3"/>
  <c r="I793" i="3" s="1"/>
  <c r="J792" i="3"/>
  <c r="H792" i="3"/>
  <c r="I792" i="3" s="1"/>
  <c r="J791" i="3"/>
  <c r="I791" i="3"/>
  <c r="H791" i="3"/>
  <c r="J790" i="3"/>
  <c r="H790" i="3"/>
  <c r="I790" i="3" s="1"/>
  <c r="J789" i="3"/>
  <c r="I789" i="3"/>
  <c r="H789" i="3"/>
  <c r="J788" i="3"/>
  <c r="H788" i="3"/>
  <c r="I788" i="3" s="1"/>
  <c r="J787" i="3"/>
  <c r="I787" i="3"/>
  <c r="H787" i="3"/>
  <c r="J786" i="3"/>
  <c r="H786" i="3"/>
  <c r="I786" i="3" s="1"/>
  <c r="J785" i="3"/>
  <c r="I785" i="3"/>
  <c r="H785" i="3"/>
  <c r="J784" i="3"/>
  <c r="H784" i="3"/>
  <c r="I784" i="3" s="1"/>
  <c r="J783" i="3"/>
  <c r="H783" i="3"/>
  <c r="I783" i="3" s="1"/>
  <c r="J782" i="3"/>
  <c r="I782" i="3"/>
  <c r="H782" i="3"/>
  <c r="J781" i="3"/>
  <c r="H781" i="3"/>
  <c r="I781" i="3" s="1"/>
  <c r="J780" i="3"/>
  <c r="I780" i="3"/>
  <c r="H780" i="3"/>
  <c r="J779" i="3"/>
  <c r="I779" i="3"/>
  <c r="H779" i="3"/>
  <c r="J778" i="3"/>
  <c r="I778" i="3"/>
  <c r="H778" i="3"/>
  <c r="J777" i="3"/>
  <c r="H777" i="3"/>
  <c r="I777" i="3" s="1"/>
  <c r="J776" i="3"/>
  <c r="H776" i="3"/>
  <c r="I776" i="3" s="1"/>
  <c r="J775" i="3"/>
  <c r="I775" i="3"/>
  <c r="H775" i="3"/>
  <c r="J774" i="3"/>
  <c r="H774" i="3"/>
  <c r="I774" i="3" s="1"/>
  <c r="J773" i="3"/>
  <c r="I773" i="3"/>
  <c r="H773" i="3"/>
  <c r="J772" i="3"/>
  <c r="H772" i="3"/>
  <c r="I772" i="3" s="1"/>
  <c r="J771" i="3"/>
  <c r="I771" i="3"/>
  <c r="H771" i="3"/>
  <c r="J770" i="3"/>
  <c r="H770" i="3"/>
  <c r="I770" i="3" s="1"/>
  <c r="J769" i="3"/>
  <c r="I769" i="3"/>
  <c r="H769" i="3"/>
  <c r="J768" i="3"/>
  <c r="H768" i="3"/>
  <c r="I768" i="3" s="1"/>
  <c r="J767" i="3"/>
  <c r="H767" i="3"/>
  <c r="I767" i="3" s="1"/>
  <c r="J766" i="3"/>
  <c r="I766" i="3"/>
  <c r="H766" i="3"/>
  <c r="J765" i="3"/>
  <c r="H765" i="3"/>
  <c r="I765" i="3" s="1"/>
  <c r="J764" i="3"/>
  <c r="I764" i="3"/>
  <c r="H764" i="3"/>
  <c r="J763" i="3"/>
  <c r="I763" i="3"/>
  <c r="H763" i="3"/>
  <c r="J762" i="3"/>
  <c r="I762" i="3"/>
  <c r="H762" i="3"/>
  <c r="J761" i="3"/>
  <c r="H761" i="3"/>
  <c r="I761" i="3" s="1"/>
  <c r="J760" i="3"/>
  <c r="H760" i="3"/>
  <c r="I760" i="3" s="1"/>
  <c r="J759" i="3"/>
  <c r="I759" i="3"/>
  <c r="H759" i="3"/>
  <c r="J758" i="3"/>
  <c r="H758" i="3"/>
  <c r="I758" i="3" s="1"/>
  <c r="J757" i="3"/>
  <c r="I757" i="3"/>
  <c r="H757" i="3"/>
  <c r="J756" i="3"/>
  <c r="H756" i="3"/>
  <c r="I756" i="3" s="1"/>
  <c r="J755" i="3"/>
  <c r="I755" i="3"/>
  <c r="H755" i="3"/>
  <c r="J754" i="3"/>
  <c r="I754" i="3"/>
  <c r="H754" i="3"/>
  <c r="J753" i="3"/>
  <c r="I753" i="3"/>
  <c r="H753" i="3"/>
  <c r="J752" i="3"/>
  <c r="H752" i="3"/>
  <c r="I752" i="3" s="1"/>
  <c r="J751" i="3"/>
  <c r="I751" i="3"/>
  <c r="H751" i="3"/>
  <c r="J750" i="3"/>
  <c r="I750" i="3"/>
  <c r="H750" i="3"/>
  <c r="J749" i="3"/>
  <c r="H749" i="3"/>
  <c r="I749" i="3" s="1"/>
  <c r="J748" i="3"/>
  <c r="I748" i="3"/>
  <c r="H748" i="3"/>
  <c r="J747" i="3"/>
  <c r="I747" i="3"/>
  <c r="H747" i="3"/>
  <c r="J746" i="3"/>
  <c r="I746" i="3"/>
  <c r="H746" i="3"/>
  <c r="J745" i="3"/>
  <c r="H745" i="3"/>
  <c r="I745" i="3" s="1"/>
  <c r="J744" i="3"/>
  <c r="H744" i="3"/>
  <c r="I744" i="3" s="1"/>
  <c r="J743" i="3"/>
  <c r="I743" i="3"/>
  <c r="H743" i="3"/>
  <c r="J742" i="3"/>
  <c r="H742" i="3"/>
  <c r="I742" i="3" s="1"/>
  <c r="J741" i="3"/>
  <c r="I741" i="3"/>
  <c r="H741" i="3"/>
  <c r="J740" i="3"/>
  <c r="I740" i="3"/>
  <c r="H740" i="3"/>
  <c r="J739" i="3"/>
  <c r="I739" i="3"/>
  <c r="H739" i="3"/>
  <c r="J738" i="3"/>
  <c r="H738" i="3"/>
  <c r="I738" i="3" s="1"/>
  <c r="J737" i="3"/>
  <c r="I737" i="3"/>
  <c r="H737" i="3"/>
  <c r="J736" i="3"/>
  <c r="H736" i="3"/>
  <c r="I736" i="3" s="1"/>
  <c r="J735" i="3"/>
  <c r="H735" i="3"/>
  <c r="I735" i="3" s="1"/>
  <c r="J734" i="3"/>
  <c r="I734" i="3"/>
  <c r="H734" i="3"/>
  <c r="J733" i="3"/>
  <c r="H733" i="3"/>
  <c r="I733" i="3" s="1"/>
  <c r="J732" i="3"/>
  <c r="I732" i="3"/>
  <c r="H732" i="3"/>
  <c r="J731" i="3"/>
  <c r="I731" i="3"/>
  <c r="H731" i="3"/>
  <c r="J730" i="3"/>
  <c r="I730" i="3"/>
  <c r="H730" i="3"/>
  <c r="J729" i="3"/>
  <c r="H729" i="3"/>
  <c r="I729" i="3" s="1"/>
  <c r="J728" i="3"/>
  <c r="H728" i="3"/>
  <c r="I728" i="3" s="1"/>
  <c r="J727" i="3"/>
  <c r="I727" i="3"/>
  <c r="H727" i="3"/>
  <c r="J726" i="3"/>
  <c r="H726" i="3"/>
  <c r="I726" i="3" s="1"/>
  <c r="J725" i="3"/>
  <c r="I725" i="3"/>
  <c r="H725" i="3"/>
  <c r="J724" i="3"/>
  <c r="H724" i="3"/>
  <c r="I724" i="3" s="1"/>
  <c r="J723" i="3"/>
  <c r="I723" i="3"/>
  <c r="H723" i="3"/>
  <c r="J722" i="3"/>
  <c r="H722" i="3"/>
  <c r="I722" i="3" s="1"/>
  <c r="J721" i="3"/>
  <c r="H721" i="3"/>
  <c r="I721" i="3" s="1"/>
  <c r="J720" i="3"/>
  <c r="H720" i="3"/>
  <c r="I720" i="3" s="1"/>
  <c r="J719" i="3"/>
  <c r="H719" i="3"/>
  <c r="I719" i="3" s="1"/>
  <c r="J718" i="3"/>
  <c r="I718" i="3"/>
  <c r="H718" i="3"/>
  <c r="J717" i="3"/>
  <c r="H717" i="3"/>
  <c r="I717" i="3" s="1"/>
  <c r="J716" i="3"/>
  <c r="I716" i="3"/>
  <c r="H716" i="3"/>
  <c r="J715" i="3"/>
  <c r="I715" i="3"/>
  <c r="H715" i="3"/>
  <c r="J714" i="3"/>
  <c r="I714" i="3"/>
  <c r="H714" i="3"/>
  <c r="J713" i="3"/>
  <c r="H713" i="3"/>
  <c r="I713" i="3" s="1"/>
  <c r="J712" i="3"/>
  <c r="H712" i="3"/>
  <c r="I712" i="3" s="1"/>
  <c r="J711" i="3"/>
  <c r="I711" i="3"/>
  <c r="H711" i="3"/>
  <c r="J710" i="3"/>
  <c r="H710" i="3"/>
  <c r="I710" i="3" s="1"/>
  <c r="J709" i="3"/>
  <c r="I709" i="3"/>
  <c r="H709" i="3"/>
  <c r="J708" i="3"/>
  <c r="H708" i="3"/>
  <c r="I708" i="3" s="1"/>
  <c r="J707" i="3"/>
  <c r="I707" i="3"/>
  <c r="H707" i="3"/>
  <c r="J706" i="3"/>
  <c r="H706" i="3"/>
  <c r="I706" i="3" s="1"/>
  <c r="J705" i="3"/>
  <c r="I705" i="3"/>
  <c r="H705" i="3"/>
  <c r="J704" i="3"/>
  <c r="H704" i="3"/>
  <c r="I704" i="3" s="1"/>
  <c r="J703" i="3"/>
  <c r="H703" i="3"/>
  <c r="I703" i="3" s="1"/>
  <c r="J702" i="3"/>
  <c r="I702" i="3"/>
  <c r="H702" i="3"/>
  <c r="J701" i="3"/>
  <c r="I701" i="3"/>
  <c r="H701" i="3"/>
  <c r="J700" i="3"/>
  <c r="I700" i="3"/>
  <c r="H700" i="3"/>
  <c r="J699" i="3"/>
  <c r="I699" i="3"/>
  <c r="H699" i="3"/>
  <c r="J698" i="3"/>
  <c r="I698" i="3"/>
  <c r="H698" i="3"/>
  <c r="J697" i="3"/>
  <c r="H697" i="3"/>
  <c r="I697" i="3" s="1"/>
  <c r="J696" i="3"/>
  <c r="H696" i="3"/>
  <c r="I696" i="3" s="1"/>
  <c r="J695" i="3"/>
  <c r="I695" i="3"/>
  <c r="H695" i="3"/>
  <c r="J694" i="3"/>
  <c r="H694" i="3"/>
  <c r="I694" i="3" s="1"/>
  <c r="J693" i="3"/>
  <c r="I693" i="3"/>
  <c r="H693" i="3"/>
  <c r="J692" i="3"/>
  <c r="H692" i="3"/>
  <c r="I692" i="3" s="1"/>
  <c r="J691" i="3"/>
  <c r="I691" i="3"/>
  <c r="H691" i="3"/>
  <c r="J690" i="3"/>
  <c r="I690" i="3"/>
  <c r="H690" i="3"/>
  <c r="J689" i="3"/>
  <c r="I689" i="3"/>
  <c r="H689" i="3"/>
  <c r="J688" i="3"/>
  <c r="H688" i="3"/>
  <c r="I688" i="3" s="1"/>
  <c r="J687" i="3"/>
  <c r="I687" i="3"/>
  <c r="H687" i="3"/>
  <c r="J686" i="3"/>
  <c r="I686" i="3"/>
  <c r="H686" i="3"/>
  <c r="J685" i="3"/>
  <c r="H685" i="3"/>
  <c r="I685" i="3" s="1"/>
  <c r="J684" i="3"/>
  <c r="I684" i="3"/>
  <c r="H684" i="3"/>
  <c r="J683" i="3"/>
  <c r="I683" i="3"/>
  <c r="H683" i="3"/>
  <c r="J682" i="3"/>
  <c r="H682" i="3"/>
  <c r="I682" i="3" s="1"/>
  <c r="J681" i="3"/>
  <c r="H681" i="3"/>
  <c r="I681" i="3" s="1"/>
  <c r="J680" i="3"/>
  <c r="H680" i="3"/>
  <c r="I680" i="3" s="1"/>
  <c r="J679" i="3"/>
  <c r="H679" i="3"/>
  <c r="I679" i="3" s="1"/>
  <c r="J678" i="3"/>
  <c r="H678" i="3"/>
  <c r="I678" i="3" s="1"/>
  <c r="J677" i="3"/>
  <c r="I677" i="3"/>
  <c r="H677" i="3"/>
  <c r="J676" i="3"/>
  <c r="H676" i="3"/>
  <c r="I676" i="3" s="1"/>
  <c r="J675" i="3"/>
  <c r="I675" i="3"/>
  <c r="H675" i="3"/>
  <c r="J674" i="3"/>
  <c r="H674" i="3"/>
  <c r="I674" i="3" s="1"/>
  <c r="J673" i="3"/>
  <c r="I673" i="3"/>
  <c r="H673" i="3"/>
  <c r="J672" i="3"/>
  <c r="H672" i="3"/>
  <c r="I672" i="3" s="1"/>
  <c r="J671" i="3"/>
  <c r="H671" i="3"/>
  <c r="I671" i="3" s="1"/>
  <c r="J670" i="3"/>
  <c r="I670" i="3"/>
  <c r="H670" i="3"/>
  <c r="J669" i="3"/>
  <c r="H669" i="3"/>
  <c r="I669" i="3" s="1"/>
  <c r="J668" i="3"/>
  <c r="H668" i="3"/>
  <c r="I668" i="3" s="1"/>
  <c r="J667" i="3"/>
  <c r="I667" i="3"/>
  <c r="H667" i="3"/>
  <c r="J666" i="3"/>
  <c r="I666" i="3"/>
  <c r="H666" i="3"/>
  <c r="J665" i="3"/>
  <c r="I665" i="3"/>
  <c r="H665" i="3"/>
  <c r="J664" i="3"/>
  <c r="H664" i="3"/>
  <c r="I664" i="3" s="1"/>
  <c r="J663" i="3"/>
  <c r="I663" i="3"/>
  <c r="H663" i="3"/>
  <c r="J662" i="3"/>
  <c r="I662" i="3"/>
  <c r="H662" i="3"/>
  <c r="J661" i="3"/>
  <c r="I661" i="3"/>
  <c r="H661" i="3"/>
  <c r="J660" i="3"/>
  <c r="H660" i="3"/>
  <c r="I660" i="3" s="1"/>
  <c r="J659" i="3"/>
  <c r="I659" i="3"/>
  <c r="H659" i="3"/>
  <c r="J658" i="3"/>
  <c r="H658" i="3"/>
  <c r="I658" i="3" s="1"/>
  <c r="J657" i="3"/>
  <c r="I657" i="3"/>
  <c r="H657" i="3"/>
  <c r="J656" i="3"/>
  <c r="H656" i="3"/>
  <c r="I656" i="3" s="1"/>
  <c r="J655" i="3"/>
  <c r="H655" i="3"/>
  <c r="I655" i="3" s="1"/>
  <c r="J654" i="3"/>
  <c r="I654" i="3"/>
  <c r="H654" i="3"/>
  <c r="J653" i="3"/>
  <c r="H653" i="3"/>
  <c r="I653" i="3" s="1"/>
  <c r="J652" i="3"/>
  <c r="I652" i="3"/>
  <c r="H652" i="3"/>
  <c r="J651" i="3"/>
  <c r="I651" i="3"/>
  <c r="H651" i="3"/>
  <c r="J650" i="3"/>
  <c r="I650" i="3"/>
  <c r="H650" i="3"/>
  <c r="J649" i="3"/>
  <c r="H649" i="3"/>
  <c r="I649" i="3" s="1"/>
  <c r="J648" i="3"/>
  <c r="H648" i="3"/>
  <c r="I648" i="3" s="1"/>
  <c r="J647" i="3"/>
  <c r="I647" i="3"/>
  <c r="H647" i="3"/>
  <c r="J646" i="3"/>
  <c r="H646" i="3"/>
  <c r="I646" i="3" s="1"/>
  <c r="J645" i="3"/>
  <c r="I645" i="3"/>
  <c r="H645" i="3"/>
  <c r="J644" i="3"/>
  <c r="H644" i="3"/>
  <c r="I644" i="3" s="1"/>
  <c r="J643" i="3"/>
  <c r="I643" i="3"/>
  <c r="H643" i="3"/>
  <c r="J642" i="3"/>
  <c r="H642" i="3"/>
  <c r="I642" i="3" s="1"/>
  <c r="J641" i="3"/>
  <c r="I641" i="3"/>
  <c r="H641" i="3"/>
  <c r="J640" i="3"/>
  <c r="H640" i="3"/>
  <c r="I640" i="3" s="1"/>
  <c r="J639" i="3"/>
  <c r="H639" i="3"/>
  <c r="I639" i="3" s="1"/>
  <c r="J638" i="3"/>
  <c r="I638" i="3"/>
  <c r="H638" i="3"/>
  <c r="J637" i="3"/>
  <c r="H637" i="3"/>
  <c r="I637" i="3" s="1"/>
  <c r="J636" i="3"/>
  <c r="I636" i="3"/>
  <c r="H636" i="3"/>
  <c r="J635" i="3"/>
  <c r="I635" i="3"/>
  <c r="H635" i="3"/>
  <c r="J634" i="3"/>
  <c r="I634" i="3"/>
  <c r="H634" i="3"/>
  <c r="J633" i="3"/>
  <c r="H633" i="3"/>
  <c r="I633" i="3" s="1"/>
  <c r="J632" i="3"/>
  <c r="H632" i="3"/>
  <c r="I632" i="3" s="1"/>
  <c r="J631" i="3"/>
  <c r="I631" i="3"/>
  <c r="H631" i="3"/>
  <c r="J630" i="3"/>
  <c r="H630" i="3"/>
  <c r="I630" i="3" s="1"/>
  <c r="J629" i="3"/>
  <c r="H629" i="3"/>
  <c r="I629" i="3" s="1"/>
  <c r="J628" i="3"/>
  <c r="H628" i="3"/>
  <c r="I628" i="3" s="1"/>
  <c r="J627" i="3"/>
  <c r="I627" i="3"/>
  <c r="H627" i="3"/>
  <c r="J626" i="3"/>
  <c r="H626" i="3"/>
  <c r="I626" i="3" s="1"/>
  <c r="J625" i="3"/>
  <c r="I625" i="3"/>
  <c r="H625" i="3"/>
  <c r="J624" i="3"/>
  <c r="H624" i="3"/>
  <c r="I624" i="3" s="1"/>
  <c r="J623" i="3"/>
  <c r="H623" i="3"/>
  <c r="I623" i="3" s="1"/>
  <c r="J622" i="3"/>
  <c r="I622" i="3"/>
  <c r="H622" i="3"/>
  <c r="J621" i="3"/>
  <c r="H621" i="3"/>
  <c r="I621" i="3" s="1"/>
  <c r="J620" i="3"/>
  <c r="I620" i="3"/>
  <c r="H620" i="3"/>
  <c r="J619" i="3"/>
  <c r="I619" i="3"/>
  <c r="H619" i="3"/>
  <c r="J618" i="3"/>
  <c r="H618" i="3"/>
  <c r="I618" i="3" s="1"/>
  <c r="J617" i="3"/>
  <c r="H617" i="3"/>
  <c r="I617" i="3" s="1"/>
  <c r="J616" i="3"/>
  <c r="H616" i="3"/>
  <c r="I616" i="3" s="1"/>
  <c r="J615" i="3"/>
  <c r="I615" i="3"/>
  <c r="H615" i="3"/>
  <c r="J614" i="3"/>
  <c r="H614" i="3"/>
  <c r="I614" i="3" s="1"/>
  <c r="J613" i="3"/>
  <c r="I613" i="3"/>
  <c r="H613" i="3"/>
  <c r="J612" i="3"/>
  <c r="I612" i="3"/>
  <c r="H612" i="3"/>
  <c r="J611" i="3"/>
  <c r="I611" i="3"/>
  <c r="H611" i="3"/>
  <c r="J610" i="3"/>
  <c r="H610" i="3"/>
  <c r="I610" i="3" s="1"/>
  <c r="J609" i="3"/>
  <c r="I609" i="3"/>
  <c r="H609" i="3"/>
  <c r="J608" i="3"/>
  <c r="H608" i="3"/>
  <c r="I608" i="3" s="1"/>
  <c r="J607" i="3"/>
  <c r="H607" i="3"/>
  <c r="I607" i="3" s="1"/>
  <c r="J606" i="3"/>
  <c r="I606" i="3"/>
  <c r="H606" i="3"/>
  <c r="J605" i="3"/>
  <c r="H605" i="3"/>
  <c r="I605" i="3" s="1"/>
  <c r="J604" i="3"/>
  <c r="I604" i="3"/>
  <c r="H604" i="3"/>
  <c r="J603" i="3"/>
  <c r="I603" i="3"/>
  <c r="H603" i="3"/>
  <c r="J602" i="3"/>
  <c r="I602" i="3"/>
  <c r="H602" i="3"/>
  <c r="J601" i="3"/>
  <c r="I601" i="3"/>
  <c r="H601" i="3"/>
  <c r="J600" i="3"/>
  <c r="H600" i="3"/>
  <c r="I600" i="3" s="1"/>
  <c r="J599" i="3"/>
  <c r="I599" i="3"/>
  <c r="H599" i="3"/>
  <c r="J598" i="3"/>
  <c r="I598" i="3"/>
  <c r="H598" i="3"/>
  <c r="J597" i="3"/>
  <c r="I597" i="3"/>
  <c r="H597" i="3"/>
  <c r="J596" i="3"/>
  <c r="H596" i="3"/>
  <c r="I596" i="3" s="1"/>
  <c r="J595" i="3"/>
  <c r="I595" i="3"/>
  <c r="H595" i="3"/>
  <c r="J594" i="3"/>
  <c r="H594" i="3"/>
  <c r="I594" i="3" s="1"/>
  <c r="J593" i="3"/>
  <c r="H593" i="3"/>
  <c r="I593" i="3" s="1"/>
  <c r="J592" i="3"/>
  <c r="H592" i="3"/>
  <c r="I592" i="3" s="1"/>
  <c r="J591" i="3"/>
  <c r="H591" i="3"/>
  <c r="I591" i="3" s="1"/>
  <c r="J590" i="3"/>
  <c r="H590" i="3"/>
  <c r="I590" i="3" s="1"/>
  <c r="J589" i="3"/>
  <c r="H589" i="3"/>
  <c r="I589" i="3" s="1"/>
  <c r="J588" i="3"/>
  <c r="I588" i="3"/>
  <c r="H588" i="3"/>
  <c r="J587" i="3"/>
  <c r="I587" i="3"/>
  <c r="H587" i="3"/>
  <c r="J586" i="3"/>
  <c r="I586" i="3"/>
  <c r="H586" i="3"/>
  <c r="J585" i="3"/>
  <c r="H585" i="3"/>
  <c r="I585" i="3" s="1"/>
  <c r="J584" i="3"/>
  <c r="H584" i="3"/>
  <c r="I584" i="3" s="1"/>
  <c r="J583" i="3"/>
  <c r="I583" i="3"/>
  <c r="H583" i="3"/>
  <c r="J582" i="3"/>
  <c r="H582" i="3"/>
  <c r="I582" i="3" s="1"/>
  <c r="J581" i="3"/>
  <c r="I581" i="3"/>
  <c r="H581" i="3"/>
  <c r="J580" i="3"/>
  <c r="H580" i="3"/>
  <c r="I580" i="3" s="1"/>
  <c r="J579" i="3"/>
  <c r="I579" i="3"/>
  <c r="H579" i="3"/>
  <c r="J578" i="3"/>
  <c r="H578" i="3"/>
  <c r="I578" i="3" s="1"/>
  <c r="J577" i="3"/>
  <c r="I577" i="3"/>
  <c r="H577" i="3"/>
  <c r="J576" i="3"/>
  <c r="H576" i="3"/>
  <c r="I576" i="3" s="1"/>
  <c r="J575" i="3"/>
  <c r="H575" i="3"/>
  <c r="I575" i="3" s="1"/>
  <c r="J574" i="3"/>
  <c r="I574" i="3"/>
  <c r="H574" i="3"/>
  <c r="J573" i="3"/>
  <c r="I573" i="3"/>
  <c r="H573" i="3"/>
  <c r="J572" i="3"/>
  <c r="I572" i="3"/>
  <c r="H572" i="3"/>
  <c r="J571" i="3"/>
  <c r="I571" i="3"/>
  <c r="H571" i="3"/>
  <c r="J570" i="3"/>
  <c r="I570" i="3"/>
  <c r="H570" i="3"/>
  <c r="J569" i="3"/>
  <c r="H569" i="3"/>
  <c r="I569" i="3" s="1"/>
  <c r="J568" i="3"/>
  <c r="H568" i="3"/>
  <c r="I568" i="3" s="1"/>
  <c r="J567" i="3"/>
  <c r="I567" i="3"/>
  <c r="H567" i="3"/>
  <c r="J566" i="3"/>
  <c r="H566" i="3"/>
  <c r="I566" i="3" s="1"/>
  <c r="J565" i="3"/>
  <c r="H565" i="3"/>
  <c r="I565" i="3" s="1"/>
  <c r="J564" i="3"/>
  <c r="H564" i="3"/>
  <c r="I564" i="3" s="1"/>
  <c r="J563" i="3"/>
  <c r="I563" i="3"/>
  <c r="H563" i="3"/>
  <c r="J562" i="3"/>
  <c r="H562" i="3"/>
  <c r="I562" i="3" s="1"/>
  <c r="J561" i="3"/>
  <c r="I561" i="3"/>
  <c r="H561" i="3"/>
  <c r="J560" i="3"/>
  <c r="H560" i="3"/>
  <c r="I560" i="3" s="1"/>
  <c r="J559" i="3"/>
  <c r="H559" i="3"/>
  <c r="I559" i="3" s="1"/>
  <c r="J558" i="3"/>
  <c r="I558" i="3"/>
  <c r="H558" i="3"/>
  <c r="J557" i="3"/>
  <c r="H557" i="3"/>
  <c r="I557" i="3" s="1"/>
  <c r="J556" i="3"/>
  <c r="I556" i="3"/>
  <c r="H556" i="3"/>
  <c r="J555" i="3"/>
  <c r="I555" i="3"/>
  <c r="H555" i="3"/>
  <c r="J554" i="3"/>
  <c r="I554" i="3"/>
  <c r="H554" i="3"/>
  <c r="J553" i="3"/>
  <c r="H553" i="3"/>
  <c r="I553" i="3" s="1"/>
  <c r="J552" i="3"/>
  <c r="H552" i="3"/>
  <c r="I552" i="3" s="1"/>
  <c r="J551" i="3"/>
  <c r="H551" i="3"/>
  <c r="I551" i="3" s="1"/>
  <c r="J550" i="3"/>
  <c r="H550" i="3"/>
  <c r="I550" i="3" s="1"/>
  <c r="J549" i="3"/>
  <c r="I549" i="3"/>
  <c r="H549" i="3"/>
  <c r="J548" i="3"/>
  <c r="H548" i="3"/>
  <c r="I548" i="3" s="1"/>
  <c r="J547" i="3"/>
  <c r="I547" i="3"/>
  <c r="H547" i="3"/>
  <c r="J546" i="3"/>
  <c r="H546" i="3"/>
  <c r="I546" i="3" s="1"/>
  <c r="J545" i="3"/>
  <c r="I545" i="3"/>
  <c r="H545" i="3"/>
  <c r="J544" i="3"/>
  <c r="H544" i="3"/>
  <c r="I544" i="3" s="1"/>
  <c r="J543" i="3"/>
  <c r="H543" i="3"/>
  <c r="I543" i="3" s="1"/>
  <c r="J542" i="3"/>
  <c r="I542" i="3"/>
  <c r="H542" i="3"/>
  <c r="J541" i="3"/>
  <c r="H541" i="3"/>
  <c r="I541" i="3" s="1"/>
  <c r="J540" i="3"/>
  <c r="H540" i="3"/>
  <c r="I540" i="3" s="1"/>
  <c r="J539" i="3"/>
  <c r="I539" i="3"/>
  <c r="H539" i="3"/>
  <c r="J538" i="3"/>
  <c r="I538" i="3"/>
  <c r="H538" i="3"/>
  <c r="J537" i="3"/>
  <c r="I537" i="3"/>
  <c r="H537" i="3"/>
  <c r="J536" i="3"/>
  <c r="H536" i="3"/>
  <c r="I536" i="3" s="1"/>
  <c r="J535" i="3"/>
  <c r="I535" i="3"/>
  <c r="H535" i="3"/>
  <c r="J534" i="3"/>
  <c r="I534" i="3"/>
  <c r="H534" i="3"/>
  <c r="J533" i="3"/>
  <c r="I533" i="3"/>
  <c r="H533" i="3"/>
  <c r="J532" i="3"/>
  <c r="H532" i="3"/>
  <c r="I532" i="3" s="1"/>
  <c r="J531" i="3"/>
  <c r="I531" i="3"/>
  <c r="H531" i="3"/>
  <c r="J530" i="3"/>
  <c r="H530" i="3"/>
  <c r="I530" i="3" s="1"/>
  <c r="J529" i="3"/>
  <c r="I529" i="3"/>
  <c r="H529" i="3"/>
  <c r="J528" i="3"/>
  <c r="H528" i="3"/>
  <c r="I528" i="3" s="1"/>
  <c r="J527" i="3"/>
  <c r="H527" i="3"/>
  <c r="I527" i="3" s="1"/>
  <c r="J526" i="3"/>
  <c r="I526" i="3"/>
  <c r="H526" i="3"/>
  <c r="J525" i="3"/>
  <c r="H525" i="3"/>
  <c r="I525" i="3" s="1"/>
  <c r="J524" i="3"/>
  <c r="I524" i="3"/>
  <c r="H524" i="3"/>
  <c r="J523" i="3"/>
  <c r="I523" i="3"/>
  <c r="H523" i="3"/>
  <c r="J522" i="3"/>
  <c r="I522" i="3"/>
  <c r="H522" i="3"/>
  <c r="J521" i="3"/>
  <c r="H521" i="3"/>
  <c r="I521" i="3" s="1"/>
  <c r="J520" i="3"/>
  <c r="H520" i="3"/>
  <c r="I520" i="3" s="1"/>
  <c r="J519" i="3"/>
  <c r="I519" i="3"/>
  <c r="H519" i="3"/>
  <c r="J518" i="3"/>
  <c r="H518" i="3"/>
  <c r="I518" i="3" s="1"/>
  <c r="J517" i="3"/>
  <c r="I517" i="3"/>
  <c r="H517" i="3"/>
  <c r="J516" i="3"/>
  <c r="H516" i="3"/>
  <c r="I516" i="3" s="1"/>
  <c r="J515" i="3"/>
  <c r="I515" i="3"/>
  <c r="H515" i="3"/>
  <c r="J514" i="3"/>
  <c r="H514" i="3"/>
  <c r="I514" i="3" s="1"/>
  <c r="J513" i="3"/>
  <c r="I513" i="3"/>
  <c r="H513" i="3"/>
  <c r="J512" i="3"/>
  <c r="H512" i="3"/>
  <c r="J511" i="3"/>
  <c r="H511" i="3"/>
  <c r="I511" i="3" s="1"/>
  <c r="J510" i="3"/>
  <c r="I510" i="3"/>
  <c r="H510" i="3"/>
  <c r="J509" i="3"/>
  <c r="H509" i="3"/>
  <c r="I509" i="3" s="1"/>
  <c r="J508" i="3"/>
  <c r="I508" i="3"/>
  <c r="H508" i="3"/>
  <c r="J507" i="3"/>
  <c r="I507" i="3"/>
  <c r="H507" i="3"/>
  <c r="J506" i="3"/>
  <c r="I506" i="3"/>
  <c r="H506" i="3"/>
  <c r="J505" i="3"/>
  <c r="H505" i="3"/>
  <c r="I505" i="3" s="1"/>
  <c r="J504" i="3"/>
  <c r="H504" i="3"/>
  <c r="I504" i="3" s="1"/>
  <c r="J503" i="3"/>
  <c r="I503" i="3"/>
  <c r="H503" i="3"/>
  <c r="J502" i="3"/>
  <c r="H502" i="3"/>
  <c r="J501" i="3"/>
  <c r="I501" i="3"/>
  <c r="H501" i="3"/>
  <c r="J500" i="3"/>
  <c r="H500" i="3"/>
  <c r="I500" i="3" s="1"/>
  <c r="J499" i="3"/>
  <c r="I499" i="3"/>
  <c r="H499" i="3"/>
  <c r="J498" i="3"/>
  <c r="I498" i="3"/>
  <c r="H498" i="3"/>
  <c r="J497" i="3"/>
  <c r="I497" i="3"/>
  <c r="H497" i="3"/>
  <c r="J496" i="3"/>
  <c r="H496" i="3"/>
  <c r="I496" i="3" s="1"/>
  <c r="J495" i="3"/>
  <c r="I495" i="3"/>
  <c r="H495" i="3"/>
  <c r="J494" i="3"/>
  <c r="I494" i="3"/>
  <c r="H494" i="3"/>
  <c r="J493" i="3"/>
  <c r="H493" i="3"/>
  <c r="I493" i="3" s="1"/>
  <c r="J492" i="3"/>
  <c r="I492" i="3"/>
  <c r="H492" i="3"/>
  <c r="J491" i="3"/>
  <c r="I491" i="3"/>
  <c r="H491" i="3"/>
  <c r="J490" i="3"/>
  <c r="I490" i="3"/>
  <c r="H490" i="3"/>
  <c r="J489" i="3"/>
  <c r="I489" i="3"/>
  <c r="H489" i="3"/>
  <c r="J488" i="3"/>
  <c r="H488" i="3"/>
  <c r="I488" i="3" s="1"/>
  <c r="J487" i="3"/>
  <c r="I487" i="3"/>
  <c r="H487" i="3"/>
  <c r="G73" i="6" s="1"/>
  <c r="J486" i="3"/>
  <c r="I486" i="3"/>
  <c r="H486" i="3"/>
  <c r="J485" i="3"/>
  <c r="I485" i="3"/>
  <c r="H485" i="3"/>
  <c r="J484" i="3"/>
  <c r="H484" i="3"/>
  <c r="I484" i="3" s="1"/>
  <c r="J483" i="3"/>
  <c r="I483" i="3"/>
  <c r="H483" i="3"/>
  <c r="J482" i="3"/>
  <c r="H482" i="3"/>
  <c r="J481" i="3"/>
  <c r="H481" i="3"/>
  <c r="I481" i="3" s="1"/>
  <c r="J480" i="3"/>
  <c r="H480" i="3"/>
  <c r="I480" i="3" s="1"/>
  <c r="J479" i="3"/>
  <c r="H479" i="3"/>
  <c r="I479" i="3" s="1"/>
  <c r="J478" i="3"/>
  <c r="H478" i="3"/>
  <c r="I478" i="3" s="1"/>
  <c r="J477" i="3"/>
  <c r="H477" i="3"/>
  <c r="I477" i="3" s="1"/>
  <c r="J476" i="3"/>
  <c r="H476" i="3"/>
  <c r="I476" i="3" s="1"/>
  <c r="J475" i="3"/>
  <c r="I475" i="3"/>
  <c r="H475" i="3"/>
  <c r="J474" i="3"/>
  <c r="H474" i="3"/>
  <c r="J473" i="3"/>
  <c r="I473" i="3"/>
  <c r="H473" i="3"/>
  <c r="J472" i="3"/>
  <c r="H472" i="3"/>
  <c r="J471" i="3"/>
  <c r="H471" i="3"/>
  <c r="I471" i="3" s="1"/>
  <c r="J470" i="3"/>
  <c r="I470" i="3"/>
  <c r="H470" i="3"/>
  <c r="J469" i="3"/>
  <c r="I469" i="3"/>
  <c r="H469" i="3"/>
  <c r="J468" i="3"/>
  <c r="H468" i="3"/>
  <c r="I468" i="3" s="1"/>
  <c r="J467" i="3"/>
  <c r="I467" i="3"/>
  <c r="H467" i="3"/>
  <c r="G207" i="6" s="1"/>
  <c r="J466" i="3"/>
  <c r="H466" i="3"/>
  <c r="I466" i="3" s="1"/>
  <c r="J465" i="3"/>
  <c r="H465" i="3"/>
  <c r="J464" i="3"/>
  <c r="H464" i="3"/>
  <c r="H69" i="5" s="1"/>
  <c r="J463" i="3"/>
  <c r="I463" i="3"/>
  <c r="H463" i="3"/>
  <c r="J462" i="3"/>
  <c r="I462" i="3"/>
  <c r="H462" i="3"/>
  <c r="J461" i="3"/>
  <c r="I461" i="3"/>
  <c r="H461" i="3"/>
  <c r="J460" i="3"/>
  <c r="H460" i="3"/>
  <c r="I460" i="3" s="1"/>
  <c r="J459" i="3"/>
  <c r="I459" i="3"/>
  <c r="H459" i="3"/>
  <c r="J458" i="3"/>
  <c r="H458" i="3"/>
  <c r="I458" i="3" s="1"/>
  <c r="J457" i="3"/>
  <c r="H457" i="3"/>
  <c r="G202" i="6" s="1"/>
  <c r="J456" i="3"/>
  <c r="I456" i="3"/>
  <c r="H456" i="3"/>
  <c r="J455" i="3"/>
  <c r="I455" i="3"/>
  <c r="H455" i="3"/>
  <c r="J454" i="3"/>
  <c r="H454" i="3"/>
  <c r="I454" i="3" s="1"/>
  <c r="J453" i="3"/>
  <c r="I453" i="3"/>
  <c r="H453" i="3"/>
  <c r="G171" i="6" s="1"/>
  <c r="J452" i="3"/>
  <c r="I452" i="3"/>
  <c r="H452" i="3"/>
  <c r="J451" i="3"/>
  <c r="H451" i="3"/>
  <c r="I451" i="3" s="1"/>
  <c r="J450" i="3"/>
  <c r="H450" i="3"/>
  <c r="I450" i="3" s="1"/>
  <c r="J449" i="3"/>
  <c r="I449" i="3"/>
  <c r="H449" i="3"/>
  <c r="J448" i="3"/>
  <c r="H448" i="3"/>
  <c r="J447" i="3"/>
  <c r="I447" i="3"/>
  <c r="H447" i="3"/>
  <c r="J446" i="3"/>
  <c r="H446" i="3"/>
  <c r="I446" i="3" s="1"/>
  <c r="J445" i="3"/>
  <c r="I445" i="3"/>
  <c r="H445" i="3"/>
  <c r="J444" i="3"/>
  <c r="I444" i="3"/>
  <c r="H444" i="3"/>
  <c r="J443" i="3"/>
  <c r="H443" i="3"/>
  <c r="I443" i="3" s="1"/>
  <c r="J442" i="3"/>
  <c r="H442" i="3"/>
  <c r="I442" i="3" s="1"/>
  <c r="J441" i="3"/>
  <c r="I441" i="3"/>
  <c r="H441" i="3"/>
  <c r="J440" i="3"/>
  <c r="H440" i="3"/>
  <c r="I440" i="3" s="1"/>
  <c r="J439" i="3"/>
  <c r="H439" i="3"/>
  <c r="I439" i="3" s="1"/>
  <c r="J438" i="3"/>
  <c r="I438" i="3"/>
  <c r="H438" i="3"/>
  <c r="J437" i="3"/>
  <c r="I437" i="3"/>
  <c r="H437" i="3"/>
  <c r="J436" i="3"/>
  <c r="I436" i="3"/>
  <c r="H436" i="3"/>
  <c r="J435" i="3"/>
  <c r="H435" i="3"/>
  <c r="J434" i="3"/>
  <c r="H434" i="3"/>
  <c r="I434" i="3" s="1"/>
  <c r="J433" i="3"/>
  <c r="I433" i="3"/>
  <c r="H433" i="3"/>
  <c r="J432" i="3"/>
  <c r="H432" i="3"/>
  <c r="I432" i="3" s="1"/>
  <c r="J431" i="3"/>
  <c r="I431" i="3"/>
  <c r="H431" i="3"/>
  <c r="J430" i="3"/>
  <c r="I430" i="3"/>
  <c r="H430" i="3"/>
  <c r="J429" i="3"/>
  <c r="I429" i="3"/>
  <c r="H429" i="3"/>
  <c r="J428" i="3"/>
  <c r="H428" i="3"/>
  <c r="I428" i="3" s="1"/>
  <c r="J427" i="3"/>
  <c r="I427" i="3"/>
  <c r="H427" i="3"/>
  <c r="G163" i="6" s="1"/>
  <c r="J426" i="3"/>
  <c r="H426" i="3"/>
  <c r="I426" i="3" s="1"/>
  <c r="J425" i="3"/>
  <c r="H425" i="3"/>
  <c r="G108" i="6" s="1"/>
  <c r="J424" i="3"/>
  <c r="H424" i="3"/>
  <c r="J423" i="3"/>
  <c r="I423" i="3"/>
  <c r="H423" i="3"/>
  <c r="J422" i="3"/>
  <c r="I422" i="3"/>
  <c r="H422" i="3"/>
  <c r="J421" i="3"/>
  <c r="I421" i="3"/>
  <c r="H421" i="3"/>
  <c r="J420" i="3"/>
  <c r="I420" i="3"/>
  <c r="H420" i="3"/>
  <c r="J419" i="3"/>
  <c r="I419" i="3"/>
  <c r="H419" i="3"/>
  <c r="J418" i="3"/>
  <c r="H418" i="3"/>
  <c r="I418" i="3" s="1"/>
  <c r="J417" i="3"/>
  <c r="I417" i="3"/>
  <c r="H417" i="3"/>
  <c r="J416" i="3"/>
  <c r="I416" i="3"/>
  <c r="H416" i="3"/>
  <c r="J415" i="3"/>
  <c r="H415" i="3"/>
  <c r="I415" i="3" s="1"/>
  <c r="J414" i="3"/>
  <c r="H414" i="3"/>
  <c r="J413" i="3"/>
  <c r="I413" i="3"/>
  <c r="H413" i="3"/>
  <c r="G215" i="6" s="1"/>
  <c r="J412" i="3"/>
  <c r="H412" i="3"/>
  <c r="J411" i="3"/>
  <c r="I411" i="3"/>
  <c r="H411" i="3"/>
  <c r="J410" i="3"/>
  <c r="H410" i="3"/>
  <c r="I410" i="3" s="1"/>
  <c r="J409" i="3"/>
  <c r="H409" i="3"/>
  <c r="J408" i="3"/>
  <c r="I408" i="3"/>
  <c r="H408" i="3"/>
  <c r="J407" i="3"/>
  <c r="H407" i="3"/>
  <c r="J406" i="3"/>
  <c r="I406" i="3"/>
  <c r="H406" i="3"/>
  <c r="H67" i="5" s="1"/>
  <c r="J405" i="3"/>
  <c r="I405" i="3"/>
  <c r="H405" i="3"/>
  <c r="J404" i="3"/>
  <c r="H404" i="3"/>
  <c r="I404" i="3" s="1"/>
  <c r="J403" i="3"/>
  <c r="H403" i="3"/>
  <c r="I403" i="3" s="1"/>
  <c r="J402" i="3"/>
  <c r="H402" i="3"/>
  <c r="J401" i="3"/>
  <c r="H401" i="3"/>
  <c r="J400" i="3"/>
  <c r="H400" i="3"/>
  <c r="G25" i="6" s="1"/>
  <c r="J399" i="3"/>
  <c r="H399" i="3"/>
  <c r="I399" i="3" s="1"/>
  <c r="J398" i="3"/>
  <c r="I398" i="3"/>
  <c r="H398" i="3"/>
  <c r="J397" i="3"/>
  <c r="I397" i="3"/>
  <c r="H397" i="3"/>
  <c r="J396" i="3"/>
  <c r="H396" i="3"/>
  <c r="H28" i="5" s="1"/>
  <c r="J395" i="3"/>
  <c r="I395" i="3"/>
  <c r="H395" i="3"/>
  <c r="G44" i="6" s="1"/>
  <c r="J394" i="3"/>
  <c r="H394" i="3"/>
  <c r="J393" i="3"/>
  <c r="H393" i="3"/>
  <c r="J392" i="3"/>
  <c r="I392" i="3"/>
  <c r="H392" i="3"/>
  <c r="J391" i="3"/>
  <c r="I391" i="3"/>
  <c r="H391" i="3"/>
  <c r="J390" i="3"/>
  <c r="H390" i="3"/>
  <c r="I390" i="3" s="1"/>
  <c r="J389" i="3"/>
  <c r="I389" i="3"/>
  <c r="H389" i="3"/>
  <c r="J388" i="3"/>
  <c r="H388" i="3"/>
  <c r="J387" i="3"/>
  <c r="I387" i="3"/>
  <c r="H387" i="3"/>
  <c r="J386" i="3"/>
  <c r="H386" i="3"/>
  <c r="J385" i="3"/>
  <c r="H385" i="3"/>
  <c r="I385" i="3" s="1"/>
  <c r="J384" i="3"/>
  <c r="H384" i="3"/>
  <c r="I384" i="3" s="1"/>
  <c r="J383" i="3"/>
  <c r="I383" i="3"/>
  <c r="H383" i="3"/>
  <c r="J382" i="3"/>
  <c r="H382" i="3"/>
  <c r="I382" i="3" s="1"/>
  <c r="J381" i="3"/>
  <c r="I381" i="3"/>
  <c r="H381" i="3"/>
  <c r="J380" i="3"/>
  <c r="I380" i="3"/>
  <c r="H380" i="3"/>
  <c r="J379" i="3"/>
  <c r="H379" i="3"/>
  <c r="J378" i="3"/>
  <c r="H378" i="3"/>
  <c r="J377" i="3"/>
  <c r="I377" i="3"/>
  <c r="H377" i="3"/>
  <c r="G102" i="6" s="1"/>
  <c r="J376" i="3"/>
  <c r="H376" i="3"/>
  <c r="J375" i="3"/>
  <c r="H375" i="3"/>
  <c r="J374" i="3"/>
  <c r="H374" i="3"/>
  <c r="J373" i="3"/>
  <c r="I373" i="3"/>
  <c r="H373" i="3"/>
  <c r="H12" i="5" s="1"/>
  <c r="J372" i="3"/>
  <c r="I372" i="3"/>
  <c r="H372" i="3"/>
  <c r="J371" i="3"/>
  <c r="H371" i="3"/>
  <c r="I371" i="3" s="1"/>
  <c r="J370" i="3"/>
  <c r="H370" i="3"/>
  <c r="I370" i="3" s="1"/>
  <c r="J369" i="3"/>
  <c r="I369" i="3"/>
  <c r="H369" i="3"/>
  <c r="J368" i="3"/>
  <c r="H368" i="3"/>
  <c r="I368" i="3" s="1"/>
  <c r="J367" i="3"/>
  <c r="I367" i="3"/>
  <c r="H367" i="3"/>
  <c r="J366" i="3"/>
  <c r="I366" i="3"/>
  <c r="H366" i="3"/>
  <c r="J365" i="3"/>
  <c r="I365" i="3"/>
  <c r="H365" i="3"/>
  <c r="J364" i="3"/>
  <c r="H364" i="3"/>
  <c r="I364" i="3" s="1"/>
  <c r="J363" i="3"/>
  <c r="H363" i="3"/>
  <c r="I363" i="3" s="1"/>
  <c r="J362" i="3"/>
  <c r="H362" i="3"/>
  <c r="I362" i="3" s="1"/>
  <c r="J361" i="3"/>
  <c r="H361" i="3"/>
  <c r="I361" i="3" s="1"/>
  <c r="J360" i="3"/>
  <c r="H360" i="3"/>
  <c r="I360" i="3" s="1"/>
  <c r="J359" i="3"/>
  <c r="I359" i="3"/>
  <c r="H359" i="3"/>
  <c r="J358" i="3"/>
  <c r="I358" i="3"/>
  <c r="H358" i="3"/>
  <c r="J357" i="3"/>
  <c r="H357" i="3"/>
  <c r="J356" i="3"/>
  <c r="I356" i="3"/>
  <c r="H356" i="3"/>
  <c r="J355" i="3"/>
  <c r="I355" i="3"/>
  <c r="H355" i="3"/>
  <c r="J354" i="3"/>
  <c r="H354" i="3"/>
  <c r="J353" i="3"/>
  <c r="H353" i="3"/>
  <c r="I353" i="3" s="1"/>
  <c r="J352" i="3"/>
  <c r="H352" i="3"/>
  <c r="I352" i="3" s="1"/>
  <c r="J351" i="3"/>
  <c r="I351" i="3"/>
  <c r="H351" i="3"/>
  <c r="G213" i="6" s="1"/>
  <c r="J350" i="3"/>
  <c r="I350" i="3"/>
  <c r="H350" i="3"/>
  <c r="G27" i="6" s="1"/>
  <c r="J349" i="3"/>
  <c r="H349" i="3"/>
  <c r="I349" i="3" s="1"/>
  <c r="J348" i="3"/>
  <c r="I348" i="3"/>
  <c r="H348" i="3"/>
  <c r="J347" i="3"/>
  <c r="I347" i="3"/>
  <c r="H347" i="3"/>
  <c r="J346" i="3"/>
  <c r="H346" i="3"/>
  <c r="I346" i="3" s="1"/>
  <c r="J345" i="3"/>
  <c r="H345" i="3"/>
  <c r="I345" i="3" s="1"/>
  <c r="J344" i="3"/>
  <c r="H344" i="3"/>
  <c r="I344" i="3" s="1"/>
  <c r="J343" i="3"/>
  <c r="I343" i="3"/>
  <c r="H343" i="3"/>
  <c r="J342" i="3"/>
  <c r="I342" i="3"/>
  <c r="H342" i="3"/>
  <c r="J341" i="3"/>
  <c r="H341" i="3"/>
  <c r="I341" i="3" s="1"/>
  <c r="J340" i="3"/>
  <c r="I340" i="3"/>
  <c r="H340" i="3"/>
  <c r="J339" i="3"/>
  <c r="I339" i="3"/>
  <c r="H339" i="3"/>
  <c r="J338" i="3"/>
  <c r="H338" i="3"/>
  <c r="I338" i="3" s="1"/>
  <c r="J337" i="3"/>
  <c r="H337" i="3"/>
  <c r="I337" i="3" s="1"/>
  <c r="J336" i="3"/>
  <c r="H336" i="3"/>
  <c r="I336" i="3" s="1"/>
  <c r="J335" i="3"/>
  <c r="I335" i="3"/>
  <c r="H335" i="3"/>
  <c r="J334" i="3"/>
  <c r="I334" i="3"/>
  <c r="H334" i="3"/>
  <c r="J333" i="3"/>
  <c r="H333" i="3"/>
  <c r="I333" i="3" s="1"/>
  <c r="J332" i="3"/>
  <c r="I332" i="3"/>
  <c r="H332" i="3"/>
  <c r="J331" i="3"/>
  <c r="I331" i="3"/>
  <c r="H331" i="3"/>
  <c r="J330" i="3"/>
  <c r="H330" i="3"/>
  <c r="I330" i="3" s="1"/>
  <c r="J329" i="3"/>
  <c r="H329" i="3"/>
  <c r="I329" i="3" s="1"/>
  <c r="J328" i="3"/>
  <c r="H328" i="3"/>
  <c r="I328" i="3" s="1"/>
  <c r="J327" i="3"/>
  <c r="H327" i="3"/>
  <c r="I327" i="3" s="1"/>
  <c r="J326" i="3"/>
  <c r="I326" i="3"/>
  <c r="H326" i="3"/>
  <c r="J325" i="3"/>
  <c r="H325" i="3"/>
  <c r="I325" i="3" s="1"/>
  <c r="J324" i="3"/>
  <c r="I324" i="3"/>
  <c r="H324" i="3"/>
  <c r="J323" i="3"/>
  <c r="I323" i="3"/>
  <c r="H323" i="3"/>
  <c r="J322" i="3"/>
  <c r="H322" i="3"/>
  <c r="I322" i="3" s="1"/>
  <c r="J321" i="3"/>
  <c r="H321" i="3"/>
  <c r="J320" i="3"/>
  <c r="H320" i="3"/>
  <c r="J319" i="3"/>
  <c r="H319" i="3"/>
  <c r="J318" i="3"/>
  <c r="I318" i="3"/>
  <c r="H318" i="3"/>
  <c r="J317" i="3"/>
  <c r="H317" i="3"/>
  <c r="I317" i="3" s="1"/>
  <c r="J316" i="3"/>
  <c r="I316" i="3"/>
  <c r="H316" i="3"/>
  <c r="J315" i="3"/>
  <c r="I315" i="3"/>
  <c r="H315" i="3"/>
  <c r="J314" i="3"/>
  <c r="I314" i="3"/>
  <c r="H314" i="3"/>
  <c r="J313" i="3"/>
  <c r="H313" i="3"/>
  <c r="I313" i="3" s="1"/>
  <c r="J312" i="3"/>
  <c r="H312" i="3"/>
  <c r="J311" i="3"/>
  <c r="H311" i="3"/>
  <c r="I311" i="3" s="1"/>
  <c r="J310" i="3"/>
  <c r="I310" i="3"/>
  <c r="H310" i="3"/>
  <c r="J309" i="3"/>
  <c r="H309" i="3"/>
  <c r="I309" i="3" s="1"/>
  <c r="J308" i="3"/>
  <c r="I308" i="3"/>
  <c r="H308" i="3"/>
  <c r="H56" i="5" s="1"/>
  <c r="J307" i="3"/>
  <c r="I307" i="3"/>
  <c r="H307" i="3"/>
  <c r="J306" i="3"/>
  <c r="H306" i="3"/>
  <c r="G99" i="6" s="1"/>
  <c r="J305" i="3"/>
  <c r="H305" i="3"/>
  <c r="I305" i="3" s="1"/>
  <c r="J304" i="3"/>
  <c r="H304" i="3"/>
  <c r="I304" i="3" s="1"/>
  <c r="J303" i="3"/>
  <c r="I303" i="3"/>
  <c r="H303" i="3"/>
  <c r="H115" i="5" s="1"/>
  <c r="J302" i="3"/>
  <c r="I302" i="3"/>
  <c r="H302" i="3"/>
  <c r="H48" i="5" s="1"/>
  <c r="J301" i="3"/>
  <c r="H301" i="3"/>
  <c r="I301" i="3" s="1"/>
  <c r="J300" i="3"/>
  <c r="I300" i="3"/>
  <c r="H300" i="3"/>
  <c r="J299" i="3"/>
  <c r="I299" i="3"/>
  <c r="H299" i="3"/>
  <c r="J298" i="3"/>
  <c r="H298" i="3"/>
  <c r="J297" i="3"/>
  <c r="H297" i="3"/>
  <c r="I297" i="3" s="1"/>
  <c r="J296" i="3"/>
  <c r="H296" i="3"/>
  <c r="I296" i="3" s="1"/>
  <c r="J295" i="3"/>
  <c r="I295" i="3"/>
  <c r="H295" i="3"/>
  <c r="J294" i="3"/>
  <c r="I294" i="3"/>
  <c r="H294" i="3"/>
  <c r="J293" i="3"/>
  <c r="H293" i="3"/>
  <c r="I293" i="3" s="1"/>
  <c r="J292" i="3"/>
  <c r="I292" i="3"/>
  <c r="H292" i="3"/>
  <c r="J291" i="3"/>
  <c r="I291" i="3"/>
  <c r="H291" i="3"/>
  <c r="J290" i="3"/>
  <c r="H290" i="3"/>
  <c r="I290" i="3" s="1"/>
  <c r="J289" i="3"/>
  <c r="H289" i="3"/>
  <c r="J288" i="3"/>
  <c r="H288" i="3"/>
  <c r="I288" i="3" s="1"/>
  <c r="J287" i="3"/>
  <c r="H287" i="3"/>
  <c r="J286" i="3"/>
  <c r="I286" i="3"/>
  <c r="H286" i="3"/>
  <c r="J285" i="3"/>
  <c r="H285" i="3"/>
  <c r="I285" i="3" s="1"/>
  <c r="J284" i="3"/>
  <c r="I284" i="3"/>
  <c r="H284" i="3"/>
  <c r="J283" i="3"/>
  <c r="I283" i="3"/>
  <c r="H283" i="3"/>
  <c r="J282" i="3"/>
  <c r="I282" i="3"/>
  <c r="H282" i="3"/>
  <c r="J281" i="3"/>
  <c r="H281" i="3"/>
  <c r="I281" i="3" s="1"/>
  <c r="J280" i="3"/>
  <c r="H280" i="3"/>
  <c r="I280" i="3" s="1"/>
  <c r="J279" i="3"/>
  <c r="I279" i="3"/>
  <c r="H279" i="3"/>
  <c r="J278" i="3"/>
  <c r="I278" i="3"/>
  <c r="H278" i="3"/>
  <c r="H63" i="5" s="1"/>
  <c r="J277" i="3"/>
  <c r="H277" i="3"/>
  <c r="I277" i="3" s="1"/>
  <c r="J276" i="3"/>
  <c r="I276" i="3"/>
  <c r="H276" i="3"/>
  <c r="J275" i="3"/>
  <c r="I275" i="3"/>
  <c r="H275" i="3"/>
  <c r="J274" i="3"/>
  <c r="I274" i="3"/>
  <c r="H274" i="3"/>
  <c r="J273" i="3"/>
  <c r="H273" i="3"/>
  <c r="I273" i="3" s="1"/>
  <c r="J272" i="3"/>
  <c r="H272" i="3"/>
  <c r="I272" i="3" s="1"/>
  <c r="J271" i="3"/>
  <c r="I271" i="3"/>
  <c r="H271" i="3"/>
  <c r="J270" i="3"/>
  <c r="I270" i="3"/>
  <c r="H270" i="3"/>
  <c r="J269" i="3"/>
  <c r="H269" i="3"/>
  <c r="I269" i="3" s="1"/>
  <c r="J268" i="3"/>
  <c r="I268" i="3"/>
  <c r="H268" i="3"/>
  <c r="H193" i="5" s="1"/>
  <c r="J267" i="3"/>
  <c r="I267" i="3"/>
  <c r="H267" i="3"/>
  <c r="J266" i="3"/>
  <c r="H266" i="3"/>
  <c r="I266" i="3" s="1"/>
  <c r="J265" i="3"/>
  <c r="H265" i="3"/>
  <c r="I265" i="3" s="1"/>
  <c r="J264" i="3"/>
  <c r="H264" i="3"/>
  <c r="I264" i="3" s="1"/>
  <c r="J263" i="3"/>
  <c r="H263" i="3"/>
  <c r="I263" i="3" s="1"/>
  <c r="J262" i="3"/>
  <c r="I262" i="3"/>
  <c r="H262" i="3"/>
  <c r="J261" i="3"/>
  <c r="H261" i="3"/>
  <c r="I261" i="3" s="1"/>
  <c r="J260" i="3"/>
  <c r="I260" i="3"/>
  <c r="H260" i="3"/>
  <c r="J259" i="3"/>
  <c r="I259" i="3"/>
  <c r="H259" i="3"/>
  <c r="J258" i="3"/>
  <c r="H258" i="3"/>
  <c r="H107" i="5" s="1"/>
  <c r="J257" i="3"/>
  <c r="H257" i="3"/>
  <c r="J256" i="3"/>
  <c r="H256" i="3"/>
  <c r="G185" i="6" s="1"/>
  <c r="J255" i="3"/>
  <c r="H255" i="3"/>
  <c r="I255" i="3" s="1"/>
  <c r="J254" i="3"/>
  <c r="I254" i="3"/>
  <c r="H254" i="3"/>
  <c r="J253" i="3"/>
  <c r="H253" i="3"/>
  <c r="I253" i="3" s="1"/>
  <c r="J252" i="3"/>
  <c r="I252" i="3"/>
  <c r="H252" i="3"/>
  <c r="J251" i="3"/>
  <c r="I251" i="3"/>
  <c r="H251" i="3"/>
  <c r="J250" i="3"/>
  <c r="I250" i="3"/>
  <c r="H250" i="3"/>
  <c r="J249" i="3"/>
  <c r="H249" i="3"/>
  <c r="J248" i="3"/>
  <c r="H248" i="3"/>
  <c r="I248" i="3" s="1"/>
  <c r="J247" i="3"/>
  <c r="H247" i="3"/>
  <c r="I247" i="3" s="1"/>
  <c r="J246" i="3"/>
  <c r="I246" i="3"/>
  <c r="H246" i="3"/>
  <c r="J245" i="3"/>
  <c r="H245" i="3"/>
  <c r="I245" i="3" s="1"/>
  <c r="J244" i="3"/>
  <c r="I244" i="3"/>
  <c r="H244" i="3"/>
  <c r="J243" i="3"/>
  <c r="I243" i="3"/>
  <c r="H243" i="3"/>
  <c r="J242" i="3"/>
  <c r="H242" i="3"/>
  <c r="H128" i="5" s="1"/>
  <c r="J241" i="3"/>
  <c r="H241" i="3"/>
  <c r="J240" i="3"/>
  <c r="H240" i="3"/>
  <c r="G194" i="6" s="1"/>
  <c r="J239" i="3"/>
  <c r="I239" i="3"/>
  <c r="H239" i="3"/>
  <c r="G192" i="6" s="1"/>
  <c r="J238" i="3"/>
  <c r="I238" i="3"/>
  <c r="H238" i="3"/>
  <c r="J237" i="3"/>
  <c r="H237" i="3"/>
  <c r="J236" i="3"/>
  <c r="I236" i="3"/>
  <c r="H236" i="3"/>
  <c r="J235" i="3"/>
  <c r="I235" i="3"/>
  <c r="H235" i="3"/>
  <c r="J234" i="3"/>
  <c r="H234" i="3"/>
  <c r="I234" i="3" s="1"/>
  <c r="J233" i="3"/>
  <c r="H233" i="3"/>
  <c r="J232" i="3"/>
  <c r="H232" i="3"/>
  <c r="I232" i="3" s="1"/>
  <c r="J231" i="3"/>
  <c r="I231" i="3"/>
  <c r="H231" i="3"/>
  <c r="J230" i="3"/>
  <c r="I230" i="3"/>
  <c r="H230" i="3"/>
  <c r="J229" i="3"/>
  <c r="H229" i="3"/>
  <c r="I229" i="3" s="1"/>
  <c r="J228" i="3"/>
  <c r="I228" i="3"/>
  <c r="H228" i="3"/>
  <c r="J227" i="3"/>
  <c r="I227" i="3"/>
  <c r="H227" i="3"/>
  <c r="J226" i="3"/>
  <c r="H226" i="3"/>
  <c r="I226" i="3" s="1"/>
  <c r="J225" i="3"/>
  <c r="H225" i="3"/>
  <c r="I225" i="3" s="1"/>
  <c r="J224" i="3"/>
  <c r="H224" i="3"/>
  <c r="I224" i="3" s="1"/>
  <c r="J223" i="3"/>
  <c r="H223" i="3"/>
  <c r="I223" i="3" s="1"/>
  <c r="J222" i="3"/>
  <c r="H222" i="3"/>
  <c r="I222" i="3" s="1"/>
  <c r="J221" i="3"/>
  <c r="H221" i="3"/>
  <c r="I221" i="3" s="1"/>
  <c r="J220" i="3"/>
  <c r="H220" i="3"/>
  <c r="I220" i="3" s="1"/>
  <c r="J219" i="3"/>
  <c r="I219" i="3"/>
  <c r="H219" i="3"/>
  <c r="J218" i="3"/>
  <c r="H218" i="3"/>
  <c r="I218" i="3" s="1"/>
  <c r="J217" i="3"/>
  <c r="I217" i="3"/>
  <c r="H217" i="3"/>
  <c r="J216" i="3"/>
  <c r="H216" i="3"/>
  <c r="I216" i="3" s="1"/>
  <c r="J215" i="3"/>
  <c r="H215" i="3"/>
  <c r="I215" i="3" s="1"/>
  <c r="J214" i="3"/>
  <c r="I214" i="3"/>
  <c r="H214" i="3"/>
  <c r="J213" i="3"/>
  <c r="H213" i="3"/>
  <c r="I213" i="3" s="1"/>
  <c r="J212" i="3"/>
  <c r="H212" i="3"/>
  <c r="J211" i="3"/>
  <c r="I211" i="3"/>
  <c r="H211" i="3"/>
  <c r="J210" i="3"/>
  <c r="H210" i="3"/>
  <c r="I210" i="3" s="1"/>
  <c r="J209" i="3"/>
  <c r="H209" i="3"/>
  <c r="I209" i="3" s="1"/>
  <c r="J208" i="3"/>
  <c r="H208" i="3"/>
  <c r="I208" i="3" s="1"/>
  <c r="J207" i="3"/>
  <c r="I207" i="3"/>
  <c r="H207" i="3"/>
  <c r="J206" i="3"/>
  <c r="H206" i="3"/>
  <c r="J205" i="3"/>
  <c r="H205" i="3"/>
  <c r="I205" i="3" s="1"/>
  <c r="J204" i="3"/>
  <c r="I204" i="3"/>
  <c r="H204" i="3"/>
  <c r="J203" i="3"/>
  <c r="I203" i="3"/>
  <c r="H203" i="3"/>
  <c r="J202" i="3"/>
  <c r="I202" i="3"/>
  <c r="H202" i="3"/>
  <c r="J201" i="3"/>
  <c r="I201" i="3"/>
  <c r="H201" i="3"/>
  <c r="J200" i="3"/>
  <c r="H200" i="3"/>
  <c r="G136" i="6" s="1"/>
  <c r="J199" i="3"/>
  <c r="I199" i="3"/>
  <c r="H199" i="3"/>
  <c r="J198" i="3"/>
  <c r="I198" i="3"/>
  <c r="H198" i="3"/>
  <c r="J197" i="3"/>
  <c r="H197" i="3"/>
  <c r="I197" i="3" s="1"/>
  <c r="J196" i="3"/>
  <c r="I196" i="3"/>
  <c r="H196" i="3"/>
  <c r="J195" i="3"/>
  <c r="I195" i="3"/>
  <c r="H195" i="3"/>
  <c r="J194" i="3"/>
  <c r="H194" i="3"/>
  <c r="J193" i="3"/>
  <c r="H193" i="3"/>
  <c r="I193" i="3" s="1"/>
  <c r="J192" i="3"/>
  <c r="H192" i="3"/>
  <c r="I192" i="3" s="1"/>
  <c r="J191" i="3"/>
  <c r="H191" i="3"/>
  <c r="I191" i="3" s="1"/>
  <c r="J190" i="3"/>
  <c r="H190" i="3"/>
  <c r="I190" i="3" s="1"/>
  <c r="J189" i="3"/>
  <c r="H189" i="3"/>
  <c r="I189" i="3" s="1"/>
  <c r="J188" i="3"/>
  <c r="H188" i="3"/>
  <c r="I188" i="3" s="1"/>
  <c r="J187" i="3"/>
  <c r="I187" i="3"/>
  <c r="H187" i="3"/>
  <c r="J186" i="3"/>
  <c r="I186" i="3"/>
  <c r="H186" i="3"/>
  <c r="J185" i="3"/>
  <c r="I185" i="3"/>
  <c r="H185" i="3"/>
  <c r="H77" i="5" s="1"/>
  <c r="J184" i="3"/>
  <c r="H184" i="3"/>
  <c r="I184" i="3" s="1"/>
  <c r="J183" i="3"/>
  <c r="I183" i="3"/>
  <c r="H183" i="3"/>
  <c r="J182" i="3"/>
  <c r="I182" i="3"/>
  <c r="H182" i="3"/>
  <c r="J181" i="3"/>
  <c r="H181" i="3"/>
  <c r="I181" i="3" s="1"/>
  <c r="J180" i="3"/>
  <c r="I180" i="3"/>
  <c r="H180" i="3"/>
  <c r="J179" i="3"/>
  <c r="I179" i="3"/>
  <c r="H179" i="3"/>
  <c r="J178" i="3"/>
  <c r="H178" i="3"/>
  <c r="I178" i="3" s="1"/>
  <c r="J177" i="3"/>
  <c r="H177" i="3"/>
  <c r="I177" i="3" s="1"/>
  <c r="J176" i="3"/>
  <c r="H176" i="3"/>
  <c r="I176" i="3" s="1"/>
  <c r="J175" i="3"/>
  <c r="H175" i="3"/>
  <c r="I175" i="3" s="1"/>
  <c r="J174" i="3"/>
  <c r="H174" i="3"/>
  <c r="I174" i="3" s="1"/>
  <c r="J173" i="3"/>
  <c r="H173" i="3"/>
  <c r="I173" i="3" s="1"/>
  <c r="J172" i="3"/>
  <c r="I172" i="3"/>
  <c r="H172" i="3"/>
  <c r="J171" i="3"/>
  <c r="I171" i="3"/>
  <c r="H171" i="3"/>
  <c r="J170" i="3"/>
  <c r="I170" i="3"/>
  <c r="H170" i="3"/>
  <c r="J169" i="3"/>
  <c r="H169" i="3"/>
  <c r="I169" i="3" s="1"/>
  <c r="J168" i="3"/>
  <c r="H168" i="3"/>
  <c r="I168" i="3" s="1"/>
  <c r="J167" i="3"/>
  <c r="I167" i="3"/>
  <c r="H167" i="3"/>
  <c r="J166" i="3"/>
  <c r="H166" i="3"/>
  <c r="I166" i="3" s="1"/>
  <c r="J165" i="3"/>
  <c r="H165" i="3"/>
  <c r="I165" i="3" s="1"/>
  <c r="J164" i="3"/>
  <c r="I164" i="3"/>
  <c r="H164" i="3"/>
  <c r="J163" i="3"/>
  <c r="I163" i="3"/>
  <c r="H163" i="3"/>
  <c r="J162" i="3"/>
  <c r="H162" i="3"/>
  <c r="J161" i="3"/>
  <c r="H161" i="3"/>
  <c r="I161" i="3" s="1"/>
  <c r="J160" i="3"/>
  <c r="H160" i="3"/>
  <c r="I160" i="3" s="1"/>
  <c r="J159" i="3"/>
  <c r="H159" i="3"/>
  <c r="I159" i="3" s="1"/>
  <c r="J158" i="3"/>
  <c r="H158" i="3"/>
  <c r="I158" i="3" s="1"/>
  <c r="J157" i="3"/>
  <c r="H157" i="3"/>
  <c r="I157" i="3" s="1"/>
  <c r="J156" i="3"/>
  <c r="H156" i="3"/>
  <c r="I156" i="3" s="1"/>
  <c r="J155" i="3"/>
  <c r="I155" i="3"/>
  <c r="H155" i="3"/>
  <c r="J154" i="3"/>
  <c r="I154" i="3"/>
  <c r="H154" i="3"/>
  <c r="J153" i="3"/>
  <c r="I153" i="3"/>
  <c r="H153" i="3"/>
  <c r="J152" i="3"/>
  <c r="H152" i="3"/>
  <c r="I152" i="3" s="1"/>
  <c r="J151" i="3"/>
  <c r="I151" i="3"/>
  <c r="H151" i="3"/>
  <c r="J150" i="3"/>
  <c r="I150" i="3"/>
  <c r="H150" i="3"/>
  <c r="J149" i="3"/>
  <c r="H149" i="3"/>
  <c r="I149" i="3" s="1"/>
  <c r="J148" i="3"/>
  <c r="I148" i="3"/>
  <c r="H148" i="3"/>
  <c r="J147" i="3"/>
  <c r="I147" i="3"/>
  <c r="H147" i="3"/>
  <c r="J146" i="3"/>
  <c r="I146" i="3"/>
  <c r="H146" i="3"/>
  <c r="J145" i="3"/>
  <c r="H145" i="3"/>
  <c r="I145" i="3" s="1"/>
  <c r="J144" i="3"/>
  <c r="H144" i="3"/>
  <c r="I144" i="3" s="1"/>
  <c r="J143" i="3"/>
  <c r="H143" i="3"/>
  <c r="I143" i="3" s="1"/>
  <c r="J142" i="3"/>
  <c r="H142" i="3"/>
  <c r="I142" i="3" s="1"/>
  <c r="J141" i="3"/>
  <c r="H141" i="3"/>
  <c r="I141" i="3" s="1"/>
  <c r="J140" i="3"/>
  <c r="H140" i="3"/>
  <c r="I140" i="3" s="1"/>
  <c r="J139" i="3"/>
  <c r="I139" i="3"/>
  <c r="H139" i="3"/>
  <c r="H64" i="5" s="1"/>
  <c r="J138" i="3"/>
  <c r="I138" i="3"/>
  <c r="H138" i="3"/>
  <c r="H75" i="5" s="1"/>
  <c r="J137" i="3"/>
  <c r="H137" i="3"/>
  <c r="J136" i="3"/>
  <c r="H136" i="3"/>
  <c r="I136" i="3" s="1"/>
  <c r="J135" i="3"/>
  <c r="I135" i="3"/>
  <c r="H135" i="3"/>
  <c r="J134" i="3"/>
  <c r="H134" i="3"/>
  <c r="J133" i="3"/>
  <c r="H133" i="3"/>
  <c r="J132" i="3"/>
  <c r="I132" i="3"/>
  <c r="H132" i="3"/>
  <c r="J131" i="3"/>
  <c r="I131" i="3"/>
  <c r="H131" i="3"/>
  <c r="G116" i="6" s="1"/>
  <c r="J130" i="3"/>
  <c r="H130" i="3"/>
  <c r="J129" i="3"/>
  <c r="H129" i="3"/>
  <c r="J128" i="3"/>
  <c r="H128" i="3"/>
  <c r="I128" i="3" s="1"/>
  <c r="J127" i="3"/>
  <c r="H127" i="3"/>
  <c r="J126" i="3"/>
  <c r="H126" i="3"/>
  <c r="J125" i="3"/>
  <c r="H125" i="3"/>
  <c r="J124" i="3"/>
  <c r="H124" i="3"/>
  <c r="I124" i="3" s="1"/>
  <c r="J123" i="3"/>
  <c r="I123" i="3"/>
  <c r="H123" i="3"/>
  <c r="J122" i="3"/>
  <c r="I122" i="3"/>
  <c r="H122" i="3"/>
  <c r="J121" i="3"/>
  <c r="I121" i="3"/>
  <c r="H121" i="3"/>
  <c r="J120" i="3"/>
  <c r="H120" i="3"/>
  <c r="I120" i="3" s="1"/>
  <c r="J119" i="3"/>
  <c r="I119" i="3"/>
  <c r="H119" i="3"/>
  <c r="J118" i="3"/>
  <c r="I118" i="3"/>
  <c r="H118" i="3"/>
  <c r="J117" i="3"/>
  <c r="H117" i="3"/>
  <c r="I117" i="3" s="1"/>
  <c r="J116" i="3"/>
  <c r="I116" i="3"/>
  <c r="H116" i="3"/>
  <c r="J115" i="3"/>
  <c r="I115" i="3"/>
  <c r="H115" i="3"/>
  <c r="J114" i="3"/>
  <c r="H114" i="3"/>
  <c r="I114" i="3" s="1"/>
  <c r="J113" i="3"/>
  <c r="H113" i="3"/>
  <c r="I113" i="3" s="1"/>
  <c r="J112" i="3"/>
  <c r="H112" i="3"/>
  <c r="I112" i="3" s="1"/>
  <c r="J111" i="3"/>
  <c r="I111" i="3"/>
  <c r="H111" i="3"/>
  <c r="J110" i="3"/>
  <c r="H110" i="3"/>
  <c r="I110" i="3" s="1"/>
  <c r="J109" i="3"/>
  <c r="I109" i="3"/>
  <c r="H109" i="3"/>
  <c r="J108" i="3"/>
  <c r="I108" i="3"/>
  <c r="H108" i="3"/>
  <c r="J107" i="3"/>
  <c r="I107" i="3"/>
  <c r="H107" i="3"/>
  <c r="J106" i="3"/>
  <c r="H106" i="3"/>
  <c r="I106" i="3" s="1"/>
  <c r="J105" i="3"/>
  <c r="I105" i="3"/>
  <c r="H105" i="3"/>
  <c r="J104" i="3"/>
  <c r="H104" i="3"/>
  <c r="I104" i="3" s="1"/>
  <c r="J103" i="3"/>
  <c r="H103" i="3"/>
  <c r="I103" i="3" s="1"/>
  <c r="J102" i="3"/>
  <c r="I102" i="3"/>
  <c r="H102" i="3"/>
  <c r="J101" i="3"/>
  <c r="H101" i="3"/>
  <c r="I101" i="3" s="1"/>
  <c r="J100" i="3"/>
  <c r="I100" i="3"/>
  <c r="H100" i="3"/>
  <c r="J99" i="3"/>
  <c r="I99" i="3"/>
  <c r="H99" i="3"/>
  <c r="J98" i="3"/>
  <c r="I98" i="3"/>
  <c r="H98" i="3"/>
  <c r="J97" i="3"/>
  <c r="H97" i="3"/>
  <c r="I97" i="3" s="1"/>
  <c r="J96" i="3"/>
  <c r="H96" i="3"/>
  <c r="I96" i="3" s="1"/>
  <c r="J95" i="3"/>
  <c r="I95" i="3"/>
  <c r="H95" i="3"/>
  <c r="J94" i="3"/>
  <c r="H94" i="3"/>
  <c r="I94" i="3" s="1"/>
  <c r="J93" i="3"/>
  <c r="H93" i="3"/>
  <c r="I93" i="3" s="1"/>
  <c r="J92" i="3"/>
  <c r="H92" i="3"/>
  <c r="I92" i="3" s="1"/>
  <c r="J91" i="3"/>
  <c r="I91" i="3"/>
  <c r="H91" i="3"/>
  <c r="J90" i="3"/>
  <c r="I90" i="3"/>
  <c r="H90" i="3"/>
  <c r="J89" i="3"/>
  <c r="H89" i="3"/>
  <c r="I89" i="3" s="1"/>
  <c r="J88" i="3"/>
  <c r="H88" i="3"/>
  <c r="I88" i="3" s="1"/>
  <c r="J87" i="3"/>
  <c r="I87" i="3"/>
  <c r="H87" i="3"/>
  <c r="J86" i="3"/>
  <c r="H86" i="3"/>
  <c r="I86" i="3" s="1"/>
  <c r="J85" i="3"/>
  <c r="H85" i="3"/>
  <c r="I85" i="3" s="1"/>
  <c r="J84" i="3"/>
  <c r="I84" i="3"/>
  <c r="H84" i="3"/>
  <c r="J83" i="3"/>
  <c r="I83" i="3"/>
  <c r="H83" i="3"/>
  <c r="J82" i="3"/>
  <c r="H82" i="3"/>
  <c r="I82" i="3" s="1"/>
  <c r="J81" i="3"/>
  <c r="H81" i="3"/>
  <c r="I81" i="3" s="1"/>
  <c r="J80" i="3"/>
  <c r="H80" i="3"/>
  <c r="I80" i="3" s="1"/>
  <c r="J79" i="3"/>
  <c r="H79" i="3"/>
  <c r="I79" i="3" s="1"/>
  <c r="J78" i="3"/>
  <c r="H78" i="3"/>
  <c r="I78" i="3" s="1"/>
  <c r="J77" i="3"/>
  <c r="I77" i="3"/>
  <c r="H77" i="3"/>
  <c r="J76" i="3"/>
  <c r="H76" i="3"/>
  <c r="I76" i="3" s="1"/>
  <c r="J75" i="3"/>
  <c r="I75" i="3"/>
  <c r="H75" i="3"/>
  <c r="J74" i="3"/>
  <c r="H74" i="3"/>
  <c r="I74" i="3" s="1"/>
  <c r="J73" i="3"/>
  <c r="I73" i="3"/>
  <c r="H73" i="3"/>
  <c r="J72" i="3"/>
  <c r="H72" i="3"/>
  <c r="I72" i="3" s="1"/>
  <c r="J71" i="3"/>
  <c r="H71" i="3"/>
  <c r="I71" i="3" s="1"/>
  <c r="J70" i="3"/>
  <c r="I70" i="3"/>
  <c r="H70" i="3"/>
  <c r="J69" i="3"/>
  <c r="I69" i="3"/>
  <c r="H69" i="3"/>
  <c r="J68" i="3"/>
  <c r="I68" i="3"/>
  <c r="H68" i="3"/>
  <c r="J67" i="3"/>
  <c r="I67" i="3"/>
  <c r="H67" i="3"/>
  <c r="J66" i="3"/>
  <c r="I66" i="3"/>
  <c r="H66" i="3"/>
  <c r="J65" i="3"/>
  <c r="H65" i="3"/>
  <c r="I65" i="3" s="1"/>
  <c r="J64" i="3"/>
  <c r="H64" i="3"/>
  <c r="I64" i="3" s="1"/>
  <c r="J63" i="3"/>
  <c r="I63" i="3"/>
  <c r="H63" i="3"/>
  <c r="J62" i="3"/>
  <c r="H62" i="3"/>
  <c r="I62" i="3" s="1"/>
  <c r="J61" i="3"/>
  <c r="I61" i="3"/>
  <c r="H61" i="3"/>
  <c r="J60" i="3"/>
  <c r="H60" i="3"/>
  <c r="I60" i="3" s="1"/>
  <c r="J59" i="3"/>
  <c r="I59" i="3"/>
  <c r="H59" i="3"/>
  <c r="J58" i="3"/>
  <c r="I58" i="3"/>
  <c r="H58" i="3"/>
  <c r="J57" i="3"/>
  <c r="H57" i="3"/>
  <c r="I57" i="3" s="1"/>
  <c r="J56" i="3"/>
  <c r="H56" i="3"/>
  <c r="I56" i="3" s="1"/>
  <c r="J55" i="3"/>
  <c r="I55" i="3"/>
  <c r="H55" i="3"/>
  <c r="J54" i="3"/>
  <c r="H54" i="3"/>
  <c r="I54" i="3" s="1"/>
  <c r="J53" i="3"/>
  <c r="H53" i="3"/>
  <c r="I53" i="3" s="1"/>
  <c r="J52" i="3"/>
  <c r="I52" i="3"/>
  <c r="H52" i="3"/>
  <c r="J51" i="3"/>
  <c r="I51" i="3"/>
  <c r="H51" i="3"/>
  <c r="J50" i="3"/>
  <c r="H50" i="3"/>
  <c r="I50" i="3" s="1"/>
  <c r="J49" i="3"/>
  <c r="I49" i="3"/>
  <c r="H49" i="3"/>
  <c r="J48" i="3"/>
  <c r="H48" i="3"/>
  <c r="I48" i="3" s="1"/>
  <c r="J47" i="3"/>
  <c r="H47" i="3"/>
  <c r="I47" i="3" s="1"/>
  <c r="J46" i="3"/>
  <c r="I46" i="3"/>
  <c r="H46" i="3"/>
  <c r="J45" i="3"/>
  <c r="I45" i="3"/>
  <c r="H45" i="3"/>
  <c r="J44" i="3"/>
  <c r="H44" i="3"/>
  <c r="I44" i="3" s="1"/>
  <c r="J43" i="3"/>
  <c r="I43" i="3"/>
  <c r="H43" i="3"/>
  <c r="J42" i="3"/>
  <c r="H42" i="3"/>
  <c r="I42" i="3" s="1"/>
  <c r="J41" i="3"/>
  <c r="H41" i="3"/>
  <c r="I41" i="3" s="1"/>
  <c r="J40" i="3"/>
  <c r="H40" i="3"/>
  <c r="I40" i="3" s="1"/>
  <c r="J39" i="3"/>
  <c r="H39" i="3"/>
  <c r="I39" i="3" s="1"/>
  <c r="J38" i="3"/>
  <c r="H38" i="3"/>
  <c r="I38" i="3" s="1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H33" i="3"/>
  <c r="I33" i="3" s="1"/>
  <c r="J32" i="3"/>
  <c r="H32" i="3"/>
  <c r="I32" i="3" s="1"/>
  <c r="J31" i="3"/>
  <c r="I31" i="3"/>
  <c r="H31" i="3"/>
  <c r="J30" i="3"/>
  <c r="H30" i="3"/>
  <c r="I30" i="3" s="1"/>
  <c r="J29" i="3"/>
  <c r="I29" i="3"/>
  <c r="H29" i="3"/>
  <c r="J28" i="3"/>
  <c r="H28" i="3"/>
  <c r="I28" i="3" s="1"/>
  <c r="J27" i="3"/>
  <c r="I27" i="3"/>
  <c r="H27" i="3"/>
  <c r="J26" i="3"/>
  <c r="I26" i="3"/>
  <c r="H26" i="3"/>
  <c r="J25" i="3"/>
  <c r="H25" i="3"/>
  <c r="I25" i="3" s="1"/>
  <c r="J24" i="3"/>
  <c r="H24" i="3"/>
  <c r="I24" i="3" s="1"/>
  <c r="J23" i="3"/>
  <c r="I23" i="3"/>
  <c r="H23" i="3"/>
  <c r="J22" i="3"/>
  <c r="H22" i="3"/>
  <c r="I22" i="3" s="1"/>
  <c r="J21" i="3"/>
  <c r="H21" i="3"/>
  <c r="I21" i="3" s="1"/>
  <c r="J20" i="3"/>
  <c r="I20" i="3"/>
  <c r="H20" i="3"/>
  <c r="J19" i="3"/>
  <c r="I19" i="3"/>
  <c r="H19" i="3"/>
  <c r="J18" i="3"/>
  <c r="H18" i="3"/>
  <c r="I18" i="3" s="1"/>
  <c r="J17" i="3"/>
  <c r="H17" i="3"/>
  <c r="J16" i="3"/>
  <c r="H16" i="3"/>
  <c r="I16" i="3" s="1"/>
  <c r="J15" i="3"/>
  <c r="H15" i="3"/>
  <c r="I15" i="3" s="1"/>
  <c r="J14" i="3"/>
  <c r="H14" i="3"/>
  <c r="I14" i="3" s="1"/>
  <c r="J13" i="3"/>
  <c r="H13" i="3"/>
  <c r="G64" i="6" s="1"/>
  <c r="J12" i="3"/>
  <c r="H12" i="3"/>
  <c r="I12" i="3" s="1"/>
  <c r="J11" i="3"/>
  <c r="I11" i="3"/>
  <c r="H11" i="3"/>
  <c r="H96" i="5" s="1"/>
  <c r="M96" i="5" s="1"/>
  <c r="J10" i="3"/>
  <c r="I10" i="3"/>
  <c r="H10" i="3"/>
  <c r="G95" i="6" s="1"/>
  <c r="J9" i="3"/>
  <c r="I9" i="3"/>
  <c r="H9" i="3"/>
  <c r="J8" i="3"/>
  <c r="H8" i="3"/>
  <c r="I8" i="3" s="1"/>
  <c r="J7" i="3"/>
  <c r="I7" i="3"/>
  <c r="H7" i="3"/>
  <c r="H60" i="5" s="1"/>
  <c r="J6" i="3"/>
  <c r="I6" i="3"/>
  <c r="H6" i="3"/>
  <c r="J5" i="3"/>
  <c r="H5" i="3"/>
  <c r="I5" i="3" s="1"/>
  <c r="L204" i="2"/>
  <c r="G204" i="2"/>
  <c r="H204" i="2" s="1"/>
  <c r="I204" i="2" s="1"/>
  <c r="J204" i="2" s="1"/>
  <c r="C204" i="2"/>
  <c r="B204" i="2"/>
  <c r="L203" i="2"/>
  <c r="B203" i="2"/>
  <c r="G203" i="2" s="1"/>
  <c r="L202" i="2"/>
  <c r="B202" i="2"/>
  <c r="C202" i="2" s="1"/>
  <c r="L201" i="2"/>
  <c r="G201" i="2"/>
  <c r="C201" i="2"/>
  <c r="B201" i="2"/>
  <c r="L200" i="2"/>
  <c r="B200" i="2"/>
  <c r="G200" i="2" s="1"/>
  <c r="L199" i="2"/>
  <c r="B199" i="2"/>
  <c r="L198" i="2"/>
  <c r="G198" i="2"/>
  <c r="C198" i="2"/>
  <c r="B198" i="2"/>
  <c r="L197" i="2"/>
  <c r="B197" i="2"/>
  <c r="G197" i="2" s="1"/>
  <c r="L196" i="2"/>
  <c r="G196" i="2"/>
  <c r="H196" i="2" s="1"/>
  <c r="C196" i="2"/>
  <c r="B196" i="2"/>
  <c r="L195" i="2"/>
  <c r="B195" i="2"/>
  <c r="L194" i="2"/>
  <c r="G194" i="2"/>
  <c r="H194" i="2" s="1"/>
  <c r="I194" i="2" s="1"/>
  <c r="J194" i="2" s="1"/>
  <c r="B194" i="2"/>
  <c r="C194" i="2" s="1"/>
  <c r="L193" i="2"/>
  <c r="G193" i="2"/>
  <c r="C193" i="2"/>
  <c r="B193" i="2"/>
  <c r="L192" i="2"/>
  <c r="B192" i="2"/>
  <c r="G192" i="2" s="1"/>
  <c r="L191" i="2"/>
  <c r="G191" i="2"/>
  <c r="H191" i="2" s="1"/>
  <c r="K191" i="2" s="1"/>
  <c r="B191" i="2"/>
  <c r="C191" i="2" s="1"/>
  <c r="L190" i="2"/>
  <c r="B190" i="2"/>
  <c r="G190" i="2" s="1"/>
  <c r="L189" i="2"/>
  <c r="G189" i="2"/>
  <c r="H189" i="2" s="1"/>
  <c r="I189" i="2" s="1"/>
  <c r="J189" i="2" s="1"/>
  <c r="C189" i="2"/>
  <c r="B189" i="2"/>
  <c r="L188" i="2"/>
  <c r="B188" i="2"/>
  <c r="C188" i="2" s="1"/>
  <c r="L187" i="2"/>
  <c r="B187" i="2"/>
  <c r="G187" i="2" s="1"/>
  <c r="L186" i="2"/>
  <c r="B186" i="2"/>
  <c r="C186" i="2" s="1"/>
  <c r="L185" i="2"/>
  <c r="I185" i="2"/>
  <c r="J185" i="2" s="1"/>
  <c r="G185" i="2"/>
  <c r="H185" i="2" s="1"/>
  <c r="K185" i="2" s="1"/>
  <c r="C185" i="2"/>
  <c r="B185" i="2"/>
  <c r="L184" i="2"/>
  <c r="G184" i="2"/>
  <c r="H184" i="2" s="1"/>
  <c r="I184" i="2" s="1"/>
  <c r="J184" i="2" s="1"/>
  <c r="C184" i="2"/>
  <c r="B184" i="2"/>
  <c r="L183" i="2"/>
  <c r="G183" i="2"/>
  <c r="C183" i="2"/>
  <c r="B183" i="2"/>
  <c r="L182" i="2"/>
  <c r="B182" i="2"/>
  <c r="G182" i="2" s="1"/>
  <c r="L181" i="2"/>
  <c r="G181" i="2"/>
  <c r="H181" i="2" s="1"/>
  <c r="C181" i="2"/>
  <c r="B181" i="2"/>
  <c r="L180" i="2"/>
  <c r="B180" i="2"/>
  <c r="L179" i="2"/>
  <c r="C179" i="2"/>
  <c r="B179" i="2"/>
  <c r="G179" i="2" s="1"/>
  <c r="L178" i="2"/>
  <c r="B178" i="2"/>
  <c r="C178" i="2" s="1"/>
  <c r="L177" i="2"/>
  <c r="G177" i="2"/>
  <c r="H177" i="2" s="1"/>
  <c r="K177" i="2" s="1"/>
  <c r="C177" i="2"/>
  <c r="B177" i="2"/>
  <c r="L176" i="2"/>
  <c r="G176" i="2"/>
  <c r="H176" i="2" s="1"/>
  <c r="C176" i="2"/>
  <c r="B176" i="2"/>
  <c r="L175" i="2"/>
  <c r="C175" i="2"/>
  <c r="B175" i="2"/>
  <c r="G175" i="2" s="1"/>
  <c r="L174" i="2"/>
  <c r="G174" i="2"/>
  <c r="H174" i="2" s="1"/>
  <c r="K174" i="2" s="1"/>
  <c r="C174" i="2"/>
  <c r="B174" i="2"/>
  <c r="L173" i="2"/>
  <c r="B173" i="2"/>
  <c r="C173" i="2" s="1"/>
  <c r="L172" i="2"/>
  <c r="G172" i="2"/>
  <c r="B172" i="2"/>
  <c r="C172" i="2" s="1"/>
  <c r="L171" i="2"/>
  <c r="B171" i="2"/>
  <c r="G171" i="2" s="1"/>
  <c r="L170" i="2"/>
  <c r="I170" i="2"/>
  <c r="J170" i="2" s="1"/>
  <c r="G170" i="2"/>
  <c r="H170" i="2" s="1"/>
  <c r="K170" i="2" s="1"/>
  <c r="B170" i="2"/>
  <c r="C170" i="2" s="1"/>
  <c r="L169" i="2"/>
  <c r="G169" i="2"/>
  <c r="C169" i="2"/>
  <c r="B169" i="2"/>
  <c r="L168" i="2"/>
  <c r="B168" i="2"/>
  <c r="C168" i="2" s="1"/>
  <c r="L167" i="2"/>
  <c r="B167" i="2"/>
  <c r="G167" i="2" s="1"/>
  <c r="L166" i="2"/>
  <c r="G166" i="2"/>
  <c r="H166" i="2" s="1"/>
  <c r="C166" i="2"/>
  <c r="B166" i="2"/>
  <c r="L165" i="2"/>
  <c r="B165" i="2"/>
  <c r="L164" i="2"/>
  <c r="G164" i="2"/>
  <c r="C164" i="2"/>
  <c r="B164" i="2"/>
  <c r="L163" i="2"/>
  <c r="B163" i="2"/>
  <c r="G163" i="2" s="1"/>
  <c r="L162" i="2"/>
  <c r="I162" i="2"/>
  <c r="J162" i="2" s="1"/>
  <c r="G162" i="2"/>
  <c r="H162" i="2" s="1"/>
  <c r="K162" i="2" s="1"/>
  <c r="B162" i="2"/>
  <c r="C162" i="2" s="1"/>
  <c r="L161" i="2"/>
  <c r="G161" i="2"/>
  <c r="C161" i="2"/>
  <c r="B161" i="2"/>
  <c r="L160" i="2"/>
  <c r="B160" i="2"/>
  <c r="L159" i="2"/>
  <c r="G159" i="2"/>
  <c r="H159" i="2" s="1"/>
  <c r="I159" i="2" s="1"/>
  <c r="J159" i="2" s="1"/>
  <c r="C159" i="2"/>
  <c r="B159" i="2"/>
  <c r="L158" i="2"/>
  <c r="B158" i="2"/>
  <c r="C158" i="2" s="1"/>
  <c r="L157" i="2"/>
  <c r="G157" i="2"/>
  <c r="H157" i="2" s="1"/>
  <c r="K157" i="2" s="1"/>
  <c r="B157" i="2"/>
  <c r="C157" i="2" s="1"/>
  <c r="L156" i="2"/>
  <c r="B156" i="2"/>
  <c r="G156" i="2" s="1"/>
  <c r="L155" i="2"/>
  <c r="C155" i="2"/>
  <c r="B155" i="2"/>
  <c r="G155" i="2" s="1"/>
  <c r="L154" i="2"/>
  <c r="B154" i="2"/>
  <c r="C154" i="2" s="1"/>
  <c r="L153" i="2"/>
  <c r="G153" i="2"/>
  <c r="C153" i="2"/>
  <c r="B153" i="2"/>
  <c r="L152" i="2"/>
  <c r="G152" i="2"/>
  <c r="B152" i="2"/>
  <c r="C152" i="2" s="1"/>
  <c r="L151" i="2"/>
  <c r="G151" i="2"/>
  <c r="H151" i="2" s="1"/>
  <c r="C151" i="2"/>
  <c r="B151" i="2"/>
  <c r="L150" i="2"/>
  <c r="B150" i="2"/>
  <c r="L149" i="2"/>
  <c r="G149" i="2"/>
  <c r="C149" i="2"/>
  <c r="B149" i="2"/>
  <c r="L148" i="2"/>
  <c r="B148" i="2"/>
  <c r="G148" i="2" s="1"/>
  <c r="L147" i="2"/>
  <c r="C147" i="2"/>
  <c r="B147" i="2"/>
  <c r="G147" i="2" s="1"/>
  <c r="L146" i="2"/>
  <c r="B146" i="2"/>
  <c r="L145" i="2"/>
  <c r="G145" i="2"/>
  <c r="H145" i="2" s="1"/>
  <c r="I145" i="2" s="1"/>
  <c r="J145" i="2" s="1"/>
  <c r="C145" i="2"/>
  <c r="B145" i="2"/>
  <c r="L144" i="2"/>
  <c r="G144" i="2"/>
  <c r="C144" i="2"/>
  <c r="B144" i="2"/>
  <c r="L143" i="2"/>
  <c r="B143" i="2"/>
  <c r="C143" i="2" s="1"/>
  <c r="L142" i="2"/>
  <c r="G142" i="2"/>
  <c r="H142" i="2" s="1"/>
  <c r="K142" i="2" s="1"/>
  <c r="B142" i="2"/>
  <c r="C142" i="2" s="1"/>
  <c r="L141" i="2"/>
  <c r="B141" i="2"/>
  <c r="G141" i="2" s="1"/>
  <c r="L140" i="2"/>
  <c r="G140" i="2"/>
  <c r="H140" i="2" s="1"/>
  <c r="I140" i="2" s="1"/>
  <c r="J140" i="2" s="1"/>
  <c r="C140" i="2"/>
  <c r="B140" i="2"/>
  <c r="L139" i="2"/>
  <c r="B139" i="2"/>
  <c r="G139" i="2" s="1"/>
  <c r="L138" i="2"/>
  <c r="B138" i="2"/>
  <c r="C138" i="2" s="1"/>
  <c r="L137" i="2"/>
  <c r="G137" i="2"/>
  <c r="C137" i="2"/>
  <c r="B137" i="2"/>
  <c r="L136" i="2"/>
  <c r="C136" i="2"/>
  <c r="B136" i="2"/>
  <c r="G136" i="2" s="1"/>
  <c r="L135" i="2"/>
  <c r="B135" i="2"/>
  <c r="L134" i="2"/>
  <c r="G134" i="2"/>
  <c r="C134" i="2"/>
  <c r="B134" i="2"/>
  <c r="L133" i="2"/>
  <c r="B133" i="2"/>
  <c r="G133" i="2" s="1"/>
  <c r="L132" i="2"/>
  <c r="G132" i="2"/>
  <c r="H132" i="2" s="1"/>
  <c r="C132" i="2"/>
  <c r="B132" i="2"/>
  <c r="L131" i="2"/>
  <c r="B131" i="2"/>
  <c r="L130" i="2"/>
  <c r="G130" i="2"/>
  <c r="H130" i="2" s="1"/>
  <c r="I130" i="2" s="1"/>
  <c r="J130" i="2" s="1"/>
  <c r="B130" i="2"/>
  <c r="C130" i="2" s="1"/>
  <c r="L129" i="2"/>
  <c r="G129" i="2"/>
  <c r="C129" i="2"/>
  <c r="B129" i="2"/>
  <c r="L128" i="2"/>
  <c r="B128" i="2"/>
  <c r="G128" i="2" s="1"/>
  <c r="L127" i="2"/>
  <c r="G127" i="2"/>
  <c r="H127" i="2" s="1"/>
  <c r="K127" i="2" s="1"/>
  <c r="B127" i="2"/>
  <c r="C127" i="2" s="1"/>
  <c r="L126" i="2"/>
  <c r="B126" i="2"/>
  <c r="G126" i="2" s="1"/>
  <c r="L125" i="2"/>
  <c r="G125" i="2"/>
  <c r="H125" i="2" s="1"/>
  <c r="I125" i="2" s="1"/>
  <c r="J125" i="2" s="1"/>
  <c r="C125" i="2"/>
  <c r="B125" i="2"/>
  <c r="L124" i="2"/>
  <c r="B124" i="2"/>
  <c r="C124" i="2" s="1"/>
  <c r="L123" i="2"/>
  <c r="B123" i="2"/>
  <c r="G123" i="2" s="1"/>
  <c r="L122" i="2"/>
  <c r="B122" i="2"/>
  <c r="C122" i="2" s="1"/>
  <c r="L121" i="2"/>
  <c r="I121" i="2"/>
  <c r="J121" i="2" s="1"/>
  <c r="G121" i="2"/>
  <c r="H121" i="2" s="1"/>
  <c r="K121" i="2" s="1"/>
  <c r="C121" i="2"/>
  <c r="B121" i="2"/>
  <c r="L120" i="2"/>
  <c r="G120" i="2"/>
  <c r="H120" i="2" s="1"/>
  <c r="I120" i="2" s="1"/>
  <c r="J120" i="2" s="1"/>
  <c r="C120" i="2"/>
  <c r="B120" i="2"/>
  <c r="L119" i="2"/>
  <c r="C119" i="2"/>
  <c r="B119" i="2"/>
  <c r="G119" i="2" s="1"/>
  <c r="H119" i="2" s="1"/>
  <c r="I119" i="2" s="1"/>
  <c r="J119" i="2" s="1"/>
  <c r="L118" i="2"/>
  <c r="B118" i="2"/>
  <c r="G118" i="2" s="1"/>
  <c r="L117" i="2"/>
  <c r="G117" i="2"/>
  <c r="C117" i="2"/>
  <c r="B117" i="2"/>
  <c r="L116" i="2"/>
  <c r="B116" i="2"/>
  <c r="L115" i="2"/>
  <c r="C115" i="2"/>
  <c r="B115" i="2"/>
  <c r="G115" i="2" s="1"/>
  <c r="L114" i="2"/>
  <c r="B114" i="2"/>
  <c r="C114" i="2" s="1"/>
  <c r="L113" i="2"/>
  <c r="I113" i="2"/>
  <c r="J113" i="2" s="1"/>
  <c r="G113" i="2"/>
  <c r="H113" i="2" s="1"/>
  <c r="K113" i="2" s="1"/>
  <c r="C113" i="2"/>
  <c r="B113" i="2"/>
  <c r="L112" i="2"/>
  <c r="G112" i="2"/>
  <c r="C112" i="2"/>
  <c r="B112" i="2"/>
  <c r="L111" i="2"/>
  <c r="B111" i="2"/>
  <c r="G111" i="2" s="1"/>
  <c r="L110" i="2"/>
  <c r="G110" i="2"/>
  <c r="H110" i="2" s="1"/>
  <c r="K110" i="2" s="1"/>
  <c r="C110" i="2"/>
  <c r="B110" i="2"/>
  <c r="L109" i="2"/>
  <c r="B109" i="2"/>
  <c r="C109" i="2" s="1"/>
  <c r="L108" i="2"/>
  <c r="G108" i="2"/>
  <c r="B108" i="2"/>
  <c r="C108" i="2" s="1"/>
  <c r="L107" i="2"/>
  <c r="B107" i="2"/>
  <c r="G107" i="2" s="1"/>
  <c r="L106" i="2"/>
  <c r="I106" i="2"/>
  <c r="J106" i="2" s="1"/>
  <c r="G106" i="2"/>
  <c r="H106" i="2" s="1"/>
  <c r="K106" i="2" s="1"/>
  <c r="B106" i="2"/>
  <c r="C106" i="2" s="1"/>
  <c r="L105" i="2"/>
  <c r="G105" i="2"/>
  <c r="C105" i="2"/>
  <c r="B105" i="2"/>
  <c r="L104" i="2"/>
  <c r="B104" i="2"/>
  <c r="C104" i="2" s="1"/>
  <c r="L103" i="2"/>
  <c r="B103" i="2"/>
  <c r="G103" i="2" s="1"/>
  <c r="L102" i="2"/>
  <c r="G102" i="2"/>
  <c r="C102" i="2"/>
  <c r="B102" i="2"/>
  <c r="L101" i="2"/>
  <c r="B101" i="2"/>
  <c r="L100" i="2"/>
  <c r="C100" i="2"/>
  <c r="B100" i="2"/>
  <c r="G100" i="2" s="1"/>
  <c r="H100" i="2" s="1"/>
  <c r="L99" i="2"/>
  <c r="B99" i="2"/>
  <c r="G99" i="2" s="1"/>
  <c r="L98" i="2"/>
  <c r="I98" i="2"/>
  <c r="J98" i="2" s="1"/>
  <c r="G98" i="2"/>
  <c r="H98" i="2" s="1"/>
  <c r="K98" i="2" s="1"/>
  <c r="B98" i="2"/>
  <c r="C98" i="2" s="1"/>
  <c r="L97" i="2"/>
  <c r="G97" i="2"/>
  <c r="C97" i="2"/>
  <c r="B97" i="2"/>
  <c r="L96" i="2"/>
  <c r="B96" i="2"/>
  <c r="L95" i="2"/>
  <c r="G95" i="2"/>
  <c r="H95" i="2" s="1"/>
  <c r="C95" i="2"/>
  <c r="B95" i="2"/>
  <c r="L94" i="2"/>
  <c r="C94" i="2"/>
  <c r="B94" i="2"/>
  <c r="G94" i="2" s="1"/>
  <c r="H94" i="2" s="1"/>
  <c r="L93" i="2"/>
  <c r="B93" i="2"/>
  <c r="L92" i="2"/>
  <c r="B92" i="2"/>
  <c r="G92" i="2" s="1"/>
  <c r="L91" i="2"/>
  <c r="G91" i="2"/>
  <c r="H91" i="2" s="1"/>
  <c r="B91" i="2"/>
  <c r="C91" i="2" s="1"/>
  <c r="L90" i="2"/>
  <c r="G90" i="2"/>
  <c r="C90" i="2"/>
  <c r="B90" i="2"/>
  <c r="L89" i="2"/>
  <c r="C89" i="2"/>
  <c r="B89" i="2"/>
  <c r="G89" i="2" s="1"/>
  <c r="L88" i="2"/>
  <c r="B88" i="2"/>
  <c r="L87" i="2"/>
  <c r="G87" i="2"/>
  <c r="H87" i="2" s="1"/>
  <c r="C87" i="2"/>
  <c r="B87" i="2"/>
  <c r="L86" i="2"/>
  <c r="C86" i="2"/>
  <c r="B86" i="2"/>
  <c r="G86" i="2" s="1"/>
  <c r="H86" i="2" s="1"/>
  <c r="L85" i="2"/>
  <c r="B85" i="2"/>
  <c r="L84" i="2"/>
  <c r="B84" i="2"/>
  <c r="G84" i="2" s="1"/>
  <c r="L83" i="2"/>
  <c r="G83" i="2"/>
  <c r="H83" i="2" s="1"/>
  <c r="B83" i="2"/>
  <c r="C83" i="2" s="1"/>
  <c r="L82" i="2"/>
  <c r="G82" i="2"/>
  <c r="C82" i="2"/>
  <c r="B82" i="2"/>
  <c r="L81" i="2"/>
  <c r="C81" i="2"/>
  <c r="B81" i="2"/>
  <c r="G81" i="2" s="1"/>
  <c r="L80" i="2"/>
  <c r="B80" i="2"/>
  <c r="L79" i="2"/>
  <c r="G79" i="2"/>
  <c r="H79" i="2" s="1"/>
  <c r="C79" i="2"/>
  <c r="B79" i="2"/>
  <c r="L78" i="2"/>
  <c r="C78" i="2"/>
  <c r="B78" i="2"/>
  <c r="G78" i="2" s="1"/>
  <c r="H78" i="2" s="1"/>
  <c r="L77" i="2"/>
  <c r="B77" i="2"/>
  <c r="L76" i="2"/>
  <c r="B76" i="2"/>
  <c r="G76" i="2" s="1"/>
  <c r="L75" i="2"/>
  <c r="G75" i="2"/>
  <c r="H75" i="2" s="1"/>
  <c r="B75" i="2"/>
  <c r="C75" i="2" s="1"/>
  <c r="L74" i="2"/>
  <c r="G74" i="2"/>
  <c r="C74" i="2"/>
  <c r="B74" i="2"/>
  <c r="L73" i="2"/>
  <c r="C73" i="2"/>
  <c r="B73" i="2"/>
  <c r="G73" i="2" s="1"/>
  <c r="L72" i="2"/>
  <c r="B72" i="2"/>
  <c r="L71" i="2"/>
  <c r="G71" i="2"/>
  <c r="H71" i="2" s="1"/>
  <c r="C71" i="2"/>
  <c r="B71" i="2"/>
  <c r="L70" i="2"/>
  <c r="C70" i="2"/>
  <c r="B70" i="2"/>
  <c r="G70" i="2" s="1"/>
  <c r="H70" i="2" s="1"/>
  <c r="L69" i="2"/>
  <c r="B69" i="2"/>
  <c r="L68" i="2"/>
  <c r="B68" i="2"/>
  <c r="G68" i="2" s="1"/>
  <c r="L67" i="2"/>
  <c r="G67" i="2"/>
  <c r="H67" i="2" s="1"/>
  <c r="B67" i="2"/>
  <c r="C67" i="2" s="1"/>
  <c r="L66" i="2"/>
  <c r="G66" i="2"/>
  <c r="C66" i="2"/>
  <c r="B66" i="2"/>
  <c r="L65" i="2"/>
  <c r="C65" i="2"/>
  <c r="B65" i="2"/>
  <c r="G65" i="2" s="1"/>
  <c r="L64" i="2"/>
  <c r="B64" i="2"/>
  <c r="L63" i="2"/>
  <c r="G63" i="2"/>
  <c r="H63" i="2" s="1"/>
  <c r="C63" i="2"/>
  <c r="B63" i="2"/>
  <c r="L62" i="2"/>
  <c r="C62" i="2"/>
  <c r="B62" i="2"/>
  <c r="G62" i="2" s="1"/>
  <c r="H62" i="2" s="1"/>
  <c r="L61" i="2"/>
  <c r="B61" i="2"/>
  <c r="L60" i="2"/>
  <c r="B60" i="2"/>
  <c r="G60" i="2" s="1"/>
  <c r="L59" i="2"/>
  <c r="G59" i="2"/>
  <c r="H59" i="2" s="1"/>
  <c r="B59" i="2"/>
  <c r="C59" i="2" s="1"/>
  <c r="L58" i="2"/>
  <c r="G58" i="2"/>
  <c r="C58" i="2"/>
  <c r="B58" i="2"/>
  <c r="L57" i="2"/>
  <c r="C57" i="2"/>
  <c r="B57" i="2"/>
  <c r="G57" i="2" s="1"/>
  <c r="L56" i="2"/>
  <c r="B56" i="2"/>
  <c r="L55" i="2"/>
  <c r="G55" i="2"/>
  <c r="H55" i="2" s="1"/>
  <c r="C55" i="2"/>
  <c r="B55" i="2"/>
  <c r="L54" i="2"/>
  <c r="C54" i="2"/>
  <c r="B54" i="2"/>
  <c r="G54" i="2" s="1"/>
  <c r="H54" i="2" s="1"/>
  <c r="L53" i="2"/>
  <c r="B53" i="2"/>
  <c r="L52" i="2"/>
  <c r="B52" i="2"/>
  <c r="G52" i="2" s="1"/>
  <c r="L51" i="2"/>
  <c r="G51" i="2"/>
  <c r="H51" i="2" s="1"/>
  <c r="B51" i="2"/>
  <c r="C51" i="2" s="1"/>
  <c r="L50" i="2"/>
  <c r="G50" i="2"/>
  <c r="C50" i="2"/>
  <c r="B50" i="2"/>
  <c r="L49" i="2"/>
  <c r="C49" i="2"/>
  <c r="B49" i="2"/>
  <c r="G49" i="2" s="1"/>
  <c r="L48" i="2"/>
  <c r="B48" i="2"/>
  <c r="L47" i="2"/>
  <c r="G47" i="2"/>
  <c r="H47" i="2" s="1"/>
  <c r="C47" i="2"/>
  <c r="B47" i="2"/>
  <c r="L46" i="2"/>
  <c r="C46" i="2"/>
  <c r="B46" i="2"/>
  <c r="G46" i="2" s="1"/>
  <c r="H46" i="2" s="1"/>
  <c r="L45" i="2"/>
  <c r="B45" i="2"/>
  <c r="L44" i="2"/>
  <c r="B44" i="2"/>
  <c r="G44" i="2" s="1"/>
  <c r="L43" i="2"/>
  <c r="G43" i="2"/>
  <c r="H43" i="2" s="1"/>
  <c r="B43" i="2"/>
  <c r="C43" i="2" s="1"/>
  <c r="L42" i="2"/>
  <c r="G42" i="2"/>
  <c r="C42" i="2"/>
  <c r="B42" i="2"/>
  <c r="L41" i="2"/>
  <c r="C41" i="2"/>
  <c r="B41" i="2"/>
  <c r="G41" i="2" s="1"/>
  <c r="L40" i="2"/>
  <c r="B40" i="2"/>
  <c r="L39" i="2"/>
  <c r="G39" i="2"/>
  <c r="H39" i="2" s="1"/>
  <c r="C39" i="2"/>
  <c r="B39" i="2"/>
  <c r="L38" i="2"/>
  <c r="C38" i="2"/>
  <c r="B38" i="2"/>
  <c r="G38" i="2" s="1"/>
  <c r="H38" i="2" s="1"/>
  <c r="L37" i="2"/>
  <c r="B37" i="2"/>
  <c r="L36" i="2"/>
  <c r="B36" i="2"/>
  <c r="G36" i="2" s="1"/>
  <c r="L35" i="2"/>
  <c r="G35" i="2"/>
  <c r="H35" i="2" s="1"/>
  <c r="B35" i="2"/>
  <c r="C35" i="2" s="1"/>
  <c r="L34" i="2"/>
  <c r="G34" i="2"/>
  <c r="C34" i="2"/>
  <c r="B34" i="2"/>
  <c r="L33" i="2"/>
  <c r="C33" i="2"/>
  <c r="B33" i="2"/>
  <c r="G33" i="2" s="1"/>
  <c r="L32" i="2"/>
  <c r="B32" i="2"/>
  <c r="L31" i="2"/>
  <c r="G31" i="2"/>
  <c r="H31" i="2" s="1"/>
  <c r="C31" i="2"/>
  <c r="B31" i="2"/>
  <c r="L30" i="2"/>
  <c r="C30" i="2"/>
  <c r="B30" i="2"/>
  <c r="G30" i="2" s="1"/>
  <c r="H30" i="2" s="1"/>
  <c r="L29" i="2"/>
  <c r="B29" i="2"/>
  <c r="L28" i="2"/>
  <c r="B28" i="2"/>
  <c r="G28" i="2" s="1"/>
  <c r="L27" i="2"/>
  <c r="G27" i="2"/>
  <c r="H27" i="2" s="1"/>
  <c r="B27" i="2"/>
  <c r="C27" i="2" s="1"/>
  <c r="L26" i="2"/>
  <c r="G26" i="2"/>
  <c r="C26" i="2"/>
  <c r="B26" i="2"/>
  <c r="L25" i="2"/>
  <c r="G25" i="2"/>
  <c r="H25" i="2" s="1"/>
  <c r="C25" i="2"/>
  <c r="B25" i="2"/>
  <c r="L24" i="2"/>
  <c r="G24" i="2"/>
  <c r="C24" i="2"/>
  <c r="B24" i="2"/>
  <c r="L23" i="2"/>
  <c r="G23" i="2"/>
  <c r="H23" i="2" s="1"/>
  <c r="C23" i="2"/>
  <c r="B23" i="2"/>
  <c r="L22" i="2"/>
  <c r="G22" i="2"/>
  <c r="C22" i="2"/>
  <c r="B22" i="2"/>
  <c r="L21" i="2"/>
  <c r="G21" i="2"/>
  <c r="H21" i="2" s="1"/>
  <c r="C21" i="2"/>
  <c r="B21" i="2"/>
  <c r="L20" i="2"/>
  <c r="G20" i="2"/>
  <c r="C20" i="2"/>
  <c r="B20" i="2"/>
  <c r="L19" i="2"/>
  <c r="G19" i="2"/>
  <c r="C19" i="2"/>
  <c r="B19" i="2"/>
  <c r="L18" i="2"/>
  <c r="G18" i="2"/>
  <c r="C18" i="2"/>
  <c r="B18" i="2"/>
  <c r="L17" i="2"/>
  <c r="G17" i="2"/>
  <c r="H17" i="2" s="1"/>
  <c r="C17" i="2"/>
  <c r="B17" i="2"/>
  <c r="L16" i="2"/>
  <c r="G16" i="2"/>
  <c r="C16" i="2"/>
  <c r="B16" i="2"/>
  <c r="L15" i="2"/>
  <c r="G15" i="2"/>
  <c r="H15" i="2" s="1"/>
  <c r="C15" i="2"/>
  <c r="B15" i="2"/>
  <c r="G14" i="2"/>
  <c r="C14" i="2"/>
  <c r="B14" i="2"/>
  <c r="L14" i="2" s="1"/>
  <c r="G13" i="2"/>
  <c r="H13" i="2" s="1"/>
  <c r="C13" i="2"/>
  <c r="B13" i="2"/>
  <c r="L13" i="2" s="1"/>
  <c r="B12" i="2"/>
  <c r="B11" i="2"/>
  <c r="B10" i="2"/>
  <c r="B9" i="2"/>
  <c r="B8" i="2"/>
  <c r="B7" i="2"/>
  <c r="G7" i="2" s="1"/>
  <c r="B6" i="2"/>
  <c r="B5" i="2"/>
  <c r="G5" i="2" s="1"/>
  <c r="H169" i="5" l="1"/>
  <c r="H32" i="5"/>
  <c r="C14" i="5"/>
  <c r="H13" i="5"/>
  <c r="H123" i="5"/>
  <c r="H6" i="5"/>
  <c r="H202" i="5"/>
  <c r="I202" i="5" s="1"/>
  <c r="C204" i="5"/>
  <c r="C199" i="5"/>
  <c r="H43" i="5"/>
  <c r="K35" i="2"/>
  <c r="I35" i="2"/>
  <c r="J35" i="2" s="1"/>
  <c r="K27" i="2"/>
  <c r="I27" i="2"/>
  <c r="J27" i="2" s="1"/>
  <c r="K91" i="2"/>
  <c r="I91" i="2"/>
  <c r="J91" i="2" s="1"/>
  <c r="K75" i="2"/>
  <c r="I75" i="2"/>
  <c r="J75" i="2" s="1"/>
  <c r="K67" i="2"/>
  <c r="I67" i="2"/>
  <c r="J67" i="2" s="1"/>
  <c r="K83" i="2"/>
  <c r="I83" i="2"/>
  <c r="J83" i="2" s="1"/>
  <c r="K59" i="2"/>
  <c r="I59" i="2"/>
  <c r="J59" i="2" s="1"/>
  <c r="K51" i="2"/>
  <c r="I51" i="2"/>
  <c r="J51" i="2" s="1"/>
  <c r="K43" i="2"/>
  <c r="I43" i="2"/>
  <c r="J43" i="2" s="1"/>
  <c r="K38" i="2"/>
  <c r="I38" i="2"/>
  <c r="J38" i="2" s="1"/>
  <c r="G48" i="2"/>
  <c r="C48" i="2"/>
  <c r="G56" i="2"/>
  <c r="H56" i="2" s="1"/>
  <c r="C56" i="2"/>
  <c r="K78" i="2"/>
  <c r="I78" i="2"/>
  <c r="J78" i="2" s="1"/>
  <c r="G88" i="2"/>
  <c r="C88" i="2"/>
  <c r="G96" i="2"/>
  <c r="C96" i="2"/>
  <c r="G150" i="2"/>
  <c r="H150" i="2" s="1"/>
  <c r="C150" i="2"/>
  <c r="I176" i="2"/>
  <c r="J176" i="2" s="1"/>
  <c r="K176" i="2"/>
  <c r="G195" i="2"/>
  <c r="C195" i="2"/>
  <c r="H18" i="2"/>
  <c r="H26" i="2"/>
  <c r="H34" i="2"/>
  <c r="H42" i="2"/>
  <c r="H50" i="2"/>
  <c r="H58" i="2"/>
  <c r="H66" i="2"/>
  <c r="H74" i="2"/>
  <c r="H82" i="2"/>
  <c r="H90" i="2"/>
  <c r="C111" i="2"/>
  <c r="C126" i="2"/>
  <c r="H126" i="2" s="1"/>
  <c r="H137" i="2"/>
  <c r="H172" i="2"/>
  <c r="I191" i="2"/>
  <c r="J191" i="2" s="1"/>
  <c r="C200" i="2"/>
  <c r="H200" i="2" s="1"/>
  <c r="I13" i="3"/>
  <c r="G40" i="2"/>
  <c r="C40" i="2"/>
  <c r="K70" i="2"/>
  <c r="I70" i="2"/>
  <c r="J70" i="2" s="1"/>
  <c r="G80" i="2"/>
  <c r="C80" i="2"/>
  <c r="I132" i="2"/>
  <c r="J132" i="2" s="1"/>
  <c r="K132" i="2"/>
  <c r="C5" i="2"/>
  <c r="H5" i="2" s="1"/>
  <c r="C7" i="2"/>
  <c r="H7" i="2" s="1"/>
  <c r="C9" i="2"/>
  <c r="C11" i="2"/>
  <c r="G9" i="2"/>
  <c r="H9" i="2" s="1"/>
  <c r="G11" i="2"/>
  <c r="H11" i="2" s="1"/>
  <c r="I15" i="2"/>
  <c r="J15" i="2" s="1"/>
  <c r="K15" i="2"/>
  <c r="H133" i="2"/>
  <c r="G135" i="2"/>
  <c r="H135" i="2" s="1"/>
  <c r="C135" i="2"/>
  <c r="L5" i="2"/>
  <c r="G32" i="2"/>
  <c r="H32" i="2" s="1"/>
  <c r="C32" i="2"/>
  <c r="K62" i="2"/>
  <c r="I62" i="2"/>
  <c r="J62" i="2" s="1"/>
  <c r="G72" i="2"/>
  <c r="H72" i="2" s="1"/>
  <c r="C72" i="2"/>
  <c r="K13" i="2"/>
  <c r="I13" i="2"/>
  <c r="J13" i="2" s="1"/>
  <c r="I23" i="2"/>
  <c r="J23" i="2" s="1"/>
  <c r="K23" i="2"/>
  <c r="C146" i="2"/>
  <c r="G146" i="2"/>
  <c r="H146" i="2" s="1"/>
  <c r="K166" i="2"/>
  <c r="I166" i="2"/>
  <c r="J166" i="2" s="1"/>
  <c r="K181" i="2"/>
  <c r="I181" i="2"/>
  <c r="J181" i="2" s="1"/>
  <c r="H20" i="2"/>
  <c r="H33" i="2"/>
  <c r="H41" i="2"/>
  <c r="H49" i="2"/>
  <c r="H57" i="2"/>
  <c r="H65" i="2"/>
  <c r="H73" i="2"/>
  <c r="H81" i="2"/>
  <c r="H89" i="2"/>
  <c r="G101" i="2"/>
  <c r="C101" i="2"/>
  <c r="C107" i="2"/>
  <c r="H107" i="2" s="1"/>
  <c r="G116" i="2"/>
  <c r="H116" i="2" s="1"/>
  <c r="C116" i="2"/>
  <c r="G122" i="2"/>
  <c r="H122" i="2" s="1"/>
  <c r="I142" i="2"/>
  <c r="J142" i="2" s="1"/>
  <c r="I157" i="2"/>
  <c r="J157" i="2" s="1"/>
  <c r="H175" i="2"/>
  <c r="L7" i="2"/>
  <c r="K30" i="2"/>
  <c r="I30" i="2"/>
  <c r="J30" i="2" s="1"/>
  <c r="K46" i="2"/>
  <c r="I46" i="2"/>
  <c r="J46" i="2" s="1"/>
  <c r="K86" i="2"/>
  <c r="I86" i="2"/>
  <c r="J86" i="2" s="1"/>
  <c r="I100" i="2"/>
  <c r="J100" i="2" s="1"/>
  <c r="K100" i="2"/>
  <c r="H111" i="2"/>
  <c r="Q64" i="6"/>
  <c r="L64" i="6"/>
  <c r="H64" i="6"/>
  <c r="G37" i="2"/>
  <c r="C37" i="2"/>
  <c r="G45" i="2"/>
  <c r="H45" i="2" s="1"/>
  <c r="C45" i="2"/>
  <c r="G53" i="2"/>
  <c r="H53" i="2" s="1"/>
  <c r="C53" i="2"/>
  <c r="C61" i="2"/>
  <c r="G61" i="2"/>
  <c r="H61" i="2" s="1"/>
  <c r="C69" i="2"/>
  <c r="G69" i="2"/>
  <c r="H69" i="2" s="1"/>
  <c r="G77" i="2"/>
  <c r="H77" i="2" s="1"/>
  <c r="C77" i="2"/>
  <c r="G85" i="2"/>
  <c r="H85" i="2" s="1"/>
  <c r="C85" i="2"/>
  <c r="C93" i="2"/>
  <c r="G93" i="2"/>
  <c r="H93" i="2" s="1"/>
  <c r="G131" i="2"/>
  <c r="C131" i="2"/>
  <c r="H136" i="2"/>
  <c r="K151" i="2"/>
  <c r="I151" i="2"/>
  <c r="J151" i="2" s="1"/>
  <c r="G160" i="2"/>
  <c r="H160" i="2" s="1"/>
  <c r="C160" i="2"/>
  <c r="H190" i="2"/>
  <c r="I196" i="2"/>
  <c r="J196" i="2" s="1"/>
  <c r="K196" i="2"/>
  <c r="G191" i="6"/>
  <c r="G183" i="6"/>
  <c r="H171" i="5"/>
  <c r="I137" i="3"/>
  <c r="I177" i="2"/>
  <c r="J177" i="2" s="1"/>
  <c r="C190" i="2"/>
  <c r="H201" i="2"/>
  <c r="G160" i="6"/>
  <c r="I127" i="3"/>
  <c r="G146" i="6"/>
  <c r="H91" i="5"/>
  <c r="I134" i="3"/>
  <c r="I21" i="2"/>
  <c r="J21" i="2" s="1"/>
  <c r="K21" i="2"/>
  <c r="K54" i="2"/>
  <c r="I54" i="2"/>
  <c r="J54" i="2" s="1"/>
  <c r="G64" i="2"/>
  <c r="C64" i="2"/>
  <c r="K94" i="2"/>
  <c r="I94" i="2"/>
  <c r="J94" i="2" s="1"/>
  <c r="L8" i="2"/>
  <c r="I17" i="2"/>
  <c r="J17" i="2" s="1"/>
  <c r="K17" i="2"/>
  <c r="G29" i="2"/>
  <c r="C29" i="2"/>
  <c r="H112" i="2"/>
  <c r="H14" i="2"/>
  <c r="K31" i="2"/>
  <c r="I31" i="2"/>
  <c r="J31" i="2" s="1"/>
  <c r="K47" i="2"/>
  <c r="I47" i="2"/>
  <c r="J47" i="2" s="1"/>
  <c r="K63" i="2"/>
  <c r="I63" i="2"/>
  <c r="J63" i="2" s="1"/>
  <c r="K71" i="2"/>
  <c r="I71" i="2"/>
  <c r="J71" i="2" s="1"/>
  <c r="K79" i="2"/>
  <c r="I79" i="2"/>
  <c r="J79" i="2" s="1"/>
  <c r="K87" i="2"/>
  <c r="I87" i="2"/>
  <c r="J87" i="2" s="1"/>
  <c r="K95" i="2"/>
  <c r="I95" i="2"/>
  <c r="J95" i="2" s="1"/>
  <c r="H108" i="2"/>
  <c r="H156" i="2"/>
  <c r="G165" i="2"/>
  <c r="H165" i="2" s="1"/>
  <c r="C165" i="2"/>
  <c r="C171" i="2"/>
  <c r="H171" i="2" s="1"/>
  <c r="G180" i="2"/>
  <c r="C180" i="2"/>
  <c r="G199" i="2"/>
  <c r="C199" i="2"/>
  <c r="I25" i="2"/>
  <c r="J25" i="2" s="1"/>
  <c r="K25" i="2"/>
  <c r="C6" i="2"/>
  <c r="C8" i="2"/>
  <c r="C10" i="2"/>
  <c r="C12" i="2"/>
  <c r="H22" i="2"/>
  <c r="I127" i="2"/>
  <c r="J127" i="2" s="1"/>
  <c r="G6" i="2"/>
  <c r="L6" i="2" s="1"/>
  <c r="G8" i="2"/>
  <c r="H8" i="2" s="1"/>
  <c r="G10" i="2"/>
  <c r="H10" i="2" s="1"/>
  <c r="G12" i="2"/>
  <c r="H12" i="2" s="1"/>
  <c r="H19" i="2"/>
  <c r="K39" i="2"/>
  <c r="I39" i="2"/>
  <c r="J39" i="2" s="1"/>
  <c r="K55" i="2"/>
  <c r="I55" i="2"/>
  <c r="J55" i="2" s="1"/>
  <c r="H16" i="2"/>
  <c r="H24" i="2"/>
  <c r="H102" i="2"/>
  <c r="H117" i="2"/>
  <c r="K119" i="2"/>
  <c r="C141" i="2"/>
  <c r="H141" i="2" s="1"/>
  <c r="H152" i="2"/>
  <c r="C156" i="2"/>
  <c r="G186" i="2"/>
  <c r="H186" i="2" s="1"/>
  <c r="C28" i="2"/>
  <c r="H28" i="2" s="1"/>
  <c r="C36" i="2"/>
  <c r="H36" i="2" s="1"/>
  <c r="C44" i="2"/>
  <c r="H44" i="2" s="1"/>
  <c r="C52" i="2"/>
  <c r="H52" i="2" s="1"/>
  <c r="C60" i="2"/>
  <c r="H60" i="2" s="1"/>
  <c r="C68" i="2"/>
  <c r="H68" i="2" s="1"/>
  <c r="C76" i="2"/>
  <c r="H76" i="2" s="1"/>
  <c r="C84" i="2"/>
  <c r="H84" i="2" s="1"/>
  <c r="C92" i="2"/>
  <c r="H92" i="2" s="1"/>
  <c r="C99" i="2"/>
  <c r="C103" i="2"/>
  <c r="H103" i="2" s="1"/>
  <c r="G104" i="2"/>
  <c r="H104" i="2" s="1"/>
  <c r="G109" i="2"/>
  <c r="H109" i="2" s="1"/>
  <c r="G114" i="2"/>
  <c r="H114" i="2" s="1"/>
  <c r="C118" i="2"/>
  <c r="H118" i="2" s="1"/>
  <c r="H123" i="2"/>
  <c r="G124" i="2"/>
  <c r="H124" i="2" s="1"/>
  <c r="K125" i="2"/>
  <c r="C128" i="2"/>
  <c r="H128" i="2" s="1"/>
  <c r="H129" i="2"/>
  <c r="C133" i="2"/>
  <c r="K140" i="2"/>
  <c r="G143" i="2"/>
  <c r="H143" i="2" s="1"/>
  <c r="C148" i="2"/>
  <c r="H148" i="2" s="1"/>
  <c r="G158" i="2"/>
  <c r="H158" i="2" s="1"/>
  <c r="C163" i="2"/>
  <c r="C167" i="2"/>
  <c r="H167" i="2" s="1"/>
  <c r="G168" i="2"/>
  <c r="H168" i="2" s="1"/>
  <c r="G173" i="2"/>
  <c r="H173" i="2" s="1"/>
  <c r="G178" i="2"/>
  <c r="H178" i="2" s="1"/>
  <c r="C182" i="2"/>
  <c r="H182" i="2" s="1"/>
  <c r="H187" i="2"/>
  <c r="G188" i="2"/>
  <c r="H188" i="2" s="1"/>
  <c r="K189" i="2"/>
  <c r="C192" i="2"/>
  <c r="H192" i="2" s="1"/>
  <c r="H193" i="2"/>
  <c r="C197" i="2"/>
  <c r="H197" i="2" s="1"/>
  <c r="K204" i="2"/>
  <c r="H170" i="5"/>
  <c r="I126" i="3"/>
  <c r="G22" i="6"/>
  <c r="I130" i="3"/>
  <c r="I258" i="3"/>
  <c r="K120" i="2"/>
  <c r="C123" i="2"/>
  <c r="K130" i="2"/>
  <c r="G138" i="2"/>
  <c r="H138" i="2" s="1"/>
  <c r="K145" i="2"/>
  <c r="H147" i="2"/>
  <c r="H153" i="2"/>
  <c r="K159" i="2"/>
  <c r="K184" i="2"/>
  <c r="C187" i="2"/>
  <c r="K194" i="2"/>
  <c r="G202" i="2"/>
  <c r="H202" i="2" s="1"/>
  <c r="M60" i="5"/>
  <c r="R60" i="5"/>
  <c r="I60" i="5"/>
  <c r="H95" i="6"/>
  <c r="Q95" i="6"/>
  <c r="L95" i="6"/>
  <c r="G114" i="6"/>
  <c r="H109" i="5"/>
  <c r="I249" i="3"/>
  <c r="G140" i="6"/>
  <c r="G169" i="6"/>
  <c r="I319" i="3"/>
  <c r="H97" i="2"/>
  <c r="H155" i="2"/>
  <c r="H161" i="2"/>
  <c r="G154" i="6"/>
  <c r="H160" i="5"/>
  <c r="I17" i="3"/>
  <c r="G170" i="6"/>
  <c r="G184" i="6"/>
  <c r="H172" i="5"/>
  <c r="H145" i="5"/>
  <c r="I298" i="3"/>
  <c r="G162" i="6"/>
  <c r="G122" i="6"/>
  <c r="G6" i="6"/>
  <c r="H115" i="2"/>
  <c r="H179" i="2"/>
  <c r="G119" i="6"/>
  <c r="I376" i="3"/>
  <c r="H33" i="5"/>
  <c r="I409" i="3"/>
  <c r="G161" i="6"/>
  <c r="G159" i="6"/>
  <c r="H137" i="5"/>
  <c r="I125" i="3"/>
  <c r="G40" i="6"/>
  <c r="I129" i="3"/>
  <c r="R12" i="5"/>
  <c r="I12" i="5"/>
  <c r="M12" i="5"/>
  <c r="H99" i="2"/>
  <c r="H105" i="2"/>
  <c r="I110" i="2"/>
  <c r="J110" i="2" s="1"/>
  <c r="H134" i="2"/>
  <c r="C139" i="2"/>
  <c r="H139" i="2" s="1"/>
  <c r="H144" i="2"/>
  <c r="H149" i="2"/>
  <c r="G154" i="2"/>
  <c r="H154" i="2" s="1"/>
  <c r="H163" i="2"/>
  <c r="H164" i="2"/>
  <c r="H169" i="2"/>
  <c r="I174" i="2"/>
  <c r="J174" i="2" s="1"/>
  <c r="H183" i="2"/>
  <c r="H198" i="2"/>
  <c r="C203" i="2"/>
  <c r="H203" i="2" s="1"/>
  <c r="G98" i="6"/>
  <c r="H93" i="5"/>
  <c r="R107" i="5"/>
  <c r="M107" i="5"/>
  <c r="I107" i="5"/>
  <c r="M13" i="5"/>
  <c r="R13" i="5"/>
  <c r="I13" i="5"/>
  <c r="G10" i="4"/>
  <c r="H10" i="4" s="1"/>
  <c r="I10" i="4"/>
  <c r="J10" i="4" s="1"/>
  <c r="M5" i="5"/>
  <c r="R5" i="5"/>
  <c r="I5" i="5"/>
  <c r="G29" i="6"/>
  <c r="H47" i="5"/>
  <c r="H125" i="5"/>
  <c r="H124" i="5"/>
  <c r="R75" i="5"/>
  <c r="M75" i="5"/>
  <c r="I75" i="5"/>
  <c r="G199" i="6"/>
  <c r="H185" i="5"/>
  <c r="H179" i="5"/>
  <c r="G127" i="6"/>
  <c r="G111" i="6"/>
  <c r="G200" i="6"/>
  <c r="H187" i="5"/>
  <c r="I237" i="3"/>
  <c r="G176" i="6"/>
  <c r="G153" i="6"/>
  <c r="I289" i="3"/>
  <c r="H25" i="5"/>
  <c r="I354" i="3"/>
  <c r="I412" i="3"/>
  <c r="I77" i="5"/>
  <c r="R77" i="5"/>
  <c r="M77" i="5"/>
  <c r="G138" i="6"/>
  <c r="H127" i="5"/>
  <c r="H85" i="5"/>
  <c r="G210" i="6"/>
  <c r="H196" i="5"/>
  <c r="H213" i="6"/>
  <c r="Q213" i="6"/>
  <c r="L213" i="6"/>
  <c r="G137" i="6"/>
  <c r="I465" i="3"/>
  <c r="I512" i="3"/>
  <c r="H92" i="5"/>
  <c r="G90" i="6"/>
  <c r="G133" i="6"/>
  <c r="G155" i="6"/>
  <c r="H144" i="5"/>
  <c r="G151" i="6"/>
  <c r="G139" i="6"/>
  <c r="I241" i="3"/>
  <c r="I6" i="5"/>
  <c r="R6" i="5"/>
  <c r="M6" i="5"/>
  <c r="I482" i="3"/>
  <c r="H30" i="5"/>
  <c r="H51" i="5"/>
  <c r="I133" i="3"/>
  <c r="I162" i="3"/>
  <c r="I194" i="3"/>
  <c r="G208" i="6"/>
  <c r="H195" i="5"/>
  <c r="G121" i="6"/>
  <c r="H101" i="5"/>
  <c r="I50" i="5"/>
  <c r="R50" i="5"/>
  <c r="M50" i="5"/>
  <c r="G107" i="6"/>
  <c r="H104" i="5"/>
  <c r="G152" i="6"/>
  <c r="G5" i="6"/>
  <c r="G178" i="6"/>
  <c r="H166" i="5"/>
  <c r="I206" i="3"/>
  <c r="I32" i="5"/>
  <c r="R32" i="5"/>
  <c r="M32" i="5"/>
  <c r="I128" i="5"/>
  <c r="R128" i="5"/>
  <c r="M128" i="5"/>
  <c r="G130" i="6"/>
  <c r="I257" i="3"/>
  <c r="I287" i="3"/>
  <c r="L99" i="6"/>
  <c r="H99" i="6"/>
  <c r="Q99" i="6"/>
  <c r="G168" i="6"/>
  <c r="G105" i="6"/>
  <c r="I321" i="3"/>
  <c r="G26" i="6"/>
  <c r="I401" i="3"/>
  <c r="G205" i="6"/>
  <c r="H188" i="5"/>
  <c r="H192" i="5"/>
  <c r="I212" i="3"/>
  <c r="H22" i="5"/>
  <c r="I233" i="3"/>
  <c r="Q192" i="6"/>
  <c r="L192" i="6"/>
  <c r="H192" i="6"/>
  <c r="I242" i="3"/>
  <c r="R115" i="5"/>
  <c r="M115" i="5"/>
  <c r="I115" i="5"/>
  <c r="I306" i="3"/>
  <c r="G103" i="6"/>
  <c r="G9" i="6"/>
  <c r="I379" i="3"/>
  <c r="G17" i="6"/>
  <c r="H17" i="5"/>
  <c r="I448" i="3"/>
  <c r="G144" i="6"/>
  <c r="H129" i="5"/>
  <c r="H20" i="5"/>
  <c r="I386" i="3"/>
  <c r="Q25" i="6"/>
  <c r="L25" i="6"/>
  <c r="H25" i="6"/>
  <c r="G131" i="6"/>
  <c r="H122" i="5"/>
  <c r="H108" i="6"/>
  <c r="Q108" i="6"/>
  <c r="L108" i="6"/>
  <c r="I69" i="5"/>
  <c r="R69" i="5"/>
  <c r="M69" i="5"/>
  <c r="Q73" i="6"/>
  <c r="L73" i="6"/>
  <c r="H73" i="6"/>
  <c r="G7" i="4"/>
  <c r="H7" i="4" s="1"/>
  <c r="H29" i="5"/>
  <c r="C36" i="5"/>
  <c r="H36" i="5"/>
  <c r="R193" i="5"/>
  <c r="I193" i="5"/>
  <c r="M193" i="5"/>
  <c r="G68" i="6"/>
  <c r="H80" i="5"/>
  <c r="I56" i="5"/>
  <c r="R56" i="5"/>
  <c r="M56" i="5"/>
  <c r="I375" i="3"/>
  <c r="G72" i="6"/>
  <c r="I378" i="3"/>
  <c r="G87" i="6"/>
  <c r="G67" i="6"/>
  <c r="H83" i="5"/>
  <c r="L44" i="6"/>
  <c r="H44" i="6"/>
  <c r="Q44" i="6"/>
  <c r="I400" i="3"/>
  <c r="R67" i="5"/>
  <c r="I67" i="5"/>
  <c r="M67" i="5"/>
  <c r="I414" i="3"/>
  <c r="I425" i="3"/>
  <c r="I464" i="3"/>
  <c r="G201" i="6"/>
  <c r="H180" i="5"/>
  <c r="H153" i="5"/>
  <c r="I502" i="3"/>
  <c r="I45" i="5"/>
  <c r="M45" i="5"/>
  <c r="R45" i="5"/>
  <c r="C11" i="5"/>
  <c r="H11" i="5"/>
  <c r="I14" i="5"/>
  <c r="R14" i="5"/>
  <c r="M14" i="5"/>
  <c r="H62" i="5"/>
  <c r="C62" i="5"/>
  <c r="R43" i="5"/>
  <c r="I43" i="5"/>
  <c r="M43" i="5"/>
  <c r="H42" i="5"/>
  <c r="H59" i="5"/>
  <c r="R28" i="5"/>
  <c r="I28" i="5"/>
  <c r="M28" i="5"/>
  <c r="G43" i="6"/>
  <c r="H24" i="5"/>
  <c r="G36" i="6"/>
  <c r="H9" i="5"/>
  <c r="H202" i="6"/>
  <c r="Q202" i="6"/>
  <c r="L202" i="6"/>
  <c r="R169" i="5"/>
  <c r="I169" i="5"/>
  <c r="M169" i="5"/>
  <c r="H21" i="5"/>
  <c r="H132" i="5"/>
  <c r="C132" i="5"/>
  <c r="Q136" i="6"/>
  <c r="L136" i="6"/>
  <c r="H136" i="6"/>
  <c r="Q194" i="6"/>
  <c r="L194" i="6"/>
  <c r="H194" i="6"/>
  <c r="L185" i="6"/>
  <c r="H185" i="6"/>
  <c r="Q185" i="6"/>
  <c r="G48" i="6"/>
  <c r="H82" i="5"/>
  <c r="G167" i="6"/>
  <c r="G85" i="6"/>
  <c r="I357" i="3"/>
  <c r="G145" i="6"/>
  <c r="H136" i="5"/>
  <c r="G86" i="6"/>
  <c r="H99" i="5"/>
  <c r="I393" i="3"/>
  <c r="I396" i="3"/>
  <c r="I407" i="3"/>
  <c r="R123" i="5"/>
  <c r="M123" i="5"/>
  <c r="I123" i="5"/>
  <c r="H163" i="6"/>
  <c r="L163" i="6"/>
  <c r="Q163" i="6"/>
  <c r="I435" i="3"/>
  <c r="G186" i="6"/>
  <c r="G175" i="6"/>
  <c r="I457" i="3"/>
  <c r="I474" i="3"/>
  <c r="G69" i="6"/>
  <c r="G56" i="6"/>
  <c r="I11" i="4"/>
  <c r="J11" i="4" s="1"/>
  <c r="G11" i="4"/>
  <c r="H11" i="4" s="1"/>
  <c r="I96" i="5"/>
  <c r="R96" i="5"/>
  <c r="G195" i="6"/>
  <c r="H178" i="5"/>
  <c r="H116" i="6"/>
  <c r="Q116" i="6"/>
  <c r="L116" i="6"/>
  <c r="I64" i="5"/>
  <c r="R64" i="5"/>
  <c r="M64" i="5"/>
  <c r="G123" i="6"/>
  <c r="H114" i="5"/>
  <c r="I200" i="3"/>
  <c r="I240" i="3"/>
  <c r="I256" i="3"/>
  <c r="G187" i="6"/>
  <c r="H177" i="5"/>
  <c r="H184" i="5"/>
  <c r="I312" i="3"/>
  <c r="I320" i="3"/>
  <c r="I374" i="3"/>
  <c r="Q102" i="6"/>
  <c r="L102" i="6"/>
  <c r="H102" i="6"/>
  <c r="I388" i="3"/>
  <c r="G77" i="6"/>
  <c r="G51" i="6"/>
  <c r="G52" i="6"/>
  <c r="I402" i="3"/>
  <c r="G65" i="6"/>
  <c r="H40" i="5"/>
  <c r="I424" i="3"/>
  <c r="H39" i="5"/>
  <c r="H55" i="5"/>
  <c r="H100" i="5"/>
  <c r="R63" i="5"/>
  <c r="M63" i="5"/>
  <c r="I63" i="5"/>
  <c r="I48" i="5"/>
  <c r="R48" i="5"/>
  <c r="M48" i="5"/>
  <c r="G33" i="6"/>
  <c r="H161" i="5"/>
  <c r="G18" i="6"/>
  <c r="H72" i="5"/>
  <c r="Q27" i="6"/>
  <c r="L27" i="6"/>
  <c r="H27" i="6"/>
  <c r="I394" i="3"/>
  <c r="H88" i="5"/>
  <c r="G91" i="6"/>
  <c r="G81" i="6"/>
  <c r="H68" i="5"/>
  <c r="G106" i="6"/>
  <c r="H112" i="5"/>
  <c r="I472" i="3"/>
  <c r="G10" i="6"/>
  <c r="G35" i="6"/>
  <c r="G34" i="6"/>
  <c r="H78" i="5"/>
  <c r="I14" i="4"/>
  <c r="J14" i="4" s="1"/>
  <c r="H18" i="5"/>
  <c r="H26" i="5"/>
  <c r="H34" i="5"/>
  <c r="H52" i="5"/>
  <c r="C108" i="5"/>
  <c r="H108" i="5"/>
  <c r="C18" i="5"/>
  <c r="C26" i="5"/>
  <c r="C34" i="5"/>
  <c r="H37" i="5"/>
  <c r="H81" i="5"/>
  <c r="C81" i="5"/>
  <c r="H90" i="5"/>
  <c r="H105" i="5"/>
  <c r="C105" i="5"/>
  <c r="H131" i="5"/>
  <c r="C131" i="5"/>
  <c r="H10" i="5"/>
  <c r="H53" i="5"/>
  <c r="C53" i="5"/>
  <c r="C76" i="5"/>
  <c r="H76" i="5"/>
  <c r="C98" i="5"/>
  <c r="H98" i="5"/>
  <c r="C152" i="5"/>
  <c r="H152" i="5"/>
  <c r="H117" i="5"/>
  <c r="H116" i="5"/>
  <c r="C10" i="5"/>
  <c r="H16" i="5"/>
  <c r="H44" i="5"/>
  <c r="C58" i="5"/>
  <c r="H58" i="5"/>
  <c r="H73" i="5"/>
  <c r="C73" i="5"/>
  <c r="H15" i="5"/>
  <c r="H23" i="5"/>
  <c r="H31" i="5"/>
  <c r="H38" i="5"/>
  <c r="H61" i="5"/>
  <c r="H86" i="5"/>
  <c r="C86" i="5"/>
  <c r="C95" i="5"/>
  <c r="H95" i="5"/>
  <c r="H110" i="5"/>
  <c r="G80" i="6"/>
  <c r="H66" i="5"/>
  <c r="Q215" i="6"/>
  <c r="H215" i="6"/>
  <c r="H171" i="6"/>
  <c r="L171" i="6"/>
  <c r="Q171" i="6"/>
  <c r="G129" i="6"/>
  <c r="H120" i="5"/>
  <c r="H7" i="5"/>
  <c r="H8" i="5"/>
  <c r="C15" i="5"/>
  <c r="H19" i="5"/>
  <c r="C23" i="5"/>
  <c r="H27" i="5"/>
  <c r="C31" i="5"/>
  <c r="H35" i="5"/>
  <c r="H49" i="5"/>
  <c r="C49" i="5"/>
  <c r="C110" i="5"/>
  <c r="H142" i="5"/>
  <c r="C142" i="5"/>
  <c r="H54" i="5"/>
  <c r="C71" i="5"/>
  <c r="H71" i="5"/>
  <c r="C103" i="5"/>
  <c r="H103" i="5"/>
  <c r="C119" i="5"/>
  <c r="H119" i="5"/>
  <c r="H164" i="5"/>
  <c r="C168" i="5"/>
  <c r="H168" i="5"/>
  <c r="H141" i="5"/>
  <c r="C141" i="5"/>
  <c r="H146" i="5"/>
  <c r="H151" i="5"/>
  <c r="C151" i="5"/>
  <c r="H156" i="5"/>
  <c r="H70" i="5"/>
  <c r="H97" i="5"/>
  <c r="C97" i="5"/>
  <c r="H102" i="5"/>
  <c r="H147" i="5"/>
  <c r="C147" i="5"/>
  <c r="H173" i="5"/>
  <c r="H41" i="5"/>
  <c r="H57" i="5"/>
  <c r="C57" i="5"/>
  <c r="C87" i="5"/>
  <c r="H87" i="5"/>
  <c r="H133" i="5"/>
  <c r="C133" i="5"/>
  <c r="H138" i="5"/>
  <c r="H143" i="5"/>
  <c r="C143" i="5"/>
  <c r="H148" i="5"/>
  <c r="H158" i="5"/>
  <c r="H162" i="5"/>
  <c r="C41" i="5"/>
  <c r="H89" i="5"/>
  <c r="C89" i="5"/>
  <c r="H94" i="5"/>
  <c r="H134" i="5"/>
  <c r="C138" i="5"/>
  <c r="C148" i="5"/>
  <c r="C158" i="5"/>
  <c r="Q207" i="6"/>
  <c r="L207" i="6"/>
  <c r="H207" i="6"/>
  <c r="H46" i="5"/>
  <c r="H65" i="5"/>
  <c r="C65" i="5"/>
  <c r="H74" i="5"/>
  <c r="C79" i="5"/>
  <c r="H79" i="5"/>
  <c r="H84" i="5"/>
  <c r="C94" i="5"/>
  <c r="H106" i="5"/>
  <c r="C111" i="5"/>
  <c r="H111" i="5"/>
  <c r="H121" i="5"/>
  <c r="C121" i="5"/>
  <c r="H139" i="5"/>
  <c r="C139" i="5"/>
  <c r="H149" i="5"/>
  <c r="C149" i="5"/>
  <c r="H154" i="5"/>
  <c r="H113" i="5"/>
  <c r="C113" i="5"/>
  <c r="H130" i="5"/>
  <c r="H135" i="5"/>
  <c r="C135" i="5"/>
  <c r="H140" i="5"/>
  <c r="H150" i="5"/>
  <c r="C154" i="5"/>
  <c r="H118" i="5"/>
  <c r="G15" i="6"/>
  <c r="C176" i="5"/>
  <c r="H176" i="5"/>
  <c r="G42" i="6"/>
  <c r="H155" i="5"/>
  <c r="H157" i="5"/>
  <c r="H159" i="5"/>
  <c r="H163" i="5"/>
  <c r="H165" i="5"/>
  <c r="G32" i="6"/>
  <c r="C32" i="6"/>
  <c r="H126" i="5"/>
  <c r="C155" i="5"/>
  <c r="C157" i="5"/>
  <c r="G19" i="6"/>
  <c r="G21" i="6"/>
  <c r="G23" i="6"/>
  <c r="G37" i="6"/>
  <c r="C37" i="6"/>
  <c r="C60" i="6"/>
  <c r="G60" i="6"/>
  <c r="H183" i="5"/>
  <c r="H191" i="5"/>
  <c r="I199" i="5"/>
  <c r="G7" i="6"/>
  <c r="C7" i="6"/>
  <c r="G13" i="6"/>
  <c r="C21" i="6"/>
  <c r="G28" i="6"/>
  <c r="C28" i="6"/>
  <c r="G45" i="6"/>
  <c r="C45" i="6"/>
  <c r="G49" i="6"/>
  <c r="H186" i="5"/>
  <c r="H194" i="5"/>
  <c r="I204" i="5"/>
  <c r="G24" i="6"/>
  <c r="C24" i="6"/>
  <c r="G53" i="6"/>
  <c r="C53" i="6"/>
  <c r="G70" i="6"/>
  <c r="H167" i="5"/>
  <c r="H175" i="5"/>
  <c r="H182" i="5"/>
  <c r="C186" i="5"/>
  <c r="H190" i="5"/>
  <c r="C194" i="5"/>
  <c r="H198" i="5"/>
  <c r="C201" i="5"/>
  <c r="I201" i="5" s="1"/>
  <c r="L201" i="5" s="1"/>
  <c r="G12" i="6"/>
  <c r="G50" i="6"/>
  <c r="C70" i="6"/>
  <c r="H181" i="5"/>
  <c r="H189" i="5"/>
  <c r="H197" i="5"/>
  <c r="G20" i="6"/>
  <c r="C20" i="6"/>
  <c r="G30" i="6"/>
  <c r="C58" i="6"/>
  <c r="G58" i="6"/>
  <c r="H174" i="5"/>
  <c r="C181" i="5"/>
  <c r="C189" i="5"/>
  <c r="C197" i="5"/>
  <c r="J203" i="5"/>
  <c r="K203" i="5" s="1"/>
  <c r="L203" i="5"/>
  <c r="C8" i="6"/>
  <c r="G8" i="6"/>
  <c r="G14" i="6"/>
  <c r="C173" i="5"/>
  <c r="H200" i="5"/>
  <c r="I200" i="5" s="1"/>
  <c r="G11" i="6"/>
  <c r="G41" i="6"/>
  <c r="C30" i="6"/>
  <c r="G38" i="6"/>
  <c r="C41" i="6"/>
  <c r="G46" i="6"/>
  <c r="C49" i="6"/>
  <c r="G54" i="6"/>
  <c r="G57" i="6"/>
  <c r="G59" i="6"/>
  <c r="G61" i="6"/>
  <c r="G82" i="6"/>
  <c r="G141" i="6"/>
  <c r="C23" i="6"/>
  <c r="C38" i="6"/>
  <c r="G83" i="6"/>
  <c r="C83" i="6"/>
  <c r="G66" i="6"/>
  <c r="C66" i="6"/>
  <c r="G93" i="6"/>
  <c r="C93" i="6"/>
  <c r="G110" i="6"/>
  <c r="C110" i="6"/>
  <c r="G31" i="6"/>
  <c r="C42" i="6"/>
  <c r="C50" i="6"/>
  <c r="C15" i="6"/>
  <c r="G16" i="6"/>
  <c r="C31" i="6"/>
  <c r="G39" i="6"/>
  <c r="G47" i="6"/>
  <c r="G55" i="6"/>
  <c r="G74" i="6"/>
  <c r="G78" i="6"/>
  <c r="G89" i="6"/>
  <c r="C74" i="6"/>
  <c r="C78" i="6"/>
  <c r="C82" i="6"/>
  <c r="G94" i="6"/>
  <c r="G100" i="6"/>
  <c r="C100" i="6"/>
  <c r="G88" i="6"/>
  <c r="G124" i="6"/>
  <c r="G101" i="6"/>
  <c r="G115" i="6"/>
  <c r="G128" i="6"/>
  <c r="G62" i="6"/>
  <c r="G71" i="6"/>
  <c r="C71" i="6"/>
  <c r="G76" i="6"/>
  <c r="G92" i="6"/>
  <c r="C92" i="6"/>
  <c r="C101" i="6"/>
  <c r="C115" i="6"/>
  <c r="G125" i="6"/>
  <c r="C125" i="6"/>
  <c r="G132" i="6"/>
  <c r="C177" i="6"/>
  <c r="G177" i="6"/>
  <c r="C62" i="6"/>
  <c r="G63" i="6"/>
  <c r="G75" i="6"/>
  <c r="G79" i="6"/>
  <c r="C79" i="6"/>
  <c r="G84" i="6"/>
  <c r="G120" i="6"/>
  <c r="C143" i="6"/>
  <c r="G143" i="6"/>
  <c r="G147" i="6"/>
  <c r="C147" i="6"/>
  <c r="G181" i="6"/>
  <c r="C181" i="6"/>
  <c r="G118" i="6"/>
  <c r="C118" i="6"/>
  <c r="G134" i="6"/>
  <c r="G109" i="6"/>
  <c r="G204" i="6"/>
  <c r="C209" i="6"/>
  <c r="G209" i="6"/>
  <c r="G117" i="6"/>
  <c r="G150" i="6"/>
  <c r="C179" i="6"/>
  <c r="G179" i="6"/>
  <c r="G96" i="6"/>
  <c r="G97" i="6"/>
  <c r="G104" i="6"/>
  <c r="G113" i="6"/>
  <c r="C117" i="6"/>
  <c r="C124" i="6"/>
  <c r="C132" i="6"/>
  <c r="G112" i="6"/>
  <c r="G126" i="6"/>
  <c r="C126" i="6"/>
  <c r="G135" i="6"/>
  <c r="G156" i="6"/>
  <c r="G158" i="6"/>
  <c r="G189" i="6"/>
  <c r="C189" i="6"/>
  <c r="G212" i="6"/>
  <c r="G142" i="6"/>
  <c r="G164" i="6"/>
  <c r="G166" i="6"/>
  <c r="G197" i="6"/>
  <c r="G172" i="6"/>
  <c r="G174" i="6"/>
  <c r="G193" i="6"/>
  <c r="C141" i="6"/>
  <c r="G149" i="6"/>
  <c r="G180" i="6"/>
  <c r="G182" i="6"/>
  <c r="G157" i="6"/>
  <c r="C157" i="6"/>
  <c r="G188" i="6"/>
  <c r="G190" i="6"/>
  <c r="G198" i="6"/>
  <c r="G203" i="6"/>
  <c r="C203" i="6"/>
  <c r="G148" i="6"/>
  <c r="G165" i="6"/>
  <c r="C165" i="6"/>
  <c r="G196" i="6"/>
  <c r="G206" i="6"/>
  <c r="G211" i="6"/>
  <c r="C211" i="6"/>
  <c r="G173" i="6"/>
  <c r="C173" i="6"/>
  <c r="G214" i="6"/>
  <c r="C204" i="6"/>
  <c r="C212" i="6"/>
  <c r="C197" i="6"/>
  <c r="J202" i="5" l="1"/>
  <c r="K202" i="5" s="1"/>
  <c r="L202" i="5"/>
  <c r="K36" i="2"/>
  <c r="I36" i="2"/>
  <c r="J36" i="2" s="1"/>
  <c r="K171" i="2"/>
  <c r="I171" i="2"/>
  <c r="J171" i="2" s="1"/>
  <c r="K126" i="2"/>
  <c r="I126" i="2"/>
  <c r="J126" i="2" s="1"/>
  <c r="K92" i="2"/>
  <c r="I92" i="2"/>
  <c r="J92" i="2" s="1"/>
  <c r="K28" i="2"/>
  <c r="I28" i="2"/>
  <c r="J28" i="2" s="1"/>
  <c r="K7" i="2"/>
  <c r="I7" i="2"/>
  <c r="J7" i="2" s="1"/>
  <c r="I203" i="2"/>
  <c r="J203" i="2" s="1"/>
  <c r="K203" i="2"/>
  <c r="K182" i="2"/>
  <c r="I182" i="2"/>
  <c r="J182" i="2" s="1"/>
  <c r="K118" i="2"/>
  <c r="I118" i="2"/>
  <c r="J118" i="2" s="1"/>
  <c r="K76" i="2"/>
  <c r="I76" i="2"/>
  <c r="J76" i="2" s="1"/>
  <c r="I107" i="2"/>
  <c r="J107" i="2" s="1"/>
  <c r="K107" i="2"/>
  <c r="I148" i="2"/>
  <c r="J148" i="2" s="1"/>
  <c r="K148" i="2"/>
  <c r="K68" i="2"/>
  <c r="I68" i="2"/>
  <c r="J68" i="2" s="1"/>
  <c r="K200" i="2"/>
  <c r="I200" i="2"/>
  <c r="J200" i="2" s="1"/>
  <c r="I139" i="2"/>
  <c r="J139" i="2" s="1"/>
  <c r="K139" i="2"/>
  <c r="I197" i="2"/>
  <c r="J197" i="2" s="1"/>
  <c r="K197" i="2"/>
  <c r="K60" i="2"/>
  <c r="I60" i="2"/>
  <c r="J60" i="2" s="1"/>
  <c r="K141" i="2"/>
  <c r="I141" i="2"/>
  <c r="J141" i="2" s="1"/>
  <c r="I5" i="2"/>
  <c r="J5" i="2" s="1"/>
  <c r="K5" i="2"/>
  <c r="K52" i="2"/>
  <c r="I52" i="2"/>
  <c r="J52" i="2" s="1"/>
  <c r="K84" i="2"/>
  <c r="I84" i="2"/>
  <c r="J84" i="2" s="1"/>
  <c r="K192" i="2"/>
  <c r="I192" i="2"/>
  <c r="J192" i="2" s="1"/>
  <c r="K167" i="2"/>
  <c r="I167" i="2"/>
  <c r="J167" i="2" s="1"/>
  <c r="K128" i="2"/>
  <c r="I128" i="2"/>
  <c r="J128" i="2" s="1"/>
  <c r="K103" i="2"/>
  <c r="I103" i="2"/>
  <c r="J103" i="2" s="1"/>
  <c r="K44" i="2"/>
  <c r="I44" i="2"/>
  <c r="J44" i="2" s="1"/>
  <c r="H196" i="6"/>
  <c r="Q196" i="6"/>
  <c r="L196" i="6"/>
  <c r="Q84" i="6"/>
  <c r="L84" i="6"/>
  <c r="H84" i="6"/>
  <c r="Q132" i="6"/>
  <c r="L132" i="6"/>
  <c r="H132" i="6"/>
  <c r="L57" i="6"/>
  <c r="H57" i="6"/>
  <c r="Q57" i="6"/>
  <c r="Q7" i="6"/>
  <c r="L7" i="6"/>
  <c r="H7" i="6"/>
  <c r="R35" i="5"/>
  <c r="I35" i="5"/>
  <c r="M35" i="5"/>
  <c r="Q34" i="6"/>
  <c r="L34" i="6"/>
  <c r="H34" i="6"/>
  <c r="M100" i="5"/>
  <c r="R100" i="5"/>
  <c r="I100" i="5"/>
  <c r="R132" i="5"/>
  <c r="I132" i="5"/>
  <c r="M132" i="5"/>
  <c r="Q72" i="6"/>
  <c r="H72" i="6"/>
  <c r="L72" i="6"/>
  <c r="L193" i="5"/>
  <c r="J193" i="5"/>
  <c r="K193" i="5" s="1"/>
  <c r="Q121" i="6"/>
  <c r="L121" i="6"/>
  <c r="H121" i="6"/>
  <c r="Q40" i="6"/>
  <c r="L40" i="6"/>
  <c r="H40" i="6"/>
  <c r="K66" i="2"/>
  <c r="I66" i="2"/>
  <c r="J66" i="2" s="1"/>
  <c r="Q158" i="6"/>
  <c r="L158" i="6"/>
  <c r="H158" i="6"/>
  <c r="H100" i="6"/>
  <c r="L100" i="6"/>
  <c r="Q100" i="6"/>
  <c r="L55" i="6"/>
  <c r="H55" i="6"/>
  <c r="Q55" i="6"/>
  <c r="H31" i="6"/>
  <c r="L31" i="6"/>
  <c r="Q31" i="6"/>
  <c r="Q83" i="6"/>
  <c r="L83" i="6"/>
  <c r="H83" i="6"/>
  <c r="L54" i="6"/>
  <c r="Q54" i="6"/>
  <c r="H54" i="6"/>
  <c r="J200" i="5"/>
  <c r="K200" i="5" s="1"/>
  <c r="L200" i="5"/>
  <c r="M197" i="5"/>
  <c r="I197" i="5"/>
  <c r="R197" i="5"/>
  <c r="H53" i="6"/>
  <c r="L53" i="6"/>
  <c r="Q53" i="6"/>
  <c r="L199" i="5"/>
  <c r="J199" i="5"/>
  <c r="K199" i="5" s="1"/>
  <c r="H21" i="6"/>
  <c r="Q21" i="6"/>
  <c r="L21" i="6"/>
  <c r="R163" i="5"/>
  <c r="I163" i="5"/>
  <c r="M163" i="5"/>
  <c r="M118" i="5"/>
  <c r="R118" i="5"/>
  <c r="I118" i="5"/>
  <c r="M113" i="5"/>
  <c r="R113" i="5"/>
  <c r="I113" i="5"/>
  <c r="R111" i="5"/>
  <c r="I111" i="5"/>
  <c r="M111" i="5"/>
  <c r="R148" i="5"/>
  <c r="I148" i="5"/>
  <c r="M148" i="5"/>
  <c r="M97" i="5"/>
  <c r="R97" i="5"/>
  <c r="I97" i="5"/>
  <c r="M168" i="5"/>
  <c r="I168" i="5"/>
  <c r="R168" i="5"/>
  <c r="Q129" i="6"/>
  <c r="L129" i="6"/>
  <c r="H129" i="6"/>
  <c r="M110" i="5"/>
  <c r="R110" i="5"/>
  <c r="I110" i="5"/>
  <c r="M23" i="5"/>
  <c r="I23" i="5"/>
  <c r="R23" i="5"/>
  <c r="I90" i="5"/>
  <c r="R90" i="5"/>
  <c r="M90" i="5"/>
  <c r="Q35" i="6"/>
  <c r="L35" i="6"/>
  <c r="H35" i="6"/>
  <c r="I88" i="5"/>
  <c r="R88" i="5"/>
  <c r="M88" i="5"/>
  <c r="Q33" i="6"/>
  <c r="L33" i="6"/>
  <c r="H33" i="6"/>
  <c r="R55" i="5"/>
  <c r="M55" i="5"/>
  <c r="I55" i="5"/>
  <c r="H77" i="6"/>
  <c r="Q77" i="6"/>
  <c r="L77" i="6"/>
  <c r="M184" i="5"/>
  <c r="R184" i="5"/>
  <c r="I184" i="5"/>
  <c r="Q175" i="6"/>
  <c r="L175" i="6"/>
  <c r="H175" i="6"/>
  <c r="K194" i="6"/>
  <c r="I194" i="6"/>
  <c r="J194" i="6" s="1"/>
  <c r="M21" i="5"/>
  <c r="R21" i="5"/>
  <c r="I21" i="5"/>
  <c r="L36" i="6"/>
  <c r="H36" i="6"/>
  <c r="Q36" i="6"/>
  <c r="I11" i="5"/>
  <c r="R11" i="5"/>
  <c r="M11" i="5"/>
  <c r="L201" i="6"/>
  <c r="H201" i="6"/>
  <c r="Q201" i="6"/>
  <c r="K25" i="6"/>
  <c r="I25" i="6"/>
  <c r="J25" i="6" s="1"/>
  <c r="I17" i="5"/>
  <c r="R17" i="5"/>
  <c r="M17" i="5"/>
  <c r="M192" i="5"/>
  <c r="R192" i="5"/>
  <c r="I192" i="5"/>
  <c r="J128" i="5"/>
  <c r="K128" i="5" s="1"/>
  <c r="L128" i="5"/>
  <c r="Q152" i="6"/>
  <c r="L152" i="6"/>
  <c r="H152" i="6"/>
  <c r="R195" i="5"/>
  <c r="M195" i="5"/>
  <c r="I195" i="5"/>
  <c r="H133" i="6"/>
  <c r="Q133" i="6"/>
  <c r="L133" i="6"/>
  <c r="K213" i="6"/>
  <c r="I213" i="6"/>
  <c r="J213" i="6" s="1"/>
  <c r="L77" i="5"/>
  <c r="J77" i="5"/>
  <c r="K77" i="5" s="1"/>
  <c r="R187" i="5"/>
  <c r="M187" i="5"/>
  <c r="I187" i="5"/>
  <c r="I164" i="2"/>
  <c r="J164" i="2" s="1"/>
  <c r="K164" i="2"/>
  <c r="I105" i="2"/>
  <c r="J105" i="2" s="1"/>
  <c r="K105" i="2"/>
  <c r="I179" i="2"/>
  <c r="J179" i="2" s="1"/>
  <c r="K179" i="2"/>
  <c r="Q184" i="6"/>
  <c r="L184" i="6"/>
  <c r="H184" i="6"/>
  <c r="K95" i="6"/>
  <c r="I95" i="6"/>
  <c r="J95" i="6" s="1"/>
  <c r="I22" i="2"/>
  <c r="J22" i="2" s="1"/>
  <c r="K22" i="2"/>
  <c r="H199" i="2"/>
  <c r="I14" i="2"/>
  <c r="J14" i="2" s="1"/>
  <c r="K14" i="2"/>
  <c r="H131" i="2"/>
  <c r="H37" i="2"/>
  <c r="K41" i="2"/>
  <c r="I41" i="2"/>
  <c r="J41" i="2" s="1"/>
  <c r="K58" i="2"/>
  <c r="I58" i="2"/>
  <c r="J58" i="2" s="1"/>
  <c r="H195" i="2"/>
  <c r="H88" i="2"/>
  <c r="L74" i="6"/>
  <c r="H74" i="6"/>
  <c r="Q74" i="6"/>
  <c r="Q11" i="6"/>
  <c r="H11" i="6"/>
  <c r="L11" i="6"/>
  <c r="Q15" i="6"/>
  <c r="L15" i="6"/>
  <c r="H15" i="6"/>
  <c r="R141" i="5"/>
  <c r="I141" i="5"/>
  <c r="M141" i="5"/>
  <c r="M105" i="5"/>
  <c r="R105" i="5"/>
  <c r="I105" i="5"/>
  <c r="I9" i="5"/>
  <c r="R9" i="5"/>
  <c r="M9" i="5"/>
  <c r="Q131" i="6"/>
  <c r="L131" i="6"/>
  <c r="H131" i="6"/>
  <c r="H119" i="6"/>
  <c r="Q119" i="6"/>
  <c r="L119" i="6"/>
  <c r="K97" i="2"/>
  <c r="I97" i="2"/>
  <c r="J97" i="2" s="1"/>
  <c r="I193" i="2"/>
  <c r="J193" i="2" s="1"/>
  <c r="K193" i="2"/>
  <c r="I129" i="2"/>
  <c r="J129" i="2" s="1"/>
  <c r="K129" i="2"/>
  <c r="H71" i="6"/>
  <c r="Q71" i="6"/>
  <c r="L71" i="6"/>
  <c r="Q214" i="6"/>
  <c r="H214" i="6"/>
  <c r="H197" i="6"/>
  <c r="Q197" i="6"/>
  <c r="L197" i="6"/>
  <c r="H181" i="6"/>
  <c r="L181" i="6"/>
  <c r="Q181" i="6"/>
  <c r="H125" i="6"/>
  <c r="Q125" i="6"/>
  <c r="L125" i="6"/>
  <c r="L47" i="6"/>
  <c r="H47" i="6"/>
  <c r="Q47" i="6"/>
  <c r="M189" i="5"/>
  <c r="I189" i="5"/>
  <c r="R189" i="5"/>
  <c r="I190" i="5"/>
  <c r="M190" i="5"/>
  <c r="R190" i="5"/>
  <c r="H45" i="6"/>
  <c r="L45" i="6"/>
  <c r="Q45" i="6"/>
  <c r="R191" i="5"/>
  <c r="M191" i="5"/>
  <c r="I191" i="5"/>
  <c r="L19" i="6"/>
  <c r="Q19" i="6"/>
  <c r="H19" i="6"/>
  <c r="I159" i="5"/>
  <c r="R159" i="5"/>
  <c r="M159" i="5"/>
  <c r="M154" i="5"/>
  <c r="R154" i="5"/>
  <c r="I154" i="5"/>
  <c r="M65" i="5"/>
  <c r="R65" i="5"/>
  <c r="I65" i="5"/>
  <c r="I134" i="5"/>
  <c r="R134" i="5"/>
  <c r="M134" i="5"/>
  <c r="M57" i="5"/>
  <c r="I57" i="5"/>
  <c r="R57" i="5"/>
  <c r="M70" i="5"/>
  <c r="I70" i="5"/>
  <c r="R70" i="5"/>
  <c r="R54" i="5"/>
  <c r="M54" i="5"/>
  <c r="I54" i="5"/>
  <c r="I27" i="5"/>
  <c r="R27" i="5"/>
  <c r="M27" i="5"/>
  <c r="R95" i="5"/>
  <c r="M95" i="5"/>
  <c r="I95" i="5"/>
  <c r="M15" i="5"/>
  <c r="I15" i="5"/>
  <c r="R15" i="5"/>
  <c r="M116" i="5"/>
  <c r="R116" i="5"/>
  <c r="I116" i="5"/>
  <c r="M52" i="5"/>
  <c r="R52" i="5"/>
  <c r="I52" i="5"/>
  <c r="L10" i="6"/>
  <c r="Q10" i="6"/>
  <c r="H10" i="6"/>
  <c r="M39" i="5"/>
  <c r="I39" i="5"/>
  <c r="R39" i="5"/>
  <c r="R177" i="5"/>
  <c r="I177" i="5"/>
  <c r="M177" i="5"/>
  <c r="J96" i="5"/>
  <c r="K96" i="5" s="1"/>
  <c r="L96" i="5"/>
  <c r="Q186" i="6"/>
  <c r="H186" i="6"/>
  <c r="L186" i="6"/>
  <c r="H85" i="6"/>
  <c r="Q85" i="6"/>
  <c r="L85" i="6"/>
  <c r="I24" i="5"/>
  <c r="R24" i="5"/>
  <c r="M24" i="5"/>
  <c r="J43" i="5"/>
  <c r="K43" i="5" s="1"/>
  <c r="L43" i="5"/>
  <c r="I44" i="6"/>
  <c r="J44" i="6" s="1"/>
  <c r="K44" i="6"/>
  <c r="M36" i="5"/>
  <c r="I36" i="5"/>
  <c r="R36" i="5"/>
  <c r="Q17" i="6"/>
  <c r="L17" i="6"/>
  <c r="H17" i="6"/>
  <c r="I188" i="5"/>
  <c r="R188" i="5"/>
  <c r="M188" i="5"/>
  <c r="I99" i="6"/>
  <c r="J99" i="6" s="1"/>
  <c r="K99" i="6"/>
  <c r="I104" i="5"/>
  <c r="R104" i="5"/>
  <c r="M104" i="5"/>
  <c r="Q208" i="6"/>
  <c r="L208" i="6"/>
  <c r="H208" i="6"/>
  <c r="Q90" i="6"/>
  <c r="H90" i="6"/>
  <c r="L90" i="6"/>
  <c r="I196" i="5"/>
  <c r="R196" i="5"/>
  <c r="M196" i="5"/>
  <c r="Q200" i="6"/>
  <c r="L200" i="6"/>
  <c r="H200" i="6"/>
  <c r="I93" i="5"/>
  <c r="R93" i="5"/>
  <c r="M93" i="5"/>
  <c r="I163" i="2"/>
  <c r="J163" i="2" s="1"/>
  <c r="K163" i="2"/>
  <c r="I99" i="2"/>
  <c r="J99" i="2" s="1"/>
  <c r="K99" i="2"/>
  <c r="R137" i="5"/>
  <c r="M137" i="5"/>
  <c r="I137" i="5"/>
  <c r="I115" i="2"/>
  <c r="J115" i="2" s="1"/>
  <c r="K115" i="2"/>
  <c r="Q170" i="6"/>
  <c r="L170" i="6"/>
  <c r="H170" i="6"/>
  <c r="L169" i="6"/>
  <c r="H169" i="6"/>
  <c r="Q169" i="6"/>
  <c r="J60" i="5"/>
  <c r="K60" i="5" s="1"/>
  <c r="L60" i="5"/>
  <c r="K153" i="2"/>
  <c r="I153" i="2"/>
  <c r="J153" i="2" s="1"/>
  <c r="I108" i="2"/>
  <c r="J108" i="2" s="1"/>
  <c r="K108" i="2"/>
  <c r="I112" i="2"/>
  <c r="J112" i="2" s="1"/>
  <c r="K112" i="2"/>
  <c r="R91" i="5"/>
  <c r="M91" i="5"/>
  <c r="I91" i="5"/>
  <c r="K93" i="2"/>
  <c r="I93" i="2"/>
  <c r="J93" i="2" s="1"/>
  <c r="K61" i="2"/>
  <c r="I61" i="2"/>
  <c r="J61" i="2" s="1"/>
  <c r="L10" i="2"/>
  <c r="K175" i="2"/>
  <c r="I175" i="2"/>
  <c r="J175" i="2" s="1"/>
  <c r="H101" i="2"/>
  <c r="K33" i="2"/>
  <c r="I33" i="2"/>
  <c r="J33" i="2" s="1"/>
  <c r="H40" i="2"/>
  <c r="K50" i="2"/>
  <c r="I50" i="2"/>
  <c r="J50" i="2" s="1"/>
  <c r="L11" i="2"/>
  <c r="L118" i="6"/>
  <c r="H118" i="6"/>
  <c r="Q118" i="6"/>
  <c r="I198" i="5"/>
  <c r="R198" i="5"/>
  <c r="L49" i="6"/>
  <c r="Q49" i="6"/>
  <c r="H49" i="6"/>
  <c r="I74" i="5"/>
  <c r="M74" i="5"/>
  <c r="R74" i="5"/>
  <c r="M31" i="5"/>
  <c r="I31" i="5"/>
  <c r="R31" i="5"/>
  <c r="L51" i="6"/>
  <c r="Q51" i="6"/>
  <c r="H51" i="6"/>
  <c r="I180" i="5"/>
  <c r="R180" i="5"/>
  <c r="M180" i="5"/>
  <c r="Q168" i="6"/>
  <c r="L168" i="6"/>
  <c r="H168" i="6"/>
  <c r="Q5" i="6"/>
  <c r="L5" i="6"/>
  <c r="H5" i="6"/>
  <c r="H155" i="6"/>
  <c r="L155" i="6"/>
  <c r="Q155" i="6"/>
  <c r="L75" i="5"/>
  <c r="J75" i="5"/>
  <c r="K75" i="5" s="1"/>
  <c r="I169" i="2"/>
  <c r="J169" i="2" s="1"/>
  <c r="K169" i="2"/>
  <c r="I172" i="5"/>
  <c r="R172" i="5"/>
  <c r="M172" i="5"/>
  <c r="I168" i="2"/>
  <c r="J168" i="2" s="1"/>
  <c r="K168" i="2"/>
  <c r="I104" i="2"/>
  <c r="J104" i="2" s="1"/>
  <c r="K104" i="2"/>
  <c r="I156" i="2"/>
  <c r="J156" i="2" s="1"/>
  <c r="K156" i="2"/>
  <c r="K190" i="2"/>
  <c r="I190" i="2"/>
  <c r="J190" i="2" s="1"/>
  <c r="K69" i="2"/>
  <c r="I69" i="2"/>
  <c r="J69" i="2" s="1"/>
  <c r="K49" i="2"/>
  <c r="I49" i="2"/>
  <c r="J49" i="2" s="1"/>
  <c r="K146" i="2"/>
  <c r="I146" i="2"/>
  <c r="J146" i="2" s="1"/>
  <c r="K72" i="2"/>
  <c r="I72" i="2"/>
  <c r="J72" i="2" s="1"/>
  <c r="K133" i="2"/>
  <c r="I133" i="2"/>
  <c r="J133" i="2" s="1"/>
  <c r="K137" i="2"/>
  <c r="I137" i="2"/>
  <c r="J137" i="2" s="1"/>
  <c r="H172" i="6"/>
  <c r="Q172" i="6"/>
  <c r="L172" i="6"/>
  <c r="H117" i="6"/>
  <c r="Q117" i="6"/>
  <c r="L117" i="6"/>
  <c r="H165" i="6"/>
  <c r="L165" i="6"/>
  <c r="Q165" i="6"/>
  <c r="H157" i="6"/>
  <c r="L157" i="6"/>
  <c r="Q157" i="6"/>
  <c r="H156" i="6"/>
  <c r="Q156" i="6"/>
  <c r="L156" i="6"/>
  <c r="L113" i="6"/>
  <c r="H113" i="6"/>
  <c r="Q113" i="6"/>
  <c r="L209" i="6"/>
  <c r="H209" i="6"/>
  <c r="Q209" i="6"/>
  <c r="Q79" i="6"/>
  <c r="L79" i="6"/>
  <c r="H79" i="6"/>
  <c r="L62" i="6"/>
  <c r="Q62" i="6"/>
  <c r="H62" i="6"/>
  <c r="Q94" i="6"/>
  <c r="L94" i="6"/>
  <c r="H94" i="6"/>
  <c r="Q148" i="6"/>
  <c r="L148" i="6"/>
  <c r="H148" i="6"/>
  <c r="Q182" i="6"/>
  <c r="H182" i="6"/>
  <c r="L182" i="6"/>
  <c r="Q166" i="6"/>
  <c r="L166" i="6"/>
  <c r="H166" i="6"/>
  <c r="Q135" i="6"/>
  <c r="L135" i="6"/>
  <c r="H135" i="6"/>
  <c r="Q104" i="6"/>
  <c r="L104" i="6"/>
  <c r="H104" i="6"/>
  <c r="Q75" i="6"/>
  <c r="L75" i="6"/>
  <c r="H75" i="6"/>
  <c r="Q128" i="6"/>
  <c r="L128" i="6"/>
  <c r="H128" i="6"/>
  <c r="L39" i="6"/>
  <c r="H39" i="6"/>
  <c r="Q39" i="6"/>
  <c r="Q110" i="6"/>
  <c r="L110" i="6"/>
  <c r="H110" i="6"/>
  <c r="L46" i="6"/>
  <c r="Q46" i="6"/>
  <c r="H46" i="6"/>
  <c r="H14" i="6"/>
  <c r="Q14" i="6"/>
  <c r="L14" i="6"/>
  <c r="I174" i="5"/>
  <c r="M174" i="5"/>
  <c r="R174" i="5"/>
  <c r="M181" i="5"/>
  <c r="I181" i="5"/>
  <c r="R181" i="5"/>
  <c r="Q24" i="6"/>
  <c r="L24" i="6"/>
  <c r="H24" i="6"/>
  <c r="R183" i="5"/>
  <c r="M183" i="5"/>
  <c r="I183" i="5"/>
  <c r="R157" i="5"/>
  <c r="I157" i="5"/>
  <c r="M157" i="5"/>
  <c r="I150" i="5"/>
  <c r="R150" i="5"/>
  <c r="M150" i="5"/>
  <c r="I106" i="5"/>
  <c r="M106" i="5"/>
  <c r="R106" i="5"/>
  <c r="R46" i="5"/>
  <c r="M46" i="5"/>
  <c r="I46" i="5"/>
  <c r="M94" i="5"/>
  <c r="R94" i="5"/>
  <c r="I94" i="5"/>
  <c r="I143" i="5"/>
  <c r="R143" i="5"/>
  <c r="M143" i="5"/>
  <c r="I41" i="5"/>
  <c r="R41" i="5"/>
  <c r="M41" i="5"/>
  <c r="R156" i="5"/>
  <c r="I156" i="5"/>
  <c r="M156" i="5"/>
  <c r="R164" i="5"/>
  <c r="I164" i="5"/>
  <c r="M164" i="5"/>
  <c r="I117" i="5"/>
  <c r="R117" i="5"/>
  <c r="M117" i="5"/>
  <c r="I53" i="5"/>
  <c r="M53" i="5"/>
  <c r="R53" i="5"/>
  <c r="M81" i="5"/>
  <c r="R81" i="5"/>
  <c r="I81" i="5"/>
  <c r="M34" i="5"/>
  <c r="R34" i="5"/>
  <c r="I34" i="5"/>
  <c r="K27" i="6"/>
  <c r="I27" i="6"/>
  <c r="J27" i="6" s="1"/>
  <c r="I102" i="6"/>
  <c r="J102" i="6" s="1"/>
  <c r="K102" i="6"/>
  <c r="H187" i="6"/>
  <c r="L187" i="6"/>
  <c r="Q187" i="6"/>
  <c r="L64" i="5"/>
  <c r="J64" i="5"/>
  <c r="K64" i="5" s="1"/>
  <c r="Q167" i="6"/>
  <c r="L167" i="6"/>
  <c r="H167" i="6"/>
  <c r="L169" i="5"/>
  <c r="J169" i="5"/>
  <c r="K169" i="5" s="1"/>
  <c r="L43" i="6"/>
  <c r="Q43" i="6"/>
  <c r="H43" i="6"/>
  <c r="L69" i="5"/>
  <c r="J69" i="5"/>
  <c r="K69" i="5" s="1"/>
  <c r="K192" i="6"/>
  <c r="I192" i="6"/>
  <c r="J192" i="6" s="1"/>
  <c r="H205" i="6"/>
  <c r="Q205" i="6"/>
  <c r="L205" i="6"/>
  <c r="L107" i="6"/>
  <c r="Q107" i="6"/>
  <c r="H107" i="6"/>
  <c r="L6" i="5"/>
  <c r="J6" i="5"/>
  <c r="K6" i="5" s="1"/>
  <c r="M92" i="5"/>
  <c r="I92" i="5"/>
  <c r="R92" i="5"/>
  <c r="H210" i="6"/>
  <c r="Q210" i="6"/>
  <c r="L210" i="6"/>
  <c r="H111" i="6"/>
  <c r="Q111" i="6"/>
  <c r="L111" i="6"/>
  <c r="M124" i="5"/>
  <c r="R124" i="5"/>
  <c r="I124" i="5"/>
  <c r="Q98" i="6"/>
  <c r="H98" i="6"/>
  <c r="L98" i="6"/>
  <c r="I154" i="2"/>
  <c r="J154" i="2" s="1"/>
  <c r="K154" i="2"/>
  <c r="Q159" i="6"/>
  <c r="L159" i="6"/>
  <c r="H159" i="6"/>
  <c r="H6" i="6"/>
  <c r="Q6" i="6"/>
  <c r="L6" i="6"/>
  <c r="Q140" i="6"/>
  <c r="L140" i="6"/>
  <c r="H140" i="6"/>
  <c r="K147" i="2"/>
  <c r="I147" i="2"/>
  <c r="J147" i="2" s="1"/>
  <c r="H22" i="6"/>
  <c r="L22" i="6"/>
  <c r="Q22" i="6"/>
  <c r="I188" i="2"/>
  <c r="J188" i="2" s="1"/>
  <c r="K188" i="2"/>
  <c r="K158" i="2"/>
  <c r="I158" i="2"/>
  <c r="J158" i="2" s="1"/>
  <c r="I124" i="2"/>
  <c r="J124" i="2" s="1"/>
  <c r="K124" i="2"/>
  <c r="K117" i="2"/>
  <c r="I117" i="2"/>
  <c r="J117" i="2" s="1"/>
  <c r="I19" i="2"/>
  <c r="J19" i="2" s="1"/>
  <c r="K19" i="2"/>
  <c r="Q146" i="6"/>
  <c r="L146" i="6"/>
  <c r="H146" i="6"/>
  <c r="M171" i="5"/>
  <c r="R171" i="5"/>
  <c r="I171" i="5"/>
  <c r="K89" i="2"/>
  <c r="I89" i="2"/>
  <c r="J89" i="2" s="1"/>
  <c r="K20" i="2"/>
  <c r="I20" i="2"/>
  <c r="J20" i="2" s="1"/>
  <c r="L9" i="2"/>
  <c r="K42" i="2"/>
  <c r="I42" i="2"/>
  <c r="J42" i="2" s="1"/>
  <c r="H188" i="6"/>
  <c r="Q188" i="6"/>
  <c r="L188" i="6"/>
  <c r="I158" i="5"/>
  <c r="R158" i="5"/>
  <c r="M158" i="5"/>
  <c r="I16" i="5"/>
  <c r="R16" i="5"/>
  <c r="M16" i="5"/>
  <c r="M108" i="5"/>
  <c r="R108" i="5"/>
  <c r="I108" i="5"/>
  <c r="I42" i="5"/>
  <c r="M42" i="5"/>
  <c r="R42" i="5"/>
  <c r="L14" i="5"/>
  <c r="J14" i="5"/>
  <c r="K14" i="5" s="1"/>
  <c r="H173" i="6"/>
  <c r="L173" i="6"/>
  <c r="Q173" i="6"/>
  <c r="H180" i="6"/>
  <c r="Q180" i="6"/>
  <c r="L180" i="6"/>
  <c r="H164" i="6"/>
  <c r="Q164" i="6"/>
  <c r="L164" i="6"/>
  <c r="H97" i="6"/>
  <c r="Q97" i="6"/>
  <c r="L97" i="6"/>
  <c r="H204" i="6"/>
  <c r="Q204" i="6"/>
  <c r="L204" i="6"/>
  <c r="H147" i="6"/>
  <c r="L147" i="6"/>
  <c r="Q147" i="6"/>
  <c r="L63" i="6"/>
  <c r="H63" i="6"/>
  <c r="Q63" i="6"/>
  <c r="L115" i="6"/>
  <c r="Q115" i="6"/>
  <c r="H115" i="6"/>
  <c r="H141" i="6"/>
  <c r="Q141" i="6"/>
  <c r="L141" i="6"/>
  <c r="Q8" i="6"/>
  <c r="H8" i="6"/>
  <c r="L8" i="6"/>
  <c r="L58" i="6"/>
  <c r="Q58" i="6"/>
  <c r="H58" i="6"/>
  <c r="I182" i="5"/>
  <c r="M182" i="5"/>
  <c r="R182" i="5"/>
  <c r="J204" i="5"/>
  <c r="K204" i="5" s="1"/>
  <c r="L204" i="5"/>
  <c r="L28" i="6"/>
  <c r="H28" i="6"/>
  <c r="Q28" i="6"/>
  <c r="L60" i="6"/>
  <c r="Q60" i="6"/>
  <c r="H60" i="6"/>
  <c r="R155" i="5"/>
  <c r="I155" i="5"/>
  <c r="M155" i="5"/>
  <c r="R140" i="5"/>
  <c r="I140" i="5"/>
  <c r="M140" i="5"/>
  <c r="R149" i="5"/>
  <c r="I149" i="5"/>
  <c r="M149" i="5"/>
  <c r="K207" i="6"/>
  <c r="I207" i="6"/>
  <c r="J207" i="6" s="1"/>
  <c r="M138" i="5"/>
  <c r="R138" i="5"/>
  <c r="I138" i="5"/>
  <c r="R173" i="5"/>
  <c r="I173" i="5"/>
  <c r="M173" i="5"/>
  <c r="R119" i="5"/>
  <c r="I119" i="5"/>
  <c r="M119" i="5"/>
  <c r="I142" i="5"/>
  <c r="R142" i="5"/>
  <c r="M142" i="5"/>
  <c r="I19" i="5"/>
  <c r="M19" i="5"/>
  <c r="R19" i="5"/>
  <c r="I171" i="6"/>
  <c r="J171" i="6" s="1"/>
  <c r="K171" i="6"/>
  <c r="M73" i="5"/>
  <c r="R73" i="5"/>
  <c r="I73" i="5"/>
  <c r="I152" i="5"/>
  <c r="R152" i="5"/>
  <c r="M152" i="5"/>
  <c r="M10" i="5"/>
  <c r="I10" i="5"/>
  <c r="R10" i="5"/>
  <c r="M37" i="5"/>
  <c r="I37" i="5"/>
  <c r="R37" i="5"/>
  <c r="M26" i="5"/>
  <c r="R26" i="5"/>
  <c r="I26" i="5"/>
  <c r="I112" i="5"/>
  <c r="R112" i="5"/>
  <c r="M112" i="5"/>
  <c r="J48" i="5"/>
  <c r="K48" i="5" s="1"/>
  <c r="L48" i="5"/>
  <c r="I40" i="5"/>
  <c r="R40" i="5"/>
  <c r="M40" i="5"/>
  <c r="I82" i="5"/>
  <c r="M82" i="5"/>
  <c r="R82" i="5"/>
  <c r="K136" i="6"/>
  <c r="I136" i="6"/>
  <c r="J136" i="6" s="1"/>
  <c r="R83" i="5"/>
  <c r="M83" i="5"/>
  <c r="I83" i="5"/>
  <c r="J56" i="5"/>
  <c r="K56" i="5" s="1"/>
  <c r="L56" i="5"/>
  <c r="M29" i="5"/>
  <c r="R29" i="5"/>
  <c r="I29" i="5"/>
  <c r="Q9" i="6"/>
  <c r="L9" i="6"/>
  <c r="H9" i="6"/>
  <c r="J32" i="5"/>
  <c r="K32" i="5" s="1"/>
  <c r="L32" i="5"/>
  <c r="I85" i="5"/>
  <c r="R85" i="5"/>
  <c r="M85" i="5"/>
  <c r="I25" i="5"/>
  <c r="R25" i="5"/>
  <c r="M25" i="5"/>
  <c r="H127" i="6"/>
  <c r="Q127" i="6"/>
  <c r="L127" i="6"/>
  <c r="I125" i="5"/>
  <c r="R125" i="5"/>
  <c r="M125" i="5"/>
  <c r="J13" i="5"/>
  <c r="K13" i="5" s="1"/>
  <c r="L13" i="5"/>
  <c r="K149" i="2"/>
  <c r="I149" i="2"/>
  <c r="J149" i="2" s="1"/>
  <c r="L161" i="6"/>
  <c r="H161" i="6"/>
  <c r="Q161" i="6"/>
  <c r="Q122" i="6"/>
  <c r="L122" i="6"/>
  <c r="H122" i="6"/>
  <c r="I160" i="5"/>
  <c r="R160" i="5"/>
  <c r="M160" i="5"/>
  <c r="K187" i="2"/>
  <c r="I187" i="2"/>
  <c r="J187" i="2" s="1"/>
  <c r="K123" i="2"/>
  <c r="I123" i="2"/>
  <c r="J123" i="2" s="1"/>
  <c r="K102" i="2"/>
  <c r="I102" i="2"/>
  <c r="J102" i="2" s="1"/>
  <c r="I12" i="2"/>
  <c r="J12" i="2" s="1"/>
  <c r="K12" i="2"/>
  <c r="H180" i="2"/>
  <c r="H29" i="2"/>
  <c r="H64" i="2"/>
  <c r="Q183" i="6"/>
  <c r="L183" i="6"/>
  <c r="H183" i="6"/>
  <c r="I160" i="2"/>
  <c r="J160" i="2" s="1"/>
  <c r="K160" i="2"/>
  <c r="K64" i="6"/>
  <c r="I64" i="6"/>
  <c r="J64" i="6" s="1"/>
  <c r="K81" i="2"/>
  <c r="I81" i="2"/>
  <c r="J81" i="2" s="1"/>
  <c r="K32" i="2"/>
  <c r="I32" i="2"/>
  <c r="J32" i="2" s="1"/>
  <c r="K11" i="2"/>
  <c r="I11" i="2"/>
  <c r="J11" i="2" s="1"/>
  <c r="K34" i="2"/>
  <c r="I34" i="2"/>
  <c r="J34" i="2" s="1"/>
  <c r="Q174" i="6"/>
  <c r="L174" i="6"/>
  <c r="H174" i="6"/>
  <c r="H189" i="6"/>
  <c r="L189" i="6"/>
  <c r="Q189" i="6"/>
  <c r="H23" i="6"/>
  <c r="Q23" i="6"/>
  <c r="L23" i="6"/>
  <c r="Q80" i="6"/>
  <c r="L80" i="6"/>
  <c r="H80" i="6"/>
  <c r="R161" i="5"/>
  <c r="M161" i="5"/>
  <c r="I161" i="5"/>
  <c r="L123" i="6"/>
  <c r="Q123" i="6"/>
  <c r="H123" i="6"/>
  <c r="H195" i="6"/>
  <c r="L195" i="6"/>
  <c r="Q195" i="6"/>
  <c r="H149" i="6"/>
  <c r="L149" i="6"/>
  <c r="Q149" i="6"/>
  <c r="Q142" i="6"/>
  <c r="H142" i="6"/>
  <c r="L142" i="6"/>
  <c r="H126" i="6"/>
  <c r="Q126" i="6"/>
  <c r="L126" i="6"/>
  <c r="L96" i="6"/>
  <c r="Q96" i="6"/>
  <c r="H96" i="6"/>
  <c r="H109" i="6"/>
  <c r="L109" i="6"/>
  <c r="Q109" i="6"/>
  <c r="L143" i="6"/>
  <c r="H143" i="6"/>
  <c r="Q143" i="6"/>
  <c r="Q101" i="6"/>
  <c r="L101" i="6"/>
  <c r="H101" i="6"/>
  <c r="Q16" i="6"/>
  <c r="L16" i="6"/>
  <c r="H16" i="6"/>
  <c r="Q93" i="6"/>
  <c r="L93" i="6"/>
  <c r="H93" i="6"/>
  <c r="L82" i="6"/>
  <c r="H82" i="6"/>
  <c r="Q82" i="6"/>
  <c r="L38" i="6"/>
  <c r="Q38" i="6"/>
  <c r="H38" i="6"/>
  <c r="L50" i="6"/>
  <c r="H50" i="6"/>
  <c r="Q50" i="6"/>
  <c r="R175" i="5"/>
  <c r="I175" i="5"/>
  <c r="M175" i="5"/>
  <c r="M126" i="5"/>
  <c r="I126" i="5"/>
  <c r="R126" i="5"/>
  <c r="L42" i="6"/>
  <c r="H42" i="6"/>
  <c r="Q42" i="6"/>
  <c r="M84" i="5"/>
  <c r="R84" i="5"/>
  <c r="I84" i="5"/>
  <c r="M89" i="5"/>
  <c r="R89" i="5"/>
  <c r="I89" i="5"/>
  <c r="I151" i="5"/>
  <c r="R151" i="5"/>
  <c r="M151" i="5"/>
  <c r="K215" i="6"/>
  <c r="I215" i="6"/>
  <c r="J215" i="6" s="1"/>
  <c r="M86" i="5"/>
  <c r="R86" i="5"/>
  <c r="I86" i="5"/>
  <c r="I58" i="5"/>
  <c r="M58" i="5"/>
  <c r="R58" i="5"/>
  <c r="M18" i="5"/>
  <c r="R18" i="5"/>
  <c r="I18" i="5"/>
  <c r="Q106" i="6"/>
  <c r="L106" i="6"/>
  <c r="H106" i="6"/>
  <c r="J63" i="5"/>
  <c r="K63" i="5" s="1"/>
  <c r="L63" i="5"/>
  <c r="Q65" i="6"/>
  <c r="L65" i="6"/>
  <c r="H65" i="6"/>
  <c r="Q56" i="6"/>
  <c r="L56" i="6"/>
  <c r="H56" i="6"/>
  <c r="R99" i="5"/>
  <c r="M99" i="5"/>
  <c r="I99" i="5"/>
  <c r="Q48" i="6"/>
  <c r="L48" i="6"/>
  <c r="H48" i="6"/>
  <c r="J28" i="5"/>
  <c r="K28" i="5" s="1"/>
  <c r="L28" i="5"/>
  <c r="R62" i="5"/>
  <c r="I62" i="5"/>
  <c r="M62" i="5"/>
  <c r="L45" i="5"/>
  <c r="J45" i="5"/>
  <c r="K45" i="5" s="1"/>
  <c r="H67" i="6"/>
  <c r="Q67" i="6"/>
  <c r="L67" i="6"/>
  <c r="I80" i="5"/>
  <c r="R80" i="5"/>
  <c r="M80" i="5"/>
  <c r="R20" i="5"/>
  <c r="I20" i="5"/>
  <c r="M20" i="5"/>
  <c r="H103" i="6"/>
  <c r="Q103" i="6"/>
  <c r="L103" i="6"/>
  <c r="Q26" i="6"/>
  <c r="L26" i="6"/>
  <c r="H26" i="6"/>
  <c r="L139" i="6"/>
  <c r="Q139" i="6"/>
  <c r="H139" i="6"/>
  <c r="M127" i="5"/>
  <c r="R127" i="5"/>
  <c r="I127" i="5"/>
  <c r="R179" i="5"/>
  <c r="M179" i="5"/>
  <c r="I179" i="5"/>
  <c r="I47" i="5"/>
  <c r="M47" i="5"/>
  <c r="R47" i="5"/>
  <c r="K198" i="2"/>
  <c r="I198" i="2"/>
  <c r="J198" i="2" s="1"/>
  <c r="I144" i="2"/>
  <c r="J144" i="2" s="1"/>
  <c r="K144" i="2"/>
  <c r="L12" i="5"/>
  <c r="J12" i="5"/>
  <c r="K12" i="5" s="1"/>
  <c r="Q162" i="6"/>
  <c r="L162" i="6"/>
  <c r="H162" i="6"/>
  <c r="Q154" i="6"/>
  <c r="L154" i="6"/>
  <c r="H154" i="6"/>
  <c r="I109" i="5"/>
  <c r="R109" i="5"/>
  <c r="M109" i="5"/>
  <c r="K202" i="2"/>
  <c r="I202" i="2"/>
  <c r="J202" i="2" s="1"/>
  <c r="K138" i="2"/>
  <c r="I138" i="2"/>
  <c r="J138" i="2" s="1"/>
  <c r="M170" i="5"/>
  <c r="R170" i="5"/>
  <c r="I170" i="5"/>
  <c r="I143" i="2"/>
  <c r="J143" i="2" s="1"/>
  <c r="K143" i="2"/>
  <c r="I186" i="2"/>
  <c r="J186" i="2" s="1"/>
  <c r="K186" i="2"/>
  <c r="K24" i="2"/>
  <c r="I24" i="2"/>
  <c r="J24" i="2" s="1"/>
  <c r="I10" i="2"/>
  <c r="J10" i="2" s="1"/>
  <c r="K10" i="2"/>
  <c r="Q160" i="6"/>
  <c r="L160" i="6"/>
  <c r="H160" i="6"/>
  <c r="Q191" i="6"/>
  <c r="L191" i="6"/>
  <c r="H191" i="6"/>
  <c r="K85" i="2"/>
  <c r="I85" i="2"/>
  <c r="J85" i="2" s="1"/>
  <c r="K53" i="2"/>
  <c r="I53" i="2"/>
  <c r="J53" i="2" s="1"/>
  <c r="I122" i="2"/>
  <c r="J122" i="2" s="1"/>
  <c r="K122" i="2"/>
  <c r="K73" i="2"/>
  <c r="I73" i="2"/>
  <c r="J73" i="2" s="1"/>
  <c r="K9" i="2"/>
  <c r="I9" i="2"/>
  <c r="J9" i="2" s="1"/>
  <c r="K90" i="2"/>
  <c r="I90" i="2"/>
  <c r="J90" i="2" s="1"/>
  <c r="K26" i="2"/>
  <c r="I26" i="2"/>
  <c r="J26" i="2" s="1"/>
  <c r="K150" i="2"/>
  <c r="I150" i="2"/>
  <c r="J150" i="2" s="1"/>
  <c r="K56" i="2"/>
  <c r="I56" i="2"/>
  <c r="J56" i="2" s="1"/>
  <c r="R165" i="5"/>
  <c r="I165" i="5"/>
  <c r="M165" i="5"/>
  <c r="M121" i="5"/>
  <c r="I121" i="5"/>
  <c r="R121" i="5"/>
  <c r="R71" i="5"/>
  <c r="M71" i="5"/>
  <c r="I71" i="5"/>
  <c r="M76" i="5"/>
  <c r="R76" i="5"/>
  <c r="I76" i="5"/>
  <c r="L145" i="6"/>
  <c r="H145" i="6"/>
  <c r="Q145" i="6"/>
  <c r="H211" i="6"/>
  <c r="L211" i="6"/>
  <c r="Q211" i="6"/>
  <c r="Q198" i="6"/>
  <c r="L198" i="6"/>
  <c r="H198" i="6"/>
  <c r="H212" i="6"/>
  <c r="Q212" i="6"/>
  <c r="L212" i="6"/>
  <c r="Q112" i="6"/>
  <c r="L112" i="6"/>
  <c r="H112" i="6"/>
  <c r="H179" i="6"/>
  <c r="L179" i="6"/>
  <c r="Q179" i="6"/>
  <c r="Q134" i="6"/>
  <c r="L134" i="6"/>
  <c r="H134" i="6"/>
  <c r="L177" i="6"/>
  <c r="H177" i="6"/>
  <c r="Q177" i="6"/>
  <c r="H92" i="6"/>
  <c r="L92" i="6"/>
  <c r="Q92" i="6"/>
  <c r="H124" i="6"/>
  <c r="L124" i="6"/>
  <c r="Q124" i="6"/>
  <c r="H89" i="6"/>
  <c r="Q89" i="6"/>
  <c r="L89" i="6"/>
  <c r="H61" i="6"/>
  <c r="L61" i="6"/>
  <c r="Q61" i="6"/>
  <c r="H30" i="6"/>
  <c r="Q30" i="6"/>
  <c r="L30" i="6"/>
  <c r="Q12" i="6"/>
  <c r="L12" i="6"/>
  <c r="H12" i="6"/>
  <c r="R167" i="5"/>
  <c r="M167" i="5"/>
  <c r="I167" i="5"/>
  <c r="M194" i="5"/>
  <c r="I194" i="5"/>
  <c r="R194" i="5"/>
  <c r="Q13" i="6"/>
  <c r="L13" i="6"/>
  <c r="H13" i="6"/>
  <c r="M176" i="5"/>
  <c r="I176" i="5"/>
  <c r="R176" i="5"/>
  <c r="I135" i="5"/>
  <c r="R135" i="5"/>
  <c r="M135" i="5"/>
  <c r="R139" i="5"/>
  <c r="I139" i="5"/>
  <c r="M139" i="5"/>
  <c r="R79" i="5"/>
  <c r="M79" i="5"/>
  <c r="I79" i="5"/>
  <c r="R133" i="5"/>
  <c r="I133" i="5"/>
  <c r="M133" i="5"/>
  <c r="R147" i="5"/>
  <c r="I147" i="5"/>
  <c r="M147" i="5"/>
  <c r="M146" i="5"/>
  <c r="R146" i="5"/>
  <c r="I146" i="5"/>
  <c r="R103" i="5"/>
  <c r="M103" i="5"/>
  <c r="I103" i="5"/>
  <c r="R8" i="5"/>
  <c r="I8" i="5"/>
  <c r="M8" i="5"/>
  <c r="I61" i="5"/>
  <c r="M61" i="5"/>
  <c r="R61" i="5"/>
  <c r="I98" i="5"/>
  <c r="R98" i="5"/>
  <c r="M98" i="5"/>
  <c r="R131" i="5"/>
  <c r="I131" i="5"/>
  <c r="M131" i="5"/>
  <c r="M68" i="5"/>
  <c r="R68" i="5"/>
  <c r="I68" i="5"/>
  <c r="I72" i="5"/>
  <c r="R72" i="5"/>
  <c r="M72" i="5"/>
  <c r="K116" i="6"/>
  <c r="I116" i="6"/>
  <c r="J116" i="6" s="1"/>
  <c r="H69" i="6"/>
  <c r="Q69" i="6"/>
  <c r="L69" i="6"/>
  <c r="I163" i="6"/>
  <c r="J163" i="6" s="1"/>
  <c r="K163" i="6"/>
  <c r="H86" i="6"/>
  <c r="Q86" i="6"/>
  <c r="L86" i="6"/>
  <c r="L67" i="5"/>
  <c r="J67" i="5"/>
  <c r="K67" i="5" s="1"/>
  <c r="Q87" i="6"/>
  <c r="H87" i="6"/>
  <c r="L87" i="6"/>
  <c r="H68" i="6"/>
  <c r="Q68" i="6"/>
  <c r="L68" i="6"/>
  <c r="I73" i="6"/>
  <c r="J73" i="6" s="1"/>
  <c r="K73" i="6"/>
  <c r="K108" i="6"/>
  <c r="I108" i="6"/>
  <c r="J108" i="6" s="1"/>
  <c r="R129" i="5"/>
  <c r="M129" i="5"/>
  <c r="I129" i="5"/>
  <c r="Q130" i="6"/>
  <c r="L130" i="6"/>
  <c r="H130" i="6"/>
  <c r="I166" i="5"/>
  <c r="R166" i="5"/>
  <c r="M166" i="5"/>
  <c r="L50" i="5"/>
  <c r="J50" i="5"/>
  <c r="K50" i="5" s="1"/>
  <c r="R51" i="5"/>
  <c r="I51" i="5"/>
  <c r="M51" i="5"/>
  <c r="Q151" i="6"/>
  <c r="L151" i="6"/>
  <c r="H151" i="6"/>
  <c r="L137" i="6"/>
  <c r="Q137" i="6"/>
  <c r="H137" i="6"/>
  <c r="Q138" i="6"/>
  <c r="L138" i="6"/>
  <c r="H138" i="6"/>
  <c r="L153" i="6"/>
  <c r="H153" i="6"/>
  <c r="Q153" i="6"/>
  <c r="R185" i="5"/>
  <c r="I185" i="5"/>
  <c r="M185" i="5"/>
  <c r="Q29" i="6"/>
  <c r="L29" i="6"/>
  <c r="H29" i="6"/>
  <c r="I183" i="2"/>
  <c r="J183" i="2" s="1"/>
  <c r="K183" i="2"/>
  <c r="I33" i="5"/>
  <c r="R33" i="5"/>
  <c r="M33" i="5"/>
  <c r="K161" i="2"/>
  <c r="I161" i="2"/>
  <c r="J161" i="2" s="1"/>
  <c r="Q114" i="6"/>
  <c r="H114" i="6"/>
  <c r="L114" i="6"/>
  <c r="I178" i="2"/>
  <c r="J178" i="2" s="1"/>
  <c r="K178" i="2"/>
  <c r="I114" i="2"/>
  <c r="J114" i="2" s="1"/>
  <c r="K114" i="2"/>
  <c r="K16" i="2"/>
  <c r="I16" i="2"/>
  <c r="J16" i="2" s="1"/>
  <c r="I8" i="2"/>
  <c r="J8" i="2" s="1"/>
  <c r="K8" i="2"/>
  <c r="K201" i="2"/>
  <c r="I201" i="2"/>
  <c r="J201" i="2" s="1"/>
  <c r="K65" i="2"/>
  <c r="I65" i="2"/>
  <c r="J65" i="2" s="1"/>
  <c r="H80" i="2"/>
  <c r="K82" i="2"/>
  <c r="I82" i="2"/>
  <c r="J82" i="2" s="1"/>
  <c r="K18" i="2"/>
  <c r="I18" i="2"/>
  <c r="J18" i="2" s="1"/>
  <c r="Q150" i="6"/>
  <c r="L150" i="6"/>
  <c r="H150" i="6"/>
  <c r="H20" i="6"/>
  <c r="Q20" i="6"/>
  <c r="L20" i="6"/>
  <c r="I120" i="5"/>
  <c r="R120" i="5"/>
  <c r="M120" i="5"/>
  <c r="L91" i="6"/>
  <c r="H91" i="6"/>
  <c r="Q91" i="6"/>
  <c r="H203" i="6"/>
  <c r="L203" i="6"/>
  <c r="Q203" i="6"/>
  <c r="Q206" i="6"/>
  <c r="L206" i="6"/>
  <c r="H206" i="6"/>
  <c r="Q190" i="6"/>
  <c r="H190" i="6"/>
  <c r="L190" i="6"/>
  <c r="L193" i="6"/>
  <c r="H193" i="6"/>
  <c r="Q193" i="6"/>
  <c r="Q120" i="6"/>
  <c r="L120" i="6"/>
  <c r="H120" i="6"/>
  <c r="H76" i="6"/>
  <c r="Q76" i="6"/>
  <c r="L76" i="6"/>
  <c r="L88" i="6"/>
  <c r="H88" i="6"/>
  <c r="Q88" i="6"/>
  <c r="H78" i="6"/>
  <c r="L78" i="6"/>
  <c r="Q78" i="6"/>
  <c r="L66" i="6"/>
  <c r="Q66" i="6"/>
  <c r="H66" i="6"/>
  <c r="L59" i="6"/>
  <c r="H59" i="6"/>
  <c r="Q59" i="6"/>
  <c r="L41" i="6"/>
  <c r="Q41" i="6"/>
  <c r="H41" i="6"/>
  <c r="H70" i="6"/>
  <c r="L70" i="6"/>
  <c r="Q70" i="6"/>
  <c r="M186" i="5"/>
  <c r="I186" i="5"/>
  <c r="R186" i="5"/>
  <c r="H37" i="6"/>
  <c r="L37" i="6"/>
  <c r="Q37" i="6"/>
  <c r="H32" i="6"/>
  <c r="L32" i="6"/>
  <c r="Q32" i="6"/>
  <c r="M130" i="5"/>
  <c r="R130" i="5"/>
  <c r="I130" i="5"/>
  <c r="M162" i="5"/>
  <c r="R162" i="5"/>
  <c r="I162" i="5"/>
  <c r="R87" i="5"/>
  <c r="I87" i="5"/>
  <c r="M87" i="5"/>
  <c r="M102" i="5"/>
  <c r="I102" i="5"/>
  <c r="R102" i="5"/>
  <c r="M49" i="5"/>
  <c r="I49" i="5"/>
  <c r="R49" i="5"/>
  <c r="R7" i="5"/>
  <c r="M7" i="5"/>
  <c r="I7" i="5"/>
  <c r="I66" i="5"/>
  <c r="M66" i="5"/>
  <c r="R66" i="5"/>
  <c r="M38" i="5"/>
  <c r="I38" i="5"/>
  <c r="R38" i="5"/>
  <c r="M44" i="5"/>
  <c r="I44" i="5"/>
  <c r="R44" i="5"/>
  <c r="M78" i="5"/>
  <c r="R78" i="5"/>
  <c r="I78" i="5"/>
  <c r="Q81" i="6"/>
  <c r="L81" i="6"/>
  <c r="H81" i="6"/>
  <c r="Q18" i="6"/>
  <c r="L18" i="6"/>
  <c r="H18" i="6"/>
  <c r="L52" i="6"/>
  <c r="H52" i="6"/>
  <c r="Q52" i="6"/>
  <c r="I114" i="5"/>
  <c r="R114" i="5"/>
  <c r="M114" i="5"/>
  <c r="M178" i="5"/>
  <c r="R178" i="5"/>
  <c r="I178" i="5"/>
  <c r="L123" i="5"/>
  <c r="J123" i="5"/>
  <c r="K123" i="5" s="1"/>
  <c r="I136" i="5"/>
  <c r="R136" i="5"/>
  <c r="M136" i="5"/>
  <c r="K185" i="6"/>
  <c r="I185" i="6"/>
  <c r="J185" i="6" s="1"/>
  <c r="K202" i="6"/>
  <c r="I202" i="6"/>
  <c r="J202" i="6" s="1"/>
  <c r="R59" i="5"/>
  <c r="I59" i="5"/>
  <c r="M59" i="5"/>
  <c r="R153" i="5"/>
  <c r="M153" i="5"/>
  <c r="I153" i="5"/>
  <c r="I122" i="5"/>
  <c r="M122" i="5"/>
  <c r="R122" i="5"/>
  <c r="Q144" i="6"/>
  <c r="L144" i="6"/>
  <c r="H144" i="6"/>
  <c r="L115" i="5"/>
  <c r="J115" i="5"/>
  <c r="K115" i="5" s="1"/>
  <c r="I22" i="5"/>
  <c r="R22" i="5"/>
  <c r="M22" i="5"/>
  <c r="L105" i="6"/>
  <c r="H105" i="6"/>
  <c r="Q105" i="6"/>
  <c r="Q178" i="6"/>
  <c r="L178" i="6"/>
  <c r="H178" i="6"/>
  <c r="I101" i="5"/>
  <c r="R101" i="5"/>
  <c r="M101" i="5"/>
  <c r="I30" i="5"/>
  <c r="R30" i="5"/>
  <c r="M30" i="5"/>
  <c r="I144" i="5"/>
  <c r="R144" i="5"/>
  <c r="M144" i="5"/>
  <c r="Q176" i="6"/>
  <c r="L176" i="6"/>
  <c r="H176" i="6"/>
  <c r="Q199" i="6"/>
  <c r="L199" i="6"/>
  <c r="H199" i="6"/>
  <c r="J5" i="5"/>
  <c r="K5" i="5" s="1"/>
  <c r="L5" i="5"/>
  <c r="L107" i="5"/>
  <c r="J107" i="5"/>
  <c r="K107" i="5" s="1"/>
  <c r="K134" i="2"/>
  <c r="I134" i="2"/>
  <c r="J134" i="2" s="1"/>
  <c r="R145" i="5"/>
  <c r="M145" i="5"/>
  <c r="I145" i="5"/>
  <c r="I155" i="2"/>
  <c r="J155" i="2" s="1"/>
  <c r="K155" i="2"/>
  <c r="I173" i="2"/>
  <c r="J173" i="2" s="1"/>
  <c r="K173" i="2"/>
  <c r="I109" i="2"/>
  <c r="J109" i="2" s="1"/>
  <c r="K109" i="2"/>
  <c r="K152" i="2"/>
  <c r="I152" i="2"/>
  <c r="J152" i="2" s="1"/>
  <c r="H6" i="2"/>
  <c r="K165" i="2"/>
  <c r="I165" i="2"/>
  <c r="J165" i="2" s="1"/>
  <c r="L12" i="2"/>
  <c r="K136" i="2"/>
  <c r="I136" i="2"/>
  <c r="J136" i="2" s="1"/>
  <c r="K77" i="2"/>
  <c r="I77" i="2"/>
  <c r="J77" i="2" s="1"/>
  <c r="K45" i="2"/>
  <c r="I45" i="2"/>
  <c r="J45" i="2" s="1"/>
  <c r="K111" i="2"/>
  <c r="I111" i="2"/>
  <c r="J111" i="2" s="1"/>
  <c r="I116" i="2"/>
  <c r="J116" i="2" s="1"/>
  <c r="K116" i="2"/>
  <c r="K57" i="2"/>
  <c r="I57" i="2"/>
  <c r="J57" i="2" s="1"/>
  <c r="I135" i="2"/>
  <c r="J135" i="2" s="1"/>
  <c r="K135" i="2"/>
  <c r="I172" i="2"/>
  <c r="J172" i="2" s="1"/>
  <c r="K172" i="2"/>
  <c r="K74" i="2"/>
  <c r="I74" i="2"/>
  <c r="J74" i="2" s="1"/>
  <c r="H96" i="2"/>
  <c r="H48" i="2"/>
  <c r="J153" i="5" l="1"/>
  <c r="K153" i="5" s="1"/>
  <c r="L153" i="5"/>
  <c r="J72" i="5"/>
  <c r="K72" i="5" s="1"/>
  <c r="L72" i="5"/>
  <c r="K143" i="6"/>
  <c r="I143" i="6"/>
  <c r="J143" i="6" s="1"/>
  <c r="J70" i="5"/>
  <c r="K70" i="5" s="1"/>
  <c r="L70" i="5"/>
  <c r="K71" i="6"/>
  <c r="I71" i="6"/>
  <c r="J71" i="6" s="1"/>
  <c r="K36" i="6"/>
  <c r="I36" i="6"/>
  <c r="J36" i="6" s="1"/>
  <c r="L66" i="5"/>
  <c r="J66" i="5"/>
  <c r="K66" i="5" s="1"/>
  <c r="I76" i="6"/>
  <c r="J76" i="6" s="1"/>
  <c r="K76" i="6"/>
  <c r="K61" i="6"/>
  <c r="I61" i="6"/>
  <c r="J61" i="6" s="1"/>
  <c r="J84" i="5"/>
  <c r="K84" i="5" s="1"/>
  <c r="L84" i="5"/>
  <c r="K183" i="6"/>
  <c r="I183" i="6"/>
  <c r="J183" i="6" s="1"/>
  <c r="K147" i="6"/>
  <c r="I147" i="6"/>
  <c r="J147" i="6" s="1"/>
  <c r="I94" i="6"/>
  <c r="J94" i="6" s="1"/>
  <c r="K94" i="6"/>
  <c r="L93" i="5"/>
  <c r="J93" i="5"/>
  <c r="K93" i="5" s="1"/>
  <c r="K11" i="6"/>
  <c r="I11" i="6"/>
  <c r="J11" i="6" s="1"/>
  <c r="K201" i="6"/>
  <c r="I201" i="6"/>
  <c r="J201" i="6" s="1"/>
  <c r="J184" i="5"/>
  <c r="K184" i="5" s="1"/>
  <c r="L184" i="5"/>
  <c r="J111" i="5"/>
  <c r="K111" i="5" s="1"/>
  <c r="L111" i="5"/>
  <c r="I31" i="6"/>
  <c r="J31" i="6" s="1"/>
  <c r="K31" i="6"/>
  <c r="K105" i="6"/>
  <c r="I105" i="6"/>
  <c r="J105" i="6" s="1"/>
  <c r="L186" i="5"/>
  <c r="J186" i="5"/>
  <c r="K186" i="5" s="1"/>
  <c r="L51" i="5"/>
  <c r="J51" i="5"/>
  <c r="K51" i="5" s="1"/>
  <c r="I69" i="6"/>
  <c r="J69" i="6" s="1"/>
  <c r="K69" i="6"/>
  <c r="J146" i="5"/>
  <c r="K146" i="5" s="1"/>
  <c r="L146" i="5"/>
  <c r="I179" i="6"/>
  <c r="J179" i="6" s="1"/>
  <c r="K179" i="6"/>
  <c r="J76" i="5"/>
  <c r="K76" i="5" s="1"/>
  <c r="L76" i="5"/>
  <c r="J127" i="5"/>
  <c r="K127" i="5" s="1"/>
  <c r="L127" i="5"/>
  <c r="L62" i="5"/>
  <c r="J62" i="5"/>
  <c r="K62" i="5" s="1"/>
  <c r="J175" i="5"/>
  <c r="K175" i="5" s="1"/>
  <c r="L175" i="5"/>
  <c r="I195" i="6"/>
  <c r="J195" i="6" s="1"/>
  <c r="K195" i="6"/>
  <c r="K174" i="6"/>
  <c r="I174" i="6"/>
  <c r="J174" i="6" s="1"/>
  <c r="K122" i="6"/>
  <c r="I122" i="6"/>
  <c r="J122" i="6" s="1"/>
  <c r="I9" i="6"/>
  <c r="J9" i="6" s="1"/>
  <c r="K9" i="6"/>
  <c r="L83" i="5"/>
  <c r="J83" i="5"/>
  <c r="K83" i="5" s="1"/>
  <c r="J26" i="5"/>
  <c r="K26" i="5" s="1"/>
  <c r="L26" i="5"/>
  <c r="J119" i="5"/>
  <c r="K119" i="5" s="1"/>
  <c r="L119" i="5"/>
  <c r="I164" i="6"/>
  <c r="J164" i="6" s="1"/>
  <c r="K164" i="6"/>
  <c r="K98" i="6"/>
  <c r="I98" i="6"/>
  <c r="J98" i="6" s="1"/>
  <c r="I107" i="6"/>
  <c r="J107" i="6" s="1"/>
  <c r="K107" i="6"/>
  <c r="J164" i="5"/>
  <c r="K164" i="5" s="1"/>
  <c r="L164" i="5"/>
  <c r="J157" i="5"/>
  <c r="K157" i="5" s="1"/>
  <c r="L157" i="5"/>
  <c r="I14" i="6"/>
  <c r="J14" i="6" s="1"/>
  <c r="K14" i="6"/>
  <c r="K39" i="6"/>
  <c r="I39" i="6"/>
  <c r="J39" i="6" s="1"/>
  <c r="K104" i="6"/>
  <c r="I104" i="6"/>
  <c r="J104" i="6" s="1"/>
  <c r="I156" i="6"/>
  <c r="J156" i="6" s="1"/>
  <c r="K156" i="6"/>
  <c r="J31" i="5"/>
  <c r="K31" i="5" s="1"/>
  <c r="L31" i="5"/>
  <c r="K40" i="2"/>
  <c r="I40" i="2"/>
  <c r="J40" i="2" s="1"/>
  <c r="K200" i="6"/>
  <c r="I200" i="6"/>
  <c r="J200" i="6" s="1"/>
  <c r="L36" i="5"/>
  <c r="J36" i="5"/>
  <c r="K36" i="5" s="1"/>
  <c r="J24" i="5"/>
  <c r="K24" i="5" s="1"/>
  <c r="L24" i="5"/>
  <c r="L27" i="5"/>
  <c r="J27" i="5"/>
  <c r="K27" i="5" s="1"/>
  <c r="J57" i="5"/>
  <c r="K57" i="5" s="1"/>
  <c r="L57" i="5"/>
  <c r="J154" i="5"/>
  <c r="K154" i="5" s="1"/>
  <c r="L154" i="5"/>
  <c r="K197" i="6"/>
  <c r="I197" i="6"/>
  <c r="J197" i="6" s="1"/>
  <c r="K33" i="6"/>
  <c r="I33" i="6"/>
  <c r="J33" i="6" s="1"/>
  <c r="J97" i="5"/>
  <c r="K97" i="5" s="1"/>
  <c r="L97" i="5"/>
  <c r="L163" i="5"/>
  <c r="J163" i="5"/>
  <c r="K163" i="5" s="1"/>
  <c r="L35" i="5"/>
  <c r="J35" i="5"/>
  <c r="K35" i="5" s="1"/>
  <c r="I132" i="6"/>
  <c r="J132" i="6" s="1"/>
  <c r="K132" i="6"/>
  <c r="I196" i="6"/>
  <c r="J196" i="6" s="1"/>
  <c r="K196" i="6"/>
  <c r="I13" i="6"/>
  <c r="J13" i="6" s="1"/>
  <c r="K13" i="6"/>
  <c r="K149" i="6"/>
  <c r="I149" i="6"/>
  <c r="J149" i="6" s="1"/>
  <c r="K181" i="6"/>
  <c r="I181" i="6"/>
  <c r="J181" i="6" s="1"/>
  <c r="J55" i="5"/>
  <c r="K55" i="5" s="1"/>
  <c r="L55" i="5"/>
  <c r="K80" i="2"/>
  <c r="I80" i="2"/>
  <c r="J80" i="2" s="1"/>
  <c r="J166" i="5"/>
  <c r="K166" i="5" s="1"/>
  <c r="L166" i="5"/>
  <c r="I212" i="6"/>
  <c r="J212" i="6" s="1"/>
  <c r="K212" i="6"/>
  <c r="K154" i="6"/>
  <c r="I154" i="6"/>
  <c r="J154" i="6" s="1"/>
  <c r="I141" i="6"/>
  <c r="J141" i="6" s="1"/>
  <c r="K141" i="6"/>
  <c r="L46" i="5"/>
  <c r="J46" i="5"/>
  <c r="K46" i="5" s="1"/>
  <c r="I165" i="6"/>
  <c r="J165" i="6" s="1"/>
  <c r="K165" i="6"/>
  <c r="K45" i="6"/>
  <c r="I45" i="6"/>
  <c r="J45" i="6" s="1"/>
  <c r="J192" i="5"/>
  <c r="K192" i="5" s="1"/>
  <c r="L192" i="5"/>
  <c r="K35" i="6"/>
  <c r="I35" i="6"/>
  <c r="J35" i="6" s="1"/>
  <c r="K121" i="6"/>
  <c r="I121" i="6"/>
  <c r="J121" i="6" s="1"/>
  <c r="I91" i="6"/>
  <c r="J91" i="6" s="1"/>
  <c r="K91" i="6"/>
  <c r="K130" i="6"/>
  <c r="I130" i="6"/>
  <c r="J130" i="6" s="1"/>
  <c r="K92" i="6"/>
  <c r="I92" i="6"/>
  <c r="J92" i="6" s="1"/>
  <c r="J121" i="5"/>
  <c r="K121" i="5" s="1"/>
  <c r="L121" i="5"/>
  <c r="I126" i="6"/>
  <c r="J126" i="6" s="1"/>
  <c r="K126" i="6"/>
  <c r="J10" i="5"/>
  <c r="K10" i="5" s="1"/>
  <c r="L10" i="5"/>
  <c r="I115" i="6"/>
  <c r="J115" i="6" s="1"/>
  <c r="K115" i="6"/>
  <c r="L171" i="5"/>
  <c r="J171" i="5"/>
  <c r="K171" i="5" s="1"/>
  <c r="I10" i="6"/>
  <c r="J10" i="6" s="1"/>
  <c r="K10" i="6"/>
  <c r="K131" i="6"/>
  <c r="I131" i="6"/>
  <c r="J131" i="6" s="1"/>
  <c r="J132" i="5"/>
  <c r="K132" i="5" s="1"/>
  <c r="L132" i="5"/>
  <c r="L30" i="5"/>
  <c r="J30" i="5"/>
  <c r="K30" i="5" s="1"/>
  <c r="K78" i="6"/>
  <c r="I78" i="6"/>
  <c r="J78" i="6" s="1"/>
  <c r="J136" i="5"/>
  <c r="K136" i="5" s="1"/>
  <c r="L136" i="5"/>
  <c r="K59" i="6"/>
  <c r="I59" i="6"/>
  <c r="J59" i="6" s="1"/>
  <c r="L185" i="5"/>
  <c r="J185" i="5"/>
  <c r="K185" i="5" s="1"/>
  <c r="K137" i="6"/>
  <c r="I137" i="6"/>
  <c r="J137" i="6" s="1"/>
  <c r="L61" i="5"/>
  <c r="J61" i="5"/>
  <c r="K61" i="5" s="1"/>
  <c r="J79" i="5"/>
  <c r="K79" i="5" s="1"/>
  <c r="L79" i="5"/>
  <c r="J135" i="5"/>
  <c r="K135" i="5" s="1"/>
  <c r="L135" i="5"/>
  <c r="L194" i="5"/>
  <c r="J194" i="5"/>
  <c r="K194" i="5" s="1"/>
  <c r="K89" i="6"/>
  <c r="I89" i="6"/>
  <c r="J89" i="6" s="1"/>
  <c r="K177" i="6"/>
  <c r="I177" i="6"/>
  <c r="J177" i="6" s="1"/>
  <c r="K112" i="6"/>
  <c r="I112" i="6"/>
  <c r="J112" i="6" s="1"/>
  <c r="K160" i="6"/>
  <c r="I160" i="6"/>
  <c r="J160" i="6" s="1"/>
  <c r="K162" i="6"/>
  <c r="I162" i="6"/>
  <c r="J162" i="6" s="1"/>
  <c r="J80" i="5"/>
  <c r="K80" i="5" s="1"/>
  <c r="L80" i="5"/>
  <c r="K82" i="6"/>
  <c r="I82" i="6"/>
  <c r="J82" i="6" s="1"/>
  <c r="K101" i="6"/>
  <c r="I101" i="6"/>
  <c r="J101" i="6" s="1"/>
  <c r="K109" i="6"/>
  <c r="I109" i="6"/>
  <c r="J109" i="6" s="1"/>
  <c r="I142" i="6"/>
  <c r="J142" i="6" s="1"/>
  <c r="K142" i="6"/>
  <c r="K123" i="6"/>
  <c r="I123" i="6"/>
  <c r="J123" i="6" s="1"/>
  <c r="L155" i="5"/>
  <c r="J155" i="5"/>
  <c r="K155" i="5" s="1"/>
  <c r="J16" i="5"/>
  <c r="K16" i="5" s="1"/>
  <c r="L16" i="5"/>
  <c r="I22" i="6"/>
  <c r="J22" i="6" s="1"/>
  <c r="K22" i="6"/>
  <c r="K6" i="6"/>
  <c r="I6" i="6"/>
  <c r="J6" i="6" s="1"/>
  <c r="J181" i="5"/>
  <c r="K181" i="5" s="1"/>
  <c r="L181" i="5"/>
  <c r="K46" i="6"/>
  <c r="I46" i="6"/>
  <c r="J46" i="6" s="1"/>
  <c r="K209" i="6"/>
  <c r="I209" i="6"/>
  <c r="J209" i="6" s="1"/>
  <c r="I117" i="6"/>
  <c r="J117" i="6" s="1"/>
  <c r="K117" i="6"/>
  <c r="L198" i="5"/>
  <c r="J198" i="5"/>
  <c r="K198" i="5" s="1"/>
  <c r="K170" i="6"/>
  <c r="I170" i="6"/>
  <c r="J170" i="6" s="1"/>
  <c r="K208" i="6"/>
  <c r="I208" i="6"/>
  <c r="J208" i="6" s="1"/>
  <c r="J15" i="5"/>
  <c r="K15" i="5" s="1"/>
  <c r="L15" i="5"/>
  <c r="L54" i="5"/>
  <c r="J54" i="5"/>
  <c r="K54" i="5" s="1"/>
  <c r="L191" i="5"/>
  <c r="J191" i="5"/>
  <c r="K191" i="5" s="1"/>
  <c r="L190" i="5"/>
  <c r="J190" i="5"/>
  <c r="K190" i="5" s="1"/>
  <c r="K214" i="6"/>
  <c r="I214" i="6"/>
  <c r="J214" i="6" s="1"/>
  <c r="J141" i="5"/>
  <c r="K141" i="5" s="1"/>
  <c r="L141" i="5"/>
  <c r="K152" i="6"/>
  <c r="I152" i="6"/>
  <c r="J152" i="6" s="1"/>
  <c r="J113" i="5"/>
  <c r="K113" i="5" s="1"/>
  <c r="L113" i="5"/>
  <c r="K53" i="6"/>
  <c r="I53" i="6"/>
  <c r="J53" i="6" s="1"/>
  <c r="K55" i="6"/>
  <c r="I55" i="6"/>
  <c r="J55" i="6" s="1"/>
  <c r="J100" i="5"/>
  <c r="K100" i="5" s="1"/>
  <c r="L100" i="5"/>
  <c r="I18" i="6"/>
  <c r="J18" i="6" s="1"/>
  <c r="K18" i="6"/>
  <c r="I203" i="6"/>
  <c r="J203" i="6" s="1"/>
  <c r="K203" i="6"/>
  <c r="K29" i="6"/>
  <c r="I29" i="6"/>
  <c r="J29" i="6" s="1"/>
  <c r="K87" i="6"/>
  <c r="I87" i="6"/>
  <c r="J87" i="6" s="1"/>
  <c r="J103" i="5"/>
  <c r="K103" i="5" s="1"/>
  <c r="L103" i="5"/>
  <c r="L109" i="5"/>
  <c r="J109" i="5"/>
  <c r="K109" i="5" s="1"/>
  <c r="K65" i="6"/>
  <c r="I65" i="6"/>
  <c r="J65" i="6" s="1"/>
  <c r="K97" i="6"/>
  <c r="I97" i="6"/>
  <c r="J97" i="6" s="1"/>
  <c r="J174" i="5"/>
  <c r="K174" i="5" s="1"/>
  <c r="L174" i="5"/>
  <c r="K79" i="6"/>
  <c r="I79" i="6"/>
  <c r="J79" i="6" s="1"/>
  <c r="K186" i="6"/>
  <c r="I186" i="6"/>
  <c r="J186" i="6" s="1"/>
  <c r="J65" i="5"/>
  <c r="K65" i="5" s="1"/>
  <c r="L65" i="5"/>
  <c r="K133" i="6"/>
  <c r="I133" i="6"/>
  <c r="J133" i="6" s="1"/>
  <c r="K100" i="6"/>
  <c r="I100" i="6"/>
  <c r="J100" i="6" s="1"/>
  <c r="J130" i="5"/>
  <c r="K130" i="5" s="1"/>
  <c r="L130" i="5"/>
  <c r="K190" i="6"/>
  <c r="I190" i="6"/>
  <c r="J190" i="6" s="1"/>
  <c r="L98" i="5"/>
  <c r="J98" i="5"/>
  <c r="K98" i="5" s="1"/>
  <c r="I145" i="6"/>
  <c r="J145" i="6" s="1"/>
  <c r="K145" i="6"/>
  <c r="I16" i="6"/>
  <c r="J16" i="6" s="1"/>
  <c r="K16" i="6"/>
  <c r="J142" i="5"/>
  <c r="K142" i="5" s="1"/>
  <c r="L142" i="5"/>
  <c r="K58" i="6"/>
  <c r="I58" i="6"/>
  <c r="J58" i="6" s="1"/>
  <c r="K173" i="6"/>
  <c r="I173" i="6"/>
  <c r="J173" i="6" s="1"/>
  <c r="I187" i="6"/>
  <c r="J187" i="6" s="1"/>
  <c r="K187" i="6"/>
  <c r="J150" i="5"/>
  <c r="K150" i="5" s="1"/>
  <c r="L150" i="5"/>
  <c r="K166" i="6"/>
  <c r="I166" i="6"/>
  <c r="J166" i="6" s="1"/>
  <c r="K47" i="6"/>
  <c r="I47" i="6"/>
  <c r="J47" i="6" s="1"/>
  <c r="I199" i="2"/>
  <c r="J199" i="2" s="1"/>
  <c r="K199" i="2"/>
  <c r="K158" i="6"/>
  <c r="I158" i="6"/>
  <c r="J158" i="6" s="1"/>
  <c r="J133" i="5"/>
  <c r="K133" i="5" s="1"/>
  <c r="L133" i="5"/>
  <c r="K189" i="6"/>
  <c r="I189" i="6"/>
  <c r="J189" i="6" s="1"/>
  <c r="I127" i="6"/>
  <c r="J127" i="6" s="1"/>
  <c r="K127" i="6"/>
  <c r="J112" i="5"/>
  <c r="K112" i="5" s="1"/>
  <c r="L112" i="5"/>
  <c r="I188" i="6"/>
  <c r="J188" i="6" s="1"/>
  <c r="K188" i="6"/>
  <c r="L41" i="5"/>
  <c r="J41" i="5"/>
  <c r="K41" i="5" s="1"/>
  <c r="K169" i="6"/>
  <c r="I169" i="6"/>
  <c r="J169" i="6" s="1"/>
  <c r="K90" i="6"/>
  <c r="I90" i="6"/>
  <c r="J90" i="6" s="1"/>
  <c r="J21" i="5"/>
  <c r="K21" i="5" s="1"/>
  <c r="L21" i="5"/>
  <c r="J110" i="5"/>
  <c r="K110" i="5" s="1"/>
  <c r="L110" i="5"/>
  <c r="K54" i="6"/>
  <c r="I54" i="6"/>
  <c r="J54" i="6" s="1"/>
  <c r="K176" i="6"/>
  <c r="I176" i="6"/>
  <c r="J176" i="6" s="1"/>
  <c r="I81" i="6"/>
  <c r="J81" i="6" s="1"/>
  <c r="K81" i="6"/>
  <c r="K206" i="6"/>
  <c r="I206" i="6"/>
  <c r="J206" i="6" s="1"/>
  <c r="L59" i="5"/>
  <c r="J59" i="5"/>
  <c r="K59" i="5" s="1"/>
  <c r="L114" i="5"/>
  <c r="J114" i="5"/>
  <c r="K114" i="5" s="1"/>
  <c r="J87" i="5"/>
  <c r="K87" i="5" s="1"/>
  <c r="L87" i="5"/>
  <c r="J38" i="5"/>
  <c r="K38" i="5" s="1"/>
  <c r="L38" i="5"/>
  <c r="I88" i="6"/>
  <c r="J88" i="6" s="1"/>
  <c r="K88" i="6"/>
  <c r="L33" i="5"/>
  <c r="J33" i="5"/>
  <c r="K33" i="5" s="1"/>
  <c r="J129" i="5"/>
  <c r="K129" i="5" s="1"/>
  <c r="L129" i="5"/>
  <c r="L131" i="5"/>
  <c r="J131" i="5"/>
  <c r="K131" i="5" s="1"/>
  <c r="J165" i="5"/>
  <c r="K165" i="5" s="1"/>
  <c r="L165" i="5"/>
  <c r="K56" i="6"/>
  <c r="I56" i="6"/>
  <c r="J56" i="6" s="1"/>
  <c r="K106" i="6"/>
  <c r="I106" i="6"/>
  <c r="J106" i="6" s="1"/>
  <c r="L58" i="5"/>
  <c r="J58" i="5"/>
  <c r="K58" i="5" s="1"/>
  <c r="J151" i="5"/>
  <c r="K151" i="5" s="1"/>
  <c r="L151" i="5"/>
  <c r="K42" i="6"/>
  <c r="I42" i="6"/>
  <c r="J42" i="6" s="1"/>
  <c r="K96" i="6"/>
  <c r="I96" i="6"/>
  <c r="J96" i="6" s="1"/>
  <c r="K64" i="2"/>
  <c r="I64" i="2"/>
  <c r="J64" i="2" s="1"/>
  <c r="L25" i="5"/>
  <c r="J25" i="5"/>
  <c r="K25" i="5" s="1"/>
  <c r="L40" i="5"/>
  <c r="J40" i="5"/>
  <c r="K40" i="5" s="1"/>
  <c r="K8" i="6"/>
  <c r="I8" i="6"/>
  <c r="J8" i="6" s="1"/>
  <c r="I204" i="6"/>
  <c r="J204" i="6" s="1"/>
  <c r="K204" i="6"/>
  <c r="K146" i="6"/>
  <c r="I146" i="6"/>
  <c r="J146" i="6" s="1"/>
  <c r="K159" i="6"/>
  <c r="I159" i="6"/>
  <c r="J159" i="6" s="1"/>
  <c r="J124" i="5"/>
  <c r="K124" i="5" s="1"/>
  <c r="L124" i="5"/>
  <c r="K210" i="6"/>
  <c r="I210" i="6"/>
  <c r="J210" i="6" s="1"/>
  <c r="K43" i="6"/>
  <c r="I43" i="6"/>
  <c r="J43" i="6" s="1"/>
  <c r="J143" i="5"/>
  <c r="K143" i="5" s="1"/>
  <c r="L143" i="5"/>
  <c r="L183" i="5"/>
  <c r="J183" i="5"/>
  <c r="K183" i="5" s="1"/>
  <c r="K128" i="6"/>
  <c r="I128" i="6"/>
  <c r="J128" i="6" s="1"/>
  <c r="K182" i="6"/>
  <c r="I182" i="6"/>
  <c r="J182" i="6" s="1"/>
  <c r="K62" i="6"/>
  <c r="I62" i="6"/>
  <c r="J62" i="6" s="1"/>
  <c r="I155" i="6"/>
  <c r="J155" i="6" s="1"/>
  <c r="K155" i="6"/>
  <c r="L177" i="5"/>
  <c r="J177" i="5"/>
  <c r="K177" i="5" s="1"/>
  <c r="J52" i="5"/>
  <c r="K52" i="5" s="1"/>
  <c r="L52" i="5"/>
  <c r="I125" i="6"/>
  <c r="J125" i="6" s="1"/>
  <c r="K125" i="6"/>
  <c r="K74" i="6"/>
  <c r="I74" i="6"/>
  <c r="J74" i="6" s="1"/>
  <c r="K37" i="2"/>
  <c r="I37" i="2"/>
  <c r="J37" i="2" s="1"/>
  <c r="K129" i="6"/>
  <c r="I129" i="6"/>
  <c r="J129" i="6" s="1"/>
  <c r="K83" i="6"/>
  <c r="I83" i="6"/>
  <c r="J83" i="6" s="1"/>
  <c r="K7" i="6"/>
  <c r="I7" i="6"/>
  <c r="J7" i="6" s="1"/>
  <c r="K199" i="6"/>
  <c r="I199" i="6"/>
  <c r="J199" i="6" s="1"/>
  <c r="K41" i="6"/>
  <c r="I41" i="6"/>
  <c r="J41" i="6" s="1"/>
  <c r="L139" i="5"/>
  <c r="J139" i="5"/>
  <c r="K139" i="5" s="1"/>
  <c r="L179" i="5"/>
  <c r="J179" i="5"/>
  <c r="K179" i="5" s="1"/>
  <c r="L126" i="5"/>
  <c r="J126" i="5"/>
  <c r="K126" i="5" s="1"/>
  <c r="L85" i="5"/>
  <c r="J85" i="5"/>
  <c r="K85" i="5" s="1"/>
  <c r="J138" i="5"/>
  <c r="K138" i="5" s="1"/>
  <c r="L138" i="5"/>
  <c r="K205" i="6"/>
  <c r="I205" i="6"/>
  <c r="J205" i="6" s="1"/>
  <c r="K75" i="6"/>
  <c r="I75" i="6"/>
  <c r="J75" i="6" s="1"/>
  <c r="L196" i="5"/>
  <c r="J196" i="5"/>
  <c r="K196" i="5" s="1"/>
  <c r="J39" i="5"/>
  <c r="K39" i="5" s="1"/>
  <c r="L39" i="5"/>
  <c r="J159" i="5"/>
  <c r="K159" i="5" s="1"/>
  <c r="L159" i="5"/>
  <c r="J105" i="5"/>
  <c r="K105" i="5" s="1"/>
  <c r="L105" i="5"/>
  <c r="J23" i="5"/>
  <c r="K23" i="5" s="1"/>
  <c r="L23" i="5"/>
  <c r="K37" i="6"/>
  <c r="I37" i="6"/>
  <c r="J37" i="6" s="1"/>
  <c r="J68" i="5"/>
  <c r="K68" i="5" s="1"/>
  <c r="L68" i="5"/>
  <c r="K191" i="6"/>
  <c r="I191" i="6"/>
  <c r="J191" i="6" s="1"/>
  <c r="J140" i="5"/>
  <c r="K140" i="5" s="1"/>
  <c r="L140" i="5"/>
  <c r="J81" i="5"/>
  <c r="K81" i="5" s="1"/>
  <c r="L81" i="5"/>
  <c r="J137" i="5"/>
  <c r="K137" i="5" s="1"/>
  <c r="L137" i="5"/>
  <c r="K19" i="6"/>
  <c r="I19" i="6"/>
  <c r="J19" i="6" s="1"/>
  <c r="L168" i="5"/>
  <c r="J168" i="5"/>
  <c r="K168" i="5" s="1"/>
  <c r="K57" i="6"/>
  <c r="I57" i="6"/>
  <c r="J57" i="6" s="1"/>
  <c r="L7" i="5"/>
  <c r="J7" i="5"/>
  <c r="K7" i="5" s="1"/>
  <c r="K120" i="6"/>
  <c r="I120" i="6"/>
  <c r="J120" i="6" s="1"/>
  <c r="K167" i="6"/>
  <c r="I167" i="6"/>
  <c r="J167" i="6" s="1"/>
  <c r="I6" i="2"/>
  <c r="J6" i="2" s="1"/>
  <c r="J207" i="2" s="1"/>
  <c r="K6" i="2"/>
  <c r="L101" i="5"/>
  <c r="J101" i="5"/>
  <c r="K101" i="5" s="1"/>
  <c r="I52" i="6"/>
  <c r="J52" i="6" s="1"/>
  <c r="K52" i="6"/>
  <c r="J162" i="5"/>
  <c r="K162" i="5" s="1"/>
  <c r="L162" i="5"/>
  <c r="I68" i="6"/>
  <c r="J68" i="6" s="1"/>
  <c r="K68" i="6"/>
  <c r="I86" i="6"/>
  <c r="J86" i="6" s="1"/>
  <c r="K86" i="6"/>
  <c r="J8" i="5"/>
  <c r="K8" i="5" s="1"/>
  <c r="L8" i="5"/>
  <c r="J176" i="5"/>
  <c r="K176" i="5" s="1"/>
  <c r="L176" i="5"/>
  <c r="J167" i="5"/>
  <c r="K167" i="5" s="1"/>
  <c r="L167" i="5"/>
  <c r="I30" i="6"/>
  <c r="J30" i="6" s="1"/>
  <c r="K30" i="6"/>
  <c r="K134" i="6"/>
  <c r="I134" i="6"/>
  <c r="J134" i="6" s="1"/>
  <c r="J71" i="5"/>
  <c r="K71" i="5" s="1"/>
  <c r="L71" i="5"/>
  <c r="K139" i="6"/>
  <c r="I139" i="6"/>
  <c r="J139" i="6" s="1"/>
  <c r="K103" i="6"/>
  <c r="I103" i="6"/>
  <c r="J103" i="6" s="1"/>
  <c r="J86" i="5"/>
  <c r="K86" i="5" s="1"/>
  <c r="L86" i="5"/>
  <c r="J89" i="5"/>
  <c r="K89" i="5" s="1"/>
  <c r="L89" i="5"/>
  <c r="K50" i="6"/>
  <c r="I50" i="6"/>
  <c r="J50" i="6" s="1"/>
  <c r="K93" i="6"/>
  <c r="I93" i="6"/>
  <c r="J93" i="6" s="1"/>
  <c r="K29" i="2"/>
  <c r="I29" i="2"/>
  <c r="J29" i="2" s="1"/>
  <c r="J29" i="5"/>
  <c r="K29" i="5" s="1"/>
  <c r="L29" i="5"/>
  <c r="J152" i="5"/>
  <c r="K152" i="5" s="1"/>
  <c r="L152" i="5"/>
  <c r="L19" i="5"/>
  <c r="J19" i="5"/>
  <c r="K19" i="5" s="1"/>
  <c r="J173" i="5"/>
  <c r="K173" i="5" s="1"/>
  <c r="L173" i="5"/>
  <c r="J149" i="5"/>
  <c r="K149" i="5" s="1"/>
  <c r="L149" i="5"/>
  <c r="I60" i="6"/>
  <c r="J60" i="6" s="1"/>
  <c r="K60" i="6"/>
  <c r="K63" i="6"/>
  <c r="I63" i="6"/>
  <c r="J63" i="6" s="1"/>
  <c r="I180" i="6"/>
  <c r="J180" i="6" s="1"/>
  <c r="K180" i="6"/>
  <c r="L42" i="5"/>
  <c r="J42" i="5"/>
  <c r="K42" i="5" s="1"/>
  <c r="J34" i="5"/>
  <c r="K34" i="5" s="1"/>
  <c r="L34" i="5"/>
  <c r="L53" i="5"/>
  <c r="J53" i="5"/>
  <c r="K53" i="5" s="1"/>
  <c r="J156" i="5"/>
  <c r="K156" i="5" s="1"/>
  <c r="L156" i="5"/>
  <c r="J94" i="5"/>
  <c r="K94" i="5" s="1"/>
  <c r="L94" i="5"/>
  <c r="L106" i="5"/>
  <c r="J106" i="5"/>
  <c r="K106" i="5" s="1"/>
  <c r="K135" i="6"/>
  <c r="I135" i="6"/>
  <c r="J135" i="6" s="1"/>
  <c r="K157" i="6"/>
  <c r="I157" i="6"/>
  <c r="J157" i="6" s="1"/>
  <c r="J172" i="5"/>
  <c r="K172" i="5" s="1"/>
  <c r="L172" i="5"/>
  <c r="I5" i="6"/>
  <c r="J5" i="6" s="1"/>
  <c r="K5" i="6"/>
  <c r="J180" i="5"/>
  <c r="K180" i="5" s="1"/>
  <c r="L180" i="5"/>
  <c r="I118" i="6"/>
  <c r="J118" i="6" s="1"/>
  <c r="K118" i="6"/>
  <c r="K101" i="2"/>
  <c r="I101" i="2"/>
  <c r="J101" i="2" s="1"/>
  <c r="L91" i="5"/>
  <c r="J91" i="5"/>
  <c r="K91" i="5" s="1"/>
  <c r="L188" i="5"/>
  <c r="J188" i="5"/>
  <c r="K188" i="5" s="1"/>
  <c r="I85" i="6"/>
  <c r="J85" i="6" s="1"/>
  <c r="K85" i="6"/>
  <c r="J95" i="5"/>
  <c r="K95" i="5" s="1"/>
  <c r="L95" i="5"/>
  <c r="J189" i="5"/>
  <c r="K189" i="5" s="1"/>
  <c r="L189" i="5"/>
  <c r="K15" i="6"/>
  <c r="I15" i="6"/>
  <c r="J15" i="6" s="1"/>
  <c r="K131" i="2"/>
  <c r="I131" i="2"/>
  <c r="J131" i="2" s="1"/>
  <c r="K184" i="6"/>
  <c r="I184" i="6"/>
  <c r="J184" i="6" s="1"/>
  <c r="L17" i="5"/>
  <c r="J17" i="5"/>
  <c r="K17" i="5" s="1"/>
  <c r="L11" i="5"/>
  <c r="J11" i="5"/>
  <c r="K11" i="5" s="1"/>
  <c r="L90" i="5"/>
  <c r="J90" i="5"/>
  <c r="K90" i="5" s="1"/>
  <c r="J197" i="5"/>
  <c r="K197" i="5" s="1"/>
  <c r="L197" i="5"/>
  <c r="K40" i="6"/>
  <c r="I40" i="6"/>
  <c r="J40" i="6" s="1"/>
  <c r="I84" i="6"/>
  <c r="J84" i="6" s="1"/>
  <c r="K84" i="6"/>
  <c r="K96" i="2"/>
  <c r="I96" i="2"/>
  <c r="J96" i="2" s="1"/>
  <c r="J144" i="5"/>
  <c r="K144" i="5" s="1"/>
  <c r="L144" i="5"/>
  <c r="J20" i="5"/>
  <c r="K20" i="5" s="1"/>
  <c r="L20" i="5"/>
  <c r="J18" i="5"/>
  <c r="K18" i="5" s="1"/>
  <c r="L18" i="5"/>
  <c r="K38" i="6"/>
  <c r="I38" i="6"/>
  <c r="J38" i="6" s="1"/>
  <c r="L182" i="5"/>
  <c r="J182" i="5"/>
  <c r="K182" i="5" s="1"/>
  <c r="I24" i="6"/>
  <c r="J24" i="6" s="1"/>
  <c r="K24" i="6"/>
  <c r="K49" i="6"/>
  <c r="I49" i="6"/>
  <c r="J49" i="6" s="1"/>
  <c r="J116" i="5"/>
  <c r="K116" i="5" s="1"/>
  <c r="L116" i="5"/>
  <c r="K195" i="2"/>
  <c r="I195" i="2"/>
  <c r="J195" i="2" s="1"/>
  <c r="J88" i="5"/>
  <c r="K88" i="5" s="1"/>
  <c r="L88" i="5"/>
  <c r="J102" i="5"/>
  <c r="K102" i="5" s="1"/>
  <c r="L102" i="5"/>
  <c r="K20" i="6"/>
  <c r="I20" i="6"/>
  <c r="J20" i="6" s="1"/>
  <c r="K138" i="6"/>
  <c r="I138" i="6"/>
  <c r="J138" i="6" s="1"/>
  <c r="I12" i="6"/>
  <c r="J12" i="6" s="1"/>
  <c r="K12" i="6"/>
  <c r="K26" i="6"/>
  <c r="I26" i="6"/>
  <c r="J26" i="6" s="1"/>
  <c r="L117" i="5"/>
  <c r="J117" i="5"/>
  <c r="K117" i="5" s="1"/>
  <c r="K168" i="6"/>
  <c r="I168" i="6"/>
  <c r="J168" i="6" s="1"/>
  <c r="J104" i="5"/>
  <c r="K104" i="5" s="1"/>
  <c r="L104" i="5"/>
  <c r="K119" i="6"/>
  <c r="I119" i="6"/>
  <c r="J119" i="6" s="1"/>
  <c r="L195" i="5"/>
  <c r="J195" i="5"/>
  <c r="K195" i="5" s="1"/>
  <c r="K144" i="6"/>
  <c r="I144" i="6"/>
  <c r="J144" i="6" s="1"/>
  <c r="L44" i="5"/>
  <c r="J44" i="5"/>
  <c r="K44" i="5" s="1"/>
  <c r="K150" i="6"/>
  <c r="I150" i="6"/>
  <c r="J150" i="6" s="1"/>
  <c r="K198" i="6"/>
  <c r="I198" i="6"/>
  <c r="J198" i="6" s="1"/>
  <c r="L99" i="5"/>
  <c r="J99" i="5"/>
  <c r="K99" i="5" s="1"/>
  <c r="K80" i="6"/>
  <c r="I80" i="6"/>
  <c r="J80" i="6" s="1"/>
  <c r="J160" i="5"/>
  <c r="K160" i="5" s="1"/>
  <c r="L160" i="5"/>
  <c r="L82" i="5"/>
  <c r="J82" i="5"/>
  <c r="K82" i="5" s="1"/>
  <c r="K28" i="6"/>
  <c r="I28" i="6"/>
  <c r="J28" i="6" s="1"/>
  <c r="K111" i="6"/>
  <c r="I111" i="6"/>
  <c r="J111" i="6" s="1"/>
  <c r="J78" i="5"/>
  <c r="K78" i="5" s="1"/>
  <c r="L78" i="5"/>
  <c r="L49" i="5"/>
  <c r="J49" i="5"/>
  <c r="K49" i="5" s="1"/>
  <c r="K32" i="6"/>
  <c r="I32" i="6"/>
  <c r="J32" i="6" s="1"/>
  <c r="K66" i="6"/>
  <c r="I66" i="6"/>
  <c r="J66" i="6" s="1"/>
  <c r="K193" i="6"/>
  <c r="I193" i="6"/>
  <c r="J193" i="6" s="1"/>
  <c r="L120" i="5"/>
  <c r="J120" i="5"/>
  <c r="K120" i="5" s="1"/>
  <c r="K48" i="2"/>
  <c r="I48" i="2"/>
  <c r="J48" i="2" s="1"/>
  <c r="J145" i="5"/>
  <c r="K145" i="5" s="1"/>
  <c r="L145" i="5"/>
  <c r="K178" i="6"/>
  <c r="I178" i="6"/>
  <c r="J178" i="6" s="1"/>
  <c r="L22" i="5"/>
  <c r="J22" i="5"/>
  <c r="K22" i="5" s="1"/>
  <c r="L122" i="5"/>
  <c r="J122" i="5"/>
  <c r="K122" i="5" s="1"/>
  <c r="L178" i="5"/>
  <c r="J178" i="5"/>
  <c r="K178" i="5" s="1"/>
  <c r="K70" i="6"/>
  <c r="I70" i="6"/>
  <c r="J70" i="6" s="1"/>
  <c r="K114" i="6"/>
  <c r="I114" i="6"/>
  <c r="J114" i="6" s="1"/>
  <c r="K153" i="6"/>
  <c r="I153" i="6"/>
  <c r="J153" i="6" s="1"/>
  <c r="I151" i="6"/>
  <c r="J151" i="6" s="1"/>
  <c r="K151" i="6"/>
  <c r="L147" i="5"/>
  <c r="J147" i="5"/>
  <c r="K147" i="5" s="1"/>
  <c r="K124" i="6"/>
  <c r="I124" i="6"/>
  <c r="J124" i="6" s="1"/>
  <c r="I211" i="6"/>
  <c r="J211" i="6" s="1"/>
  <c r="K211" i="6"/>
  <c r="J170" i="5"/>
  <c r="K170" i="5" s="1"/>
  <c r="L170" i="5"/>
  <c r="J47" i="5"/>
  <c r="K47" i="5" s="1"/>
  <c r="L47" i="5"/>
  <c r="K67" i="6"/>
  <c r="I67" i="6"/>
  <c r="J67" i="6" s="1"/>
  <c r="K48" i="6"/>
  <c r="I48" i="6"/>
  <c r="J48" i="6" s="1"/>
  <c r="J161" i="5"/>
  <c r="K161" i="5" s="1"/>
  <c r="L161" i="5"/>
  <c r="K23" i="6"/>
  <c r="I23" i="6"/>
  <c r="J23" i="6" s="1"/>
  <c r="I180" i="2"/>
  <c r="J180" i="2" s="1"/>
  <c r="K180" i="2"/>
  <c r="K161" i="6"/>
  <c r="I161" i="6"/>
  <c r="J161" i="6" s="1"/>
  <c r="L125" i="5"/>
  <c r="J125" i="5"/>
  <c r="K125" i="5" s="1"/>
  <c r="L37" i="5"/>
  <c r="J37" i="5"/>
  <c r="K37" i="5" s="1"/>
  <c r="J73" i="5"/>
  <c r="K73" i="5" s="1"/>
  <c r="L73" i="5"/>
  <c r="J108" i="5"/>
  <c r="K108" i="5" s="1"/>
  <c r="L108" i="5"/>
  <c r="J158" i="5"/>
  <c r="K158" i="5" s="1"/>
  <c r="L158" i="5"/>
  <c r="I140" i="6"/>
  <c r="J140" i="6" s="1"/>
  <c r="K140" i="6"/>
  <c r="J92" i="5"/>
  <c r="K92" i="5" s="1"/>
  <c r="L92" i="5"/>
  <c r="I110" i="6"/>
  <c r="J110" i="6" s="1"/>
  <c r="K110" i="6"/>
  <c r="I148" i="6"/>
  <c r="J148" i="6" s="1"/>
  <c r="K148" i="6"/>
  <c r="K113" i="6"/>
  <c r="I113" i="6"/>
  <c r="J113" i="6" s="1"/>
  <c r="I172" i="6"/>
  <c r="J172" i="6" s="1"/>
  <c r="K172" i="6"/>
  <c r="K51" i="6"/>
  <c r="I51" i="6"/>
  <c r="J51" i="6" s="1"/>
  <c r="L74" i="5"/>
  <c r="J74" i="5"/>
  <c r="K74" i="5" s="1"/>
  <c r="I17" i="6"/>
  <c r="J17" i="6" s="1"/>
  <c r="K17" i="6"/>
  <c r="J134" i="5"/>
  <c r="K134" i="5" s="1"/>
  <c r="L134" i="5"/>
  <c r="J9" i="5"/>
  <c r="K9" i="5" s="1"/>
  <c r="L9" i="5"/>
  <c r="K88" i="2"/>
  <c r="I88" i="2"/>
  <c r="J88" i="2" s="1"/>
  <c r="L187" i="5"/>
  <c r="J187" i="5"/>
  <c r="K187" i="5" s="1"/>
  <c r="K175" i="6"/>
  <c r="I175" i="6"/>
  <c r="J175" i="6" s="1"/>
  <c r="I77" i="6"/>
  <c r="J77" i="6" s="1"/>
  <c r="K77" i="6"/>
  <c r="J148" i="5"/>
  <c r="K148" i="5" s="1"/>
  <c r="L148" i="5"/>
  <c r="L118" i="5"/>
  <c r="J118" i="5"/>
  <c r="K118" i="5" s="1"/>
  <c r="I21" i="6"/>
  <c r="J21" i="6" s="1"/>
  <c r="K21" i="6"/>
  <c r="K72" i="6"/>
  <c r="I72" i="6"/>
  <c r="J72" i="6" s="1"/>
  <c r="K34" i="6"/>
  <c r="I34" i="6"/>
  <c r="J34" i="6" s="1"/>
  <c r="K201" i="5" l="1"/>
  <c r="J218" i="6"/>
</calcChain>
</file>

<file path=xl/sharedStrings.xml><?xml version="1.0" encoding="utf-8"?>
<sst xmlns="http://schemas.openxmlformats.org/spreadsheetml/2006/main" count="2766" uniqueCount="1846">
  <si>
    <t>Simulador de precios y descuentos</t>
  </si>
  <si>
    <t>Valores monetarios en $ según los archivos originales. Importes por bulto salvo indicación.</t>
  </si>
  <si>
    <t>Parámetro / concepto</t>
  </si>
  <si>
    <t>Valor / explicación</t>
  </si>
  <si>
    <t>Recargo observado sobre Precio Base</t>
  </si>
  <si>
    <t>Decimales del precio calculado</t>
  </si>
  <si>
    <t>Modelo de descuento</t>
  </si>
  <si>
    <t>Proporcional: se supone que el precio completo baja en el mismo porcentaje. Pendiente de validar.</t>
  </si>
  <si>
    <t>Cómo usar</t>
  </si>
  <si>
    <t>En Simulador, completar SKU, vencimiento, cantidad de bultos y precio final deseado por unidad.</t>
  </si>
  <si>
    <t>Celdas editables</t>
  </si>
  <si>
    <t>Amarillo: entradas. El catálogo conserva los precios y unidades del segundo archivo.</t>
  </si>
  <si>
    <t>Precio actual calculado</t>
  </si>
  <si>
    <t>P. Final de lista + Precio Base × recargo observado. No sumar 3% al P. Final.</t>
  </si>
  <si>
    <t>Descuento requerido</t>
  </si>
  <si>
    <t>1 − precio deseado por unidad × unidades por bulto / precio actual por bulto. Se muestra sin redondear el cálculo interno.</t>
  </si>
  <si>
    <t>Gasto del descuento</t>
  </si>
  <si>
    <t>Importe cedido frente al precio actual × bultos. No representa costo contable ni pérdida de margen.</t>
  </si>
  <si>
    <t>Alcance de la evidencia</t>
  </si>
  <si>
    <t>Los 10 SKU de muestra respaldan el recargo. Su aplicación a otros SKU es una extrapolación.</t>
  </si>
  <si>
    <t>Impuestos</t>
  </si>
  <si>
    <t>Los archivos no desglosan ni nombran los impuestos. No se asignó una identidad fiscal al recargo.</t>
  </si>
  <si>
    <t>Precisión</t>
  </si>
  <si>
    <t>La regla reproduce la muestra con diferencia máxima de $0,001 al redondear. El sistema puede redondear distinto.</t>
  </si>
  <si>
    <t>Fuente de precios</t>
  </si>
  <si>
    <t>20260908091006plantillaPreciosColumna.xlsx · Lista Columnas · A:G · lista 5.</t>
  </si>
  <si>
    <t>Fuente de comparación</t>
  </si>
  <si>
    <t>export (74).xlsx · ag-grid · 10 SKU, 1 bulto y bonificación 0 en todos los casos.</t>
  </si>
  <si>
    <t>Frescura por sucursal</t>
  </si>
  <si>
    <t>Trelew y Madryn: una fila por lote informado. Prioridad visual ACCIONAR; se conservan los tres bloques de lotes.</t>
  </si>
  <si>
    <t>Alcance del stock</t>
  </si>
  <si>
    <t>Stock lote interpretado en bultos, incluidos fraccionados. Puede diferir del stock total si hay más de tres lotes.</t>
  </si>
  <si>
    <t>Fuente Trelew</t>
  </si>
  <si>
    <t>https://docs.google.com/spreadsheets/d/1w5ydKY-p8pkOphqeIRGXiTdrfHnVYFnM/edit</t>
  </si>
  <si>
    <t>Fuente Madryn</t>
  </si>
  <si>
    <t>https://docs.google.com/spreadsheets/d/18rSCdJrYcQ_8nyWHULXd12oFO8HqkC7p/edit</t>
  </si>
  <si>
    <t>Fecha de las fuentes</t>
  </si>
  <si>
    <t>Plantillas de frescura actualizadas el 08/09/2026. Copia estática; no se actualiza automáticamente desde Drive.</t>
  </si>
  <si>
    <t>Estados de frescura</t>
  </si>
  <si>
    <t>Se conservan los estados y días de bloqueo de origen. Los lotes ELIMINAR quedan sin cálculo de descuento.</t>
  </si>
  <si>
    <t>Dónde ingresar el precio</t>
  </si>
  <si>
    <t>En Trelew o Madryn, columna F: precio final deseado por unidad. E: bultos a bonificar, hasta el stock del lote.</t>
  </si>
  <si>
    <t>Simulador por SKU y lote</t>
  </si>
  <si>
    <t>Amarillo = completar. Precio deseado por unidad; cantidad en bultos. Descuento proporcional pendiente de validación.</t>
  </si>
  <si>
    <t>SKU</t>
  </si>
  <si>
    <t>Descripción</t>
  </si>
  <si>
    <t>Unidades por bulto</t>
  </si>
  <si>
    <t>Vencimiento</t>
  </si>
  <si>
    <t>Bultos a descontar</t>
  </si>
  <si>
    <t>Final deseado / unidad</t>
  </si>
  <si>
    <t>Final actual / bulto</t>
  </si>
  <si>
    <t>Importe cedido / bulto</t>
  </si>
  <si>
    <t>Gasto total descuento</t>
  </si>
  <si>
    <t>Final deseado / bulto</t>
  </si>
  <si>
    <t>Estado</t>
  </si>
  <si>
    <t>2218</t>
  </si>
  <si>
    <t>19253</t>
  </si>
  <si>
    <t>30645</t>
  </si>
  <si>
    <t>49807</t>
  </si>
  <si>
    <t>24931</t>
  </si>
  <si>
    <t>31434</t>
  </si>
  <si>
    <t>591</t>
  </si>
  <si>
    <t>16371</t>
  </si>
  <si>
    <t>22185</t>
  </si>
  <si>
    <t>1416</t>
  </si>
  <si>
    <t>Gasto total cargado</t>
  </si>
  <si>
    <t>Catálogo de precios</t>
  </si>
  <si>
    <t>Fuente: plantilla de precios · lista 5. Ceros de origen se conservan y no habilitan una simulación.</t>
  </si>
  <si>
    <t>Bultos por pallet</t>
  </si>
  <si>
    <t>Lista</t>
  </si>
  <si>
    <t>Precio Base / bulto</t>
  </si>
  <si>
    <t>P. Final / bulto</t>
  </si>
  <si>
    <t>Final calculado / bulto</t>
  </si>
  <si>
    <t>Final calculado / unidad</t>
  </si>
  <si>
    <t>Evidencia</t>
  </si>
  <si>
    <t>544</t>
  </si>
  <si>
    <t>CHAPADUR (SUR)</t>
  </si>
  <si>
    <t>MIRINDA MANZANA * X8 PET2250</t>
  </si>
  <si>
    <t>627</t>
  </si>
  <si>
    <t>MIRINDA NARANJA * X8 PET2250</t>
  </si>
  <si>
    <t>1321</t>
  </si>
  <si>
    <t>PALETA NO CHEP</t>
  </si>
  <si>
    <t>1413</t>
  </si>
  <si>
    <t>GATORADE NARANJA * X6 PET 500</t>
  </si>
  <si>
    <t>GATORADE MANZANA * X6 PET 500</t>
  </si>
  <si>
    <t>1418</t>
  </si>
  <si>
    <t>GATORADE COOLBLU * X6 PET 500</t>
  </si>
  <si>
    <t>1422</t>
  </si>
  <si>
    <t>GATORADE UVA * X6 PET 500</t>
  </si>
  <si>
    <t>1659</t>
  </si>
  <si>
    <t>H2OH CITRUS  X8 PET2250</t>
  </si>
  <si>
    <t>1808</t>
  </si>
  <si>
    <t>FRAPERA ANDES REFERENTE</t>
  </si>
  <si>
    <t>2152</t>
  </si>
  <si>
    <t>BOT 1/2 ECO 20</t>
  </si>
  <si>
    <t>2153</t>
  </si>
  <si>
    <t>Q ECO X 20</t>
  </si>
  <si>
    <t>QUILMES - 4X6 LAT 473</t>
  </si>
  <si>
    <t>2428</t>
  </si>
  <si>
    <t>ECO ANDES AGUAC/G * X6 PET1500#</t>
  </si>
  <si>
    <t>2439</t>
  </si>
  <si>
    <t>ECO ANDES AGUAS/G * X6 PET1500#</t>
  </si>
  <si>
    <t>2704</t>
  </si>
  <si>
    <t>BOT 2/3 AMBAR12</t>
  </si>
  <si>
    <t>2705</t>
  </si>
  <si>
    <t>BOTSA 975VX12</t>
  </si>
  <si>
    <t>2706</t>
  </si>
  <si>
    <t>Q  SA 985VX01QS</t>
  </si>
  <si>
    <t>2730</t>
  </si>
  <si>
    <t>Q PLAS 1/3</t>
  </si>
  <si>
    <t>2731</t>
  </si>
  <si>
    <t>Q CERVEZAS 1/1</t>
  </si>
  <si>
    <t>2732</t>
  </si>
  <si>
    <t>Q 2/3 12</t>
  </si>
  <si>
    <t>2739</t>
  </si>
  <si>
    <t>PALETA QUILMES RETORNABLE</t>
  </si>
  <si>
    <t>2754</t>
  </si>
  <si>
    <t>ENV BARR 20L</t>
  </si>
  <si>
    <t>2755</t>
  </si>
  <si>
    <t>ENV BARR 50L VACIO</t>
  </si>
  <si>
    <t>2756</t>
  </si>
  <si>
    <t>ENV BARR 30L VACIO</t>
  </si>
  <si>
    <t>2761</t>
  </si>
  <si>
    <t>PALETA ARLOG</t>
  </si>
  <si>
    <t>2773</t>
  </si>
  <si>
    <t>ENV TUBO 10KG</t>
  </si>
  <si>
    <t>2776</t>
  </si>
  <si>
    <t>BOT 1/1 ARACELI 1000CC X12</t>
  </si>
  <si>
    <t>2777</t>
  </si>
  <si>
    <t>PALETA CHEP - PERIMETRAL</t>
  </si>
  <si>
    <t>2787</t>
  </si>
  <si>
    <t>HELADERA PATAGONIA SLIM B/C</t>
  </si>
  <si>
    <t>2788</t>
  </si>
  <si>
    <t>HELADERA PATAGONIA SLIM USADA B/C</t>
  </si>
  <si>
    <t>2797</t>
  </si>
  <si>
    <t>CARAMAÑOLA GATORADE</t>
  </si>
  <si>
    <t>3125</t>
  </si>
  <si>
    <t>MESA ECO DE LOS ANDES</t>
  </si>
  <si>
    <t>3126</t>
  </si>
  <si>
    <t>SILLA  AGUA MINERAL ECO</t>
  </si>
  <si>
    <t>3177</t>
  </si>
  <si>
    <t>SOMBRILLA ECO DE LOS ANDES</t>
  </si>
  <si>
    <t>3181</t>
  </si>
  <si>
    <t>HELADERA ECO VERTICAL GRANDE</t>
  </si>
  <si>
    <t>3249</t>
  </si>
  <si>
    <t>MESA QUILMES 1 MT</t>
  </si>
  <si>
    <t>3295</t>
  </si>
  <si>
    <t>HELADERA QUILM VT GDE PUERTA S/DECORAR</t>
  </si>
  <si>
    <t>3298</t>
  </si>
  <si>
    <t>CARTEL DE NEON QUILMES</t>
  </si>
  <si>
    <t>3474</t>
  </si>
  <si>
    <t>HELADERA QUILMES DOBLE PUERTA</t>
  </si>
  <si>
    <t>3531</t>
  </si>
  <si>
    <t>MESA QUILMES MAXIKIOSCO</t>
  </si>
  <si>
    <t>3541</t>
  </si>
  <si>
    <t>FREEZER QUILMES USADO</t>
  </si>
  <si>
    <t>3544</t>
  </si>
  <si>
    <t>SILLA QUILMES USADA</t>
  </si>
  <si>
    <t>3545</t>
  </si>
  <si>
    <t>MESA USADA QUILMES</t>
  </si>
  <si>
    <t>3550</t>
  </si>
  <si>
    <t>SILLA ECO USADA</t>
  </si>
  <si>
    <t>3552</t>
  </si>
  <si>
    <t>SOMBRILLA ECO USADA</t>
  </si>
  <si>
    <t>3559</t>
  </si>
  <si>
    <t>SILLA IGUANA USADA</t>
  </si>
  <si>
    <t>3560</t>
  </si>
  <si>
    <t>MESA IGUANA USADA</t>
  </si>
  <si>
    <t>3562</t>
  </si>
  <si>
    <t>HEL QUILM VT GDE PUERTA S/DECORAR USADA</t>
  </si>
  <si>
    <t>3563</t>
  </si>
  <si>
    <t>HELADERA ECO VERT MEDIANA USADA</t>
  </si>
  <si>
    <t>3587</t>
  </si>
  <si>
    <t>HELADERA QUILMES VERT MEDIANA USADA</t>
  </si>
  <si>
    <t>3597</t>
  </si>
  <si>
    <t>HELADERA QUILMES DOBLE PUERTA USADA</t>
  </si>
  <si>
    <t>3627</t>
  </si>
  <si>
    <t>SILLA BRAHMA REGULAR</t>
  </si>
  <si>
    <t>3629</t>
  </si>
  <si>
    <t>SOMBRILLA BRAHMA REGULAR</t>
  </si>
  <si>
    <t>3691</t>
  </si>
  <si>
    <t>SILLA QUILMES TOP</t>
  </si>
  <si>
    <t>3695</t>
  </si>
  <si>
    <t>SOMBRILLA QUILMES TOP</t>
  </si>
  <si>
    <t>3772</t>
  </si>
  <si>
    <t>HELADERA 7UP DOBLE PUERTA USADA</t>
  </si>
  <si>
    <t>3784</t>
  </si>
  <si>
    <t>SILLA BRAHMA USADA</t>
  </si>
  <si>
    <t>3794</t>
  </si>
  <si>
    <t>SILLA PEPSI REGULAR</t>
  </si>
  <si>
    <t>3796</t>
  </si>
  <si>
    <t>SOMBRILLA PEPSI REGULAR</t>
  </si>
  <si>
    <t>3801</t>
  </si>
  <si>
    <t>SILLA 7UP REGULAR</t>
  </si>
  <si>
    <t>3802</t>
  </si>
  <si>
    <t>MESA 7UP REGULAR</t>
  </si>
  <si>
    <t>3805</t>
  </si>
  <si>
    <t>MESA BRAHMA TOP</t>
  </si>
  <si>
    <t>3806</t>
  </si>
  <si>
    <t>SOMBRILLA BRAHMA TOP</t>
  </si>
  <si>
    <t>3814</t>
  </si>
  <si>
    <t>MESA PEPSI REGULAR</t>
  </si>
  <si>
    <t>3859</t>
  </si>
  <si>
    <t>SOMBRILLA 7UP REGULAR</t>
  </si>
  <si>
    <t>3872</t>
  </si>
  <si>
    <t>HELADERA PEPSI DOBLE PUERTA</t>
  </si>
  <si>
    <t>3875</t>
  </si>
  <si>
    <t>MESA PEPSI TOP</t>
  </si>
  <si>
    <t>3877</t>
  </si>
  <si>
    <t>SOMBRILLA PEPSI TOP</t>
  </si>
  <si>
    <t>3949</t>
  </si>
  <si>
    <t>SILLA ANDES  TOP</t>
  </si>
  <si>
    <t>3955</t>
  </si>
  <si>
    <t>SOMBRILLA IGUANA 1.80 MTS</t>
  </si>
  <si>
    <t>3961</t>
  </si>
  <si>
    <t>MESA QUILMES TOP</t>
  </si>
  <si>
    <t>3968</t>
  </si>
  <si>
    <t>MESA QUILMES AZUL METALIZADA TOP USADA</t>
  </si>
  <si>
    <t>3972</t>
  </si>
  <si>
    <t>MESA MADERA STELLA ARTOIS USADA</t>
  </si>
  <si>
    <t>3974</t>
  </si>
  <si>
    <t>SILLA STELLA ARTOIS TOP</t>
  </si>
  <si>
    <t>3975</t>
  </si>
  <si>
    <t>MESA STELLA ARTOIS TOP</t>
  </si>
  <si>
    <t>3976</t>
  </si>
  <si>
    <t>SOMBRILLON STELLA ARTOIS 2M+BASE</t>
  </si>
  <si>
    <t>3992</t>
  </si>
  <si>
    <t>COPA STELLA ARTOIS 250 CM3</t>
  </si>
  <si>
    <t>4056</t>
  </si>
  <si>
    <t>HELADERA GATORADE VERT MEDIANA</t>
  </si>
  <si>
    <t>4061</t>
  </si>
  <si>
    <t>HELADERA PEPSI VERT MEDIANA USADA</t>
  </si>
  <si>
    <t>4062</t>
  </si>
  <si>
    <t>HELADERA PEPSI VERT GRANDE USADA</t>
  </si>
  <si>
    <t>4064</t>
  </si>
  <si>
    <t>HELADERA 7UP VERT MEDIANA USADA</t>
  </si>
  <si>
    <t>4065</t>
  </si>
  <si>
    <t>HELADERA 7UP VERT GRANDE USADA</t>
  </si>
  <si>
    <t>4068</t>
  </si>
  <si>
    <t>HELADERA PEPSI VERT GRANDE</t>
  </si>
  <si>
    <t>4071</t>
  </si>
  <si>
    <t>HELADERA 7UP VERT GRANDE</t>
  </si>
  <si>
    <t>4072</t>
  </si>
  <si>
    <t>HELADERA 7UP HORIZONTAL</t>
  </si>
  <si>
    <t>4074</t>
  </si>
  <si>
    <t>HELADERA BRAHMA VERT GRANDE</t>
  </si>
  <si>
    <t>4089</t>
  </si>
  <si>
    <t>HELADERA PEPSI DOBLE PUERTA USADA</t>
  </si>
  <si>
    <t>4091</t>
  </si>
  <si>
    <t>HELADERA QUILMES SAHARA USADA</t>
  </si>
  <si>
    <t>4093</t>
  </si>
  <si>
    <t>HELADERA BRAHMA SAHARA USADA</t>
  </si>
  <si>
    <t>4095</t>
  </si>
  <si>
    <t>HELADERA BRAHMA VERT GRANDE USADA</t>
  </si>
  <si>
    <t>4098</t>
  </si>
  <si>
    <t>HELADERA BRAHMA VERT MEDIANA USADA</t>
  </si>
  <si>
    <t>4106</t>
  </si>
  <si>
    <t>HELADERA GATORADE VERT MEDIANA USADA</t>
  </si>
  <si>
    <t>4125</t>
  </si>
  <si>
    <t>HELADERA QUILMES HORIZ USADA</t>
  </si>
  <si>
    <t>4142</t>
  </si>
  <si>
    <t>SILLA DIRECTOR GATORADE</t>
  </si>
  <si>
    <t>4605</t>
  </si>
  <si>
    <t>HELADERA QUILMES HOR. B / BARRA USADA</t>
  </si>
  <si>
    <t>4651</t>
  </si>
  <si>
    <t>HELADERA VERTICAL GRANDE H2OH!</t>
  </si>
  <si>
    <t>4652</t>
  </si>
  <si>
    <t>HELADERA VERTICAL GRANDE H2OH! USADA</t>
  </si>
  <si>
    <t>4749</t>
  </si>
  <si>
    <t>HELADERA GLACIAR VERTICAL GRANDE</t>
  </si>
  <si>
    <t>4750</t>
  </si>
  <si>
    <t>HELADERA NESTLE VERTICAL GRANDE</t>
  </si>
  <si>
    <t>4805</t>
  </si>
  <si>
    <t>MESA REDONDA GATORADE</t>
  </si>
  <si>
    <t>4821</t>
  </si>
  <si>
    <t>HELADERA GATORADE VERTICAL GRANDE</t>
  </si>
  <si>
    <t>4822</t>
  </si>
  <si>
    <t>HELADERA GATORADE VERTICAL GRANDE USADA</t>
  </si>
  <si>
    <t>4831</t>
  </si>
  <si>
    <t>MESA MADERA ECO</t>
  </si>
  <si>
    <t>5036</t>
  </si>
  <si>
    <t>ENV TUBO CO2 9 KG</t>
  </si>
  <si>
    <t>5045</t>
  </si>
  <si>
    <t>BOT 1.25VD7UP 8</t>
  </si>
  <si>
    <t>5046</t>
  </si>
  <si>
    <t>Q 1.25 X 8 VIDRIO</t>
  </si>
  <si>
    <t>5098</t>
  </si>
  <si>
    <t>BOT MED 350X24</t>
  </si>
  <si>
    <t>5099</t>
  </si>
  <si>
    <t>Q MED 350X24 VD</t>
  </si>
  <si>
    <t>5192</t>
  </si>
  <si>
    <t>BOT 2L RECO X8</t>
  </si>
  <si>
    <t>5193</t>
  </si>
  <si>
    <t>PLACA PICO BOT RECO</t>
  </si>
  <si>
    <t>5538</t>
  </si>
  <si>
    <t>SOMBRILLA ECO TOP</t>
  </si>
  <si>
    <t>5540</t>
  </si>
  <si>
    <t>HELADERA PATAGONIA LCD B/C</t>
  </si>
  <si>
    <t>5755</t>
  </si>
  <si>
    <t>HELADERA CORONA SLIM SUB CERO</t>
  </si>
  <si>
    <t>5756</t>
  </si>
  <si>
    <t>HELADERA CORONA SLIM SUB CERO USADA</t>
  </si>
  <si>
    <t>5773</t>
  </si>
  <si>
    <t>SILLA CORONA</t>
  </si>
  <si>
    <t>5806</t>
  </si>
  <si>
    <t>EQUIPO ELEC. V-100 UBC GROUP NUEVO</t>
  </si>
  <si>
    <t>5807</t>
  </si>
  <si>
    <t>EQUIPO ELEC. V-100 UBC GROUP USADO</t>
  </si>
  <si>
    <t>5848</t>
  </si>
  <si>
    <t>HELADERA BRAHMA CASSETE USADA</t>
  </si>
  <si>
    <t>5851</t>
  </si>
  <si>
    <t>HELADERA BRAHMA CASSETE</t>
  </si>
  <si>
    <t>7026</t>
  </si>
  <si>
    <t>QUILMES - X12 1000RET</t>
  </si>
  <si>
    <t>7030</t>
  </si>
  <si>
    <t>QUILMES STOUT NEGRA X12 1000RET</t>
  </si>
  <si>
    <t>7038</t>
  </si>
  <si>
    <t>BRAHMA - X12 1000RET#</t>
  </si>
  <si>
    <t>7307</t>
  </si>
  <si>
    <t>HELADERA CORONA CASSETE USADA</t>
  </si>
  <si>
    <t>7463</t>
  </si>
  <si>
    <t>H2OH LIMONETO  X6 PET1500#</t>
  </si>
  <si>
    <t>7465</t>
  </si>
  <si>
    <t>H2OH CITRUS  X6 PET1500#</t>
  </si>
  <si>
    <t>7475</t>
  </si>
  <si>
    <t>PASO DLT POMELO * X6 PET1500#</t>
  </si>
  <si>
    <t>7476</t>
  </si>
  <si>
    <t>PASO DLT TONICA * X6 PET1500#</t>
  </si>
  <si>
    <t>7478</t>
  </si>
  <si>
    <t>MIRINDA NARANJA * X6 PET1500#</t>
  </si>
  <si>
    <t>7634</t>
  </si>
  <si>
    <t>BRAHMA - 4X6 LAT 473</t>
  </si>
  <si>
    <t>7896</t>
  </si>
  <si>
    <t>HELADERA MIXXTAIL SLIM</t>
  </si>
  <si>
    <t>7982</t>
  </si>
  <si>
    <t>BOT PATAGONIA RET X06 0,710L</t>
  </si>
  <si>
    <t>8064</t>
  </si>
  <si>
    <t>GLACIAR AGUAS/G * X6 PET1500#</t>
  </si>
  <si>
    <t>8067</t>
  </si>
  <si>
    <t>H2OH LIMONETO  X8 PET2250</t>
  </si>
  <si>
    <t>8101</t>
  </si>
  <si>
    <t>MIRINDA NARANJA * X6 PET3000#</t>
  </si>
  <si>
    <t>8126</t>
  </si>
  <si>
    <t>NESTLE PV AGUA ME * X12 PET 500</t>
  </si>
  <si>
    <t>8233</t>
  </si>
  <si>
    <t>HELADERA CORONA VG</t>
  </si>
  <si>
    <t>8234</t>
  </si>
  <si>
    <t>HELADERA CORONA VG USADA</t>
  </si>
  <si>
    <t>8272</t>
  </si>
  <si>
    <t>VASO VIDRIO GUARANA</t>
  </si>
  <si>
    <t>10498</t>
  </si>
  <si>
    <t>HELADERA GUARANA VG USADA</t>
  </si>
  <si>
    <t>10504</t>
  </si>
  <si>
    <t>HELADERA GONDOLA SUBCONTRATACION</t>
  </si>
  <si>
    <t>10673</t>
  </si>
  <si>
    <t>PIZARRA RITUAL CORONA</t>
  </si>
  <si>
    <t>10748</t>
  </si>
  <si>
    <t>COOLER GENERICO</t>
  </si>
  <si>
    <t>10810</t>
  </si>
  <si>
    <t>MIRINDA MANZANA * X6 PET3000</t>
  </si>
  <si>
    <t>10816</t>
  </si>
  <si>
    <t>HELADERA PEPSI TRIPLE PUERTA</t>
  </si>
  <si>
    <t>10822</t>
  </si>
  <si>
    <t>"BARRIL CHOPP;10L;;"</t>
  </si>
  <si>
    <t>10914</t>
  </si>
  <si>
    <t>ENVASE RET BARRIL 20L RSR</t>
  </si>
  <si>
    <t>10918</t>
  </si>
  <si>
    <t>HELADERA STELLA ARTOIS CASSETTE</t>
  </si>
  <si>
    <t>10945</t>
  </si>
  <si>
    <t>GÓNDOLA PAÑO NATURAL</t>
  </si>
  <si>
    <t>10969</t>
  </si>
  <si>
    <t>PATAGO AMBER - X1 BAR 20L</t>
  </si>
  <si>
    <t>10996</t>
  </si>
  <si>
    <t>PILON BRAUHAUS T COBRE 4 VIAS PATAGONIA</t>
  </si>
  <si>
    <t>10999</t>
  </si>
  <si>
    <t>PILON HAVANA 4 VIAS CON LUZ</t>
  </si>
  <si>
    <t>11001</t>
  </si>
  <si>
    <t>PILON AZUR BADERA DERECHA 4VIAS CON LUZ</t>
  </si>
  <si>
    <t>11002</t>
  </si>
  <si>
    <t>PILON EOS T CROMADA 3 SALID.73269 CELLI</t>
  </si>
  <si>
    <t>11003</t>
  </si>
  <si>
    <t>PILON CISNE STELLA ARTOIS CON CANILLA</t>
  </si>
  <si>
    <t>11004</t>
  </si>
  <si>
    <t>PILON BRAUHAUS A PUENTE 4 VIAS CON LED</t>
  </si>
  <si>
    <t>11437</t>
  </si>
  <si>
    <t>EQUIPO ELECT V-200 UBC GROUP US</t>
  </si>
  <si>
    <t>11522</t>
  </si>
  <si>
    <t>GATORADE FRU TRO * X6 PET 500#</t>
  </si>
  <si>
    <t>11534</t>
  </si>
  <si>
    <t>SILLA GATORADE TOP</t>
  </si>
  <si>
    <t>11535</t>
  </si>
  <si>
    <t>MESA GATORADE TOP</t>
  </si>
  <si>
    <t>11540</t>
  </si>
  <si>
    <t>SOMBRILLA GATORADE TOP</t>
  </si>
  <si>
    <t>11799</t>
  </si>
  <si>
    <t>FRAPERA BRAHMA 2016</t>
  </si>
  <si>
    <t>12197</t>
  </si>
  <si>
    <t>HELADERA VG COMPARTIDA USADA</t>
  </si>
  <si>
    <t>12466</t>
  </si>
  <si>
    <t>PILON BRAUHAUS T COBRE 3V D90 86093</t>
  </si>
  <si>
    <t>12723</t>
  </si>
  <si>
    <t>PATAGONIA SLIMKEG 0 20 L IPA CON SAUCO</t>
  </si>
  <si>
    <t>12806</t>
  </si>
  <si>
    <t>HELADERA QUILMES MOSTRADOR V2</t>
  </si>
  <si>
    <t>13028</t>
  </si>
  <si>
    <t>FRAPERA CORONA DISTRIS 2017</t>
  </si>
  <si>
    <t>13071</t>
  </si>
  <si>
    <t>HELADERA 7UP VERT GDE CASSETTE</t>
  </si>
  <si>
    <t>13073</t>
  </si>
  <si>
    <t>HELADERA 7UP SLIM</t>
  </si>
  <si>
    <t>13167</t>
  </si>
  <si>
    <t>GDC 2017 AS CENTRAL PAÑO CALIENTE</t>
  </si>
  <si>
    <t>13169</t>
  </si>
  <si>
    <t>GDC 2017 AS CENTRAL PAÑO FRIO</t>
  </si>
  <si>
    <t>13198</t>
  </si>
  <si>
    <t>HELADERA QUILMES SLIM CASSETTE</t>
  </si>
  <si>
    <t>13200</t>
  </si>
  <si>
    <t>HELADERA QUILMES SLIM CASSETTE USADA</t>
  </si>
  <si>
    <t>13201</t>
  </si>
  <si>
    <t>HELADERA BRAHMA SLIM CASSETTE</t>
  </si>
  <si>
    <t>13204</t>
  </si>
  <si>
    <t>HELADERA STELLA ARTOIS SLIM CASSETTE</t>
  </si>
  <si>
    <t>13503</t>
  </si>
  <si>
    <t>QUILMES STOUT CAN 4X6 473</t>
  </si>
  <si>
    <t>13508</t>
  </si>
  <si>
    <t>SILLA BRAHMA TOP 2017</t>
  </si>
  <si>
    <t>13513</t>
  </si>
  <si>
    <t>SOMBRILLA QUILMES TOP 2017</t>
  </si>
  <si>
    <t>13517</t>
  </si>
  <si>
    <t>SILLA QUILMES TOP 2017</t>
  </si>
  <si>
    <t>13521</t>
  </si>
  <si>
    <t>BASE SOMBRILLA TOP 2017</t>
  </si>
  <si>
    <t>13950</t>
  </si>
  <si>
    <t>PEPSI PET X8 2250 BLACK</t>
  </si>
  <si>
    <t>14025</t>
  </si>
  <si>
    <t>SOMBRILLA CORONA 2017</t>
  </si>
  <si>
    <t>14247</t>
  </si>
  <si>
    <t>HELADERA PEPSI BLACK VERT GRANDE USADA</t>
  </si>
  <si>
    <t>14248</t>
  </si>
  <si>
    <t>HELADERA PEPSI BLACK SLIM USADA</t>
  </si>
  <si>
    <t>14254</t>
  </si>
  <si>
    <t>HELADERA PEPSI BLACK SLIM</t>
  </si>
  <si>
    <t>14255</t>
  </si>
  <si>
    <t>HELADERA PEPSI BLACK VERTICAL GRANDE</t>
  </si>
  <si>
    <t>14256</t>
  </si>
  <si>
    <t>HELADERA PEPSI BLACK DOBLE PUERTA</t>
  </si>
  <si>
    <t>14300</t>
  </si>
  <si>
    <t>BOLSAS BOCA DISTRIBUIDORES X 1</t>
  </si>
  <si>
    <t>14624</t>
  </si>
  <si>
    <t>GATORADE COOL BLUE PET X6 750 204</t>
  </si>
  <si>
    <t>14625</t>
  </si>
  <si>
    <t>GATORADE MANZANA PET X6 750 204</t>
  </si>
  <si>
    <t>14638</t>
  </si>
  <si>
    <t>GATORADE FRUTAS TROP PET X6 750 204</t>
  </si>
  <si>
    <t>14643</t>
  </si>
  <si>
    <t>MESA CORONA TOP</t>
  </si>
  <si>
    <t>14644</t>
  </si>
  <si>
    <t>SILLA CORONA TOP</t>
  </si>
  <si>
    <t>14929</t>
  </si>
  <si>
    <t>GDC PEPSI BLACK 2017 AS PAÑO CALIENTE</t>
  </si>
  <si>
    <t>14933</t>
  </si>
  <si>
    <t>ECO DE LOS ANDES SG PET X12 500 MIX 203</t>
  </si>
  <si>
    <t>14934</t>
  </si>
  <si>
    <t>ECO DE LOS ANDES CG PET X12 500 MIX 203</t>
  </si>
  <si>
    <t>15609</t>
  </si>
  <si>
    <t>HELADERA H2OH VG CASSETTE USADA</t>
  </si>
  <si>
    <t>15621</t>
  </si>
  <si>
    <t>PATAGONIA IPA CAN 4X6 473 CART</t>
  </si>
  <si>
    <t>15624</t>
  </si>
  <si>
    <t>BRAHMA CAN 4X6 269</t>
  </si>
  <si>
    <t>16144</t>
  </si>
  <si>
    <t>BOLSA DISTRIS NUEVA QUILMES X1 2017</t>
  </si>
  <si>
    <t>16225</t>
  </si>
  <si>
    <t>PATAGONIA AMBER CAN 4X6 473 CART</t>
  </si>
  <si>
    <t>RED BULL CAN 6X4 250</t>
  </si>
  <si>
    <t>16372</t>
  </si>
  <si>
    <t>RED BULL SUGAR FREE CAN 6X4 250</t>
  </si>
  <si>
    <t>16384</t>
  </si>
  <si>
    <t>HELADERA ANDES ORIGEN SLIM</t>
  </si>
  <si>
    <t>16385</t>
  </si>
  <si>
    <t>HELADERA ANDES ORIGEN SLIM USADA</t>
  </si>
  <si>
    <t>16432</t>
  </si>
  <si>
    <t>MESA BRAHMA</t>
  </si>
  <si>
    <t>16608</t>
  </si>
  <si>
    <t>PIZARRAS QUILMES CLASICA</t>
  </si>
  <si>
    <t>16667</t>
  </si>
  <si>
    <t>ANDES ORIGEN ROJA RET X12 1000</t>
  </si>
  <si>
    <t>16716</t>
  </si>
  <si>
    <t>BOLSO CORONA 12PACK</t>
  </si>
  <si>
    <t>16734</t>
  </si>
  <si>
    <t>HELADERA PEPSI BLACK VG CASSETTE USADA</t>
  </si>
  <si>
    <t>16735</t>
  </si>
  <si>
    <t>HELADERA BRAHMA CHECK OUT</t>
  </si>
  <si>
    <t>16746</t>
  </si>
  <si>
    <t>HELADERA BRAHMA SLIM LITRO</t>
  </si>
  <si>
    <t>16748</t>
  </si>
  <si>
    <t>HELADERA ANDES SLIM LITRO</t>
  </si>
  <si>
    <t>17071</t>
  </si>
  <si>
    <t>KEG VACIO BUDWEISER BARRIL 50L</t>
  </si>
  <si>
    <t>17072</t>
  </si>
  <si>
    <t>KEG VACIO WAG BARRIL 30L</t>
  </si>
  <si>
    <t>17073</t>
  </si>
  <si>
    <t>KEG VACIO BUDWEISER BARRIL 30L</t>
  </si>
  <si>
    <t>17074</t>
  </si>
  <si>
    <t>KEG VACIO WAG BARRIL 50L</t>
  </si>
  <si>
    <t>17100</t>
  </si>
  <si>
    <t>BOT RET AMBAR 1L ISK</t>
  </si>
  <si>
    <t>17101</t>
  </si>
  <si>
    <t>BOT RET VERDE GROLSCH 1L</t>
  </si>
  <si>
    <t>17102</t>
  </si>
  <si>
    <t>ESQUELETO MARRON CASAI</t>
  </si>
  <si>
    <t>17272</t>
  </si>
  <si>
    <t>HELADERA BUDWEISER SLIM</t>
  </si>
  <si>
    <t>17273</t>
  </si>
  <si>
    <t>HELADERA BUDWEISER SLIM USADA</t>
  </si>
  <si>
    <t>17303</t>
  </si>
  <si>
    <t>GDC 2018 AS PAÑO CALIENTE</t>
  </si>
  <si>
    <t>17324</t>
  </si>
  <si>
    <t>GDC 2018 AS PAÑO FRIO</t>
  </si>
  <si>
    <t>17844</t>
  </si>
  <si>
    <t>FRAPERA ANDES ORIGEN</t>
  </si>
  <si>
    <t>17932</t>
  </si>
  <si>
    <t>ANDES ORIGEN ROJA CAN 4X6 473</t>
  </si>
  <si>
    <t>17933</t>
  </si>
  <si>
    <t>ANDES ORIGEN NEGRA CAN 4X6 473</t>
  </si>
  <si>
    <t>18166</t>
  </si>
  <si>
    <t>HELADERA RED BULL BABY COOLER 2020 USADA</t>
  </si>
  <si>
    <t>18354</t>
  </si>
  <si>
    <t>PATAGONIA IPA OW X6 730</t>
  </si>
  <si>
    <t>18355</t>
  </si>
  <si>
    <t>PATAGONIA AMBER OW X6 730</t>
  </si>
  <si>
    <t>18687</t>
  </si>
  <si>
    <t>HELADERA QUILMES VG R290</t>
  </si>
  <si>
    <t>18690</t>
  </si>
  <si>
    <t>HELADERA QUILMES SLIM R290</t>
  </si>
  <si>
    <t>18694</t>
  </si>
  <si>
    <t>NPV SG PET X12 500 PR 0.5L S/G</t>
  </si>
  <si>
    <t>18740</t>
  </si>
  <si>
    <t>ENVASE BOT 1,25 RECO X 8</t>
  </si>
  <si>
    <t>18743</t>
  </si>
  <si>
    <t>NPV SG PET X6 1500 PR 1.5L S/G</t>
  </si>
  <si>
    <t>18744</t>
  </si>
  <si>
    <t>NPV SG PET X6 2250 PR 2.25L S/G</t>
  </si>
  <si>
    <t>19019</t>
  </si>
  <si>
    <t>BUD RET X12 1000 CMQ</t>
  </si>
  <si>
    <t>19026</t>
  </si>
  <si>
    <t>BUD CAN 4X6 473 CMQ</t>
  </si>
  <si>
    <t>19208</t>
  </si>
  <si>
    <t>HELADERA BUDWEISER VG CASSETTE</t>
  </si>
  <si>
    <t>19213</t>
  </si>
  <si>
    <t>HELADERA BUDWEISER SLIM CASSETTE</t>
  </si>
  <si>
    <t>19217</t>
  </si>
  <si>
    <t>GDC 2019 AS PAÑO FRIO</t>
  </si>
  <si>
    <t>19219</t>
  </si>
  <si>
    <t>GDC 2019 AS PAÑO CALIENTE</t>
  </si>
  <si>
    <t>19233</t>
  </si>
  <si>
    <t>GDC PEPSI BLACK 2019 AS PAÑO FRIO</t>
  </si>
  <si>
    <t>19234</t>
  </si>
  <si>
    <t>GDC PEPSI BLACK 2019 AS PAÑO CALIENTE</t>
  </si>
  <si>
    <t>ANDES ORIGEN IPA RET X12 1000</t>
  </si>
  <si>
    <t>19254</t>
  </si>
  <si>
    <t>ANDES ORIGEN IPA CAN 4X6 473</t>
  </si>
  <si>
    <t>19447</t>
  </si>
  <si>
    <t>CAJA 6 COPAS STELLA ARTOIS 330 CM3 - VEN</t>
  </si>
  <si>
    <t>19716</t>
  </si>
  <si>
    <t>HELADERA BRAHMA SLIM R290</t>
  </si>
  <si>
    <t>19753</t>
  </si>
  <si>
    <t>SOMBRILLON BUDWEISER</t>
  </si>
  <si>
    <t>19763</t>
  </si>
  <si>
    <t>GDC PEPSI BLACK 2019 AS PAÑO FRIO GA</t>
  </si>
  <si>
    <t>20378</t>
  </si>
  <si>
    <t>HELADERA BRAHMA DOBLE PUERTA PUNTERA</t>
  </si>
  <si>
    <t>20433</t>
  </si>
  <si>
    <t>CORONA OW X12 710</t>
  </si>
  <si>
    <t>20808</t>
  </si>
  <si>
    <t>PATAGONIA VERA IPA CAN 4X6 CART</t>
  </si>
  <si>
    <t>20987</t>
  </si>
  <si>
    <t>PATAGONIA VERA IPA EURO KEG 20L</t>
  </si>
  <si>
    <t>21014</t>
  </si>
  <si>
    <t>ECO DE LOS ANDES SG PET X6 2000 PR 115 P</t>
  </si>
  <si>
    <t>21062</t>
  </si>
  <si>
    <t>HELADERA STELLA ARTOIS SLIM</t>
  </si>
  <si>
    <t>21276</t>
  </si>
  <si>
    <t>HELADERA SLIM 3 BAND MET QUILMES</t>
  </si>
  <si>
    <t>21283</t>
  </si>
  <si>
    <t>HELADERA SLIM 3 BAND MET PEPSI BLACK</t>
  </si>
  <si>
    <t>21287</t>
  </si>
  <si>
    <t>HELADERA SLIM 3 BAND MET BRAHMA</t>
  </si>
  <si>
    <t>21747</t>
  </si>
  <si>
    <t>HELADERA BABY VISU GLACIAR PLUS 2019</t>
  </si>
  <si>
    <t>22051</t>
  </si>
  <si>
    <t>PIZARRA STELLA</t>
  </si>
  <si>
    <t>22086</t>
  </si>
  <si>
    <t>VASO PATAGONIA RIESGEE 0.3 L HE 2020</t>
  </si>
  <si>
    <t>22089</t>
  </si>
  <si>
    <t>VASO PATAGONIA RIESGEE 0.5 L HE 2020</t>
  </si>
  <si>
    <t>GLACIAR SG PET X6 750 222 PC</t>
  </si>
  <si>
    <t>22201</t>
  </si>
  <si>
    <t>VG CASSETTE COMPARTIDA</t>
  </si>
  <si>
    <t>22242</t>
  </si>
  <si>
    <t>HELADERA VG CASSETTE BLANCA USADA</t>
  </si>
  <si>
    <t>22256</t>
  </si>
  <si>
    <t>RED BULL REGULAR CAN 6X4 355CC</t>
  </si>
  <si>
    <t>22318</t>
  </si>
  <si>
    <t>ECO DE LOS ANDES SG PET X6 1000 - 192 PC</t>
  </si>
  <si>
    <t>22320</t>
  </si>
  <si>
    <t>NOVECENTO EXTRA DULCE OW X6 750CC</t>
  </si>
  <si>
    <t>22329</t>
  </si>
  <si>
    <t>NOVECENTO MALBEC OW X6 750CC</t>
  </si>
  <si>
    <t>22460</t>
  </si>
  <si>
    <t>GRAN DANTE BONARDA OW X6 750CC</t>
  </si>
  <si>
    <t>22461</t>
  </si>
  <si>
    <t>GRAN DANTE MALBEC OW X6 750CC</t>
  </si>
  <si>
    <t>22601</t>
  </si>
  <si>
    <t>GROWLER 2020 HE</t>
  </si>
  <si>
    <t>22619</t>
  </si>
  <si>
    <t>MIRINDA POMELO PET X8 2250CC</t>
  </si>
  <si>
    <t>22962</t>
  </si>
  <si>
    <t>JENGA BRAHMA ROJO</t>
  </si>
  <si>
    <t>23866</t>
  </si>
  <si>
    <t>DELANTAL STELLA ARTOIS</t>
  </si>
  <si>
    <t>23878</t>
  </si>
  <si>
    <t>BOLSO BUDWEISER</t>
  </si>
  <si>
    <t>23919</t>
  </si>
  <si>
    <t>SOMBRILLA CORONA DISTRI</t>
  </si>
  <si>
    <t>23920</t>
  </si>
  <si>
    <t>SOMBRILLA ANDES ORIGEN DISTRI</t>
  </si>
  <si>
    <t>24116</t>
  </si>
  <si>
    <t>PDTOROS PET POM SIN AZUCARES X6 1500CC</t>
  </si>
  <si>
    <t>24118</t>
  </si>
  <si>
    <t>ROCKSTAR OW BOT X6 500CC</t>
  </si>
  <si>
    <t>24167</t>
  </si>
  <si>
    <t>PDTOROS POM SA RET BOT PET X8 2000CC</t>
  </si>
  <si>
    <t>24248</t>
  </si>
  <si>
    <t>STELLA ARTOIS OW X6 710CC</t>
  </si>
  <si>
    <t>24584</t>
  </si>
  <si>
    <t>HELADERA MEDIUM SLIM RED BULL</t>
  </si>
  <si>
    <t>24598</t>
  </si>
  <si>
    <t>CORONA 4X6 OW 330CC PROMO</t>
  </si>
  <si>
    <t>24709</t>
  </si>
  <si>
    <t>BUCKET CORONA 2.0</t>
  </si>
  <si>
    <t>24805</t>
  </si>
  <si>
    <t>SILLA PATAGONIA 2021</t>
  </si>
  <si>
    <t>24806</t>
  </si>
  <si>
    <t>SOMBRILLA PATAGONIA 2021</t>
  </si>
  <si>
    <t>24828</t>
  </si>
  <si>
    <t>MESA PATAGONIA 2021</t>
  </si>
  <si>
    <t>24835</t>
  </si>
  <si>
    <t>TRAVEL ORGANIZER CORONA</t>
  </si>
  <si>
    <t>24857</t>
  </si>
  <si>
    <t>VASOS QUILMES COPA AMERICA</t>
  </si>
  <si>
    <t>24859</t>
  </si>
  <si>
    <t>MARCADORES ESPECIEROS STELLA</t>
  </si>
  <si>
    <t>24878</t>
  </si>
  <si>
    <t>STELLA ARTOIS PM CAN 4X6 473CC CART</t>
  </si>
  <si>
    <t>24880</t>
  </si>
  <si>
    <t>STELLA ARTOIS PM RET X12 975CC</t>
  </si>
  <si>
    <t>24882</t>
  </si>
  <si>
    <t>STELLA ARTOIS OW PM X6 710CC</t>
  </si>
  <si>
    <t>24915</t>
  </si>
  <si>
    <t>HELADERA FULL GLASS VG QUILMES</t>
  </si>
  <si>
    <t>24925</t>
  </si>
  <si>
    <t>STELLA ARTOIS KEG RET 20L</t>
  </si>
  <si>
    <t>24929</t>
  </si>
  <si>
    <t>STELLA ARTOIS PM OW 4X6 330CC</t>
  </si>
  <si>
    <t>STELLA ART NOIRE PM CAN 4X6 473CC CART</t>
  </si>
  <si>
    <t>24957</t>
  </si>
  <si>
    <t>ENVASE CAJON MARRON</t>
  </si>
  <si>
    <t>24991</t>
  </si>
  <si>
    <t>FRAPERA STELLA ARTOIS</t>
  </si>
  <si>
    <t>25059</t>
  </si>
  <si>
    <t>PATAGONIA VERA IPA OW X6 730CC</t>
  </si>
  <si>
    <t>25075</t>
  </si>
  <si>
    <t>TARIMA BUD 2021</t>
  </si>
  <si>
    <t>25194</t>
  </si>
  <si>
    <t>MIRINDA NARANJA PET X6 500CC</t>
  </si>
  <si>
    <t>25306</t>
  </si>
  <si>
    <t>TARIMA BUD 2021 SMK</t>
  </si>
  <si>
    <t>25543</t>
  </si>
  <si>
    <t>BOTELLA 1L COMP</t>
  </si>
  <si>
    <t>25544</t>
  </si>
  <si>
    <t>ENVASE CAJON 1L COMP</t>
  </si>
  <si>
    <t>25645</t>
  </si>
  <si>
    <t>PDT POM PET X6 500CC</t>
  </si>
  <si>
    <t>25737</t>
  </si>
  <si>
    <t>HELADERA 3 BANDEJAS CHECK-OUT MULTIMARCA</t>
  </si>
  <si>
    <t>25771</t>
  </si>
  <si>
    <t>DANTE ROB LEGADO CAB SAUVIGNON X6 750CC</t>
  </si>
  <si>
    <t>25772</t>
  </si>
  <si>
    <t>DANTE ROB LEGADO BL DE BLANCAS X6 750CC</t>
  </si>
  <si>
    <t>25774</t>
  </si>
  <si>
    <t>NAVE ROBINO EXTRA BRUT X6 750CC</t>
  </si>
  <si>
    <t>25775</t>
  </si>
  <si>
    <t>NAVE ROBINO MALBEC X6 750CC</t>
  </si>
  <si>
    <t>25978</t>
  </si>
  <si>
    <t>GATORADE NARANJA PET X6 1250CC</t>
  </si>
  <si>
    <t>25979</t>
  </si>
  <si>
    <t>GATORADE APPLE PET X6 1250CC</t>
  </si>
  <si>
    <t>25980</t>
  </si>
  <si>
    <t>GATORADE FRUTAS PET X6 1250CC</t>
  </si>
  <si>
    <t>25981</t>
  </si>
  <si>
    <t>GATORADE COOL BLUE PET X6 1250CC</t>
  </si>
  <si>
    <t>26077</t>
  </si>
  <si>
    <t>RACK GATORADE NS 2021</t>
  </si>
  <si>
    <t>26078</t>
  </si>
  <si>
    <t>MARCO DE GONDOLA EXT GATORADE NS21</t>
  </si>
  <si>
    <t>26079</t>
  </si>
  <si>
    <t>CENEFA EDF GATORADE NS21</t>
  </si>
  <si>
    <t>26257</t>
  </si>
  <si>
    <t>RACK PEPSI BLACK AS 2021</t>
  </si>
  <si>
    <t>26354</t>
  </si>
  <si>
    <t>CENEFA FLEJE PROMO ECO AGUAS 2022</t>
  </si>
  <si>
    <t>26359</t>
  </si>
  <si>
    <t>BOTELLA 1L MEZCLA</t>
  </si>
  <si>
    <t>26422</t>
  </si>
  <si>
    <t>RED BULL RED EDITION CAN 6X4 250CC</t>
  </si>
  <si>
    <t>26659</t>
  </si>
  <si>
    <t>STOPPERS ROCKSTAR 2022 GT</t>
  </si>
  <si>
    <t>26716</t>
  </si>
  <si>
    <t>RACK PEPSI UEFA AS 2022</t>
  </si>
  <si>
    <t>26738</t>
  </si>
  <si>
    <t>DISPENSER CORONA NATURAL OASIS 2022 KT</t>
  </si>
  <si>
    <t>26745</t>
  </si>
  <si>
    <t>HELADERA FULL GLASS VG QUILMES USADA</t>
  </si>
  <si>
    <t>26765</t>
  </si>
  <si>
    <t>KIT FIAMBRERIA AO 2022 AS</t>
  </si>
  <si>
    <t>26766</t>
  </si>
  <si>
    <t>RACK AO 2022 AS</t>
  </si>
  <si>
    <t>26767</t>
  </si>
  <si>
    <t>PIZARRA AO 2022 AS</t>
  </si>
  <si>
    <t>26768</t>
  </si>
  <si>
    <t>TARIMAS AO 2022 AS</t>
  </si>
  <si>
    <t>26939</t>
  </si>
  <si>
    <t>CUBRECAJON BUDWEISER 2022 AS</t>
  </si>
  <si>
    <t>26947</t>
  </si>
  <si>
    <t>TARIMA GI QUILMES</t>
  </si>
  <si>
    <t>26958</t>
  </si>
  <si>
    <t>KIT CARNICERIA QUILMES 2022 AS</t>
  </si>
  <si>
    <t>26961</t>
  </si>
  <si>
    <t>CUBRECAJONES QUILMES 2022 AS</t>
  </si>
  <si>
    <t>26962</t>
  </si>
  <si>
    <t>TARIMA GI BRAHMA 2022 AS</t>
  </si>
  <si>
    <t>26963</t>
  </si>
  <si>
    <t>CARTEL SECTOR SNACKS BRAHMA 2022 AS</t>
  </si>
  <si>
    <t>26964</t>
  </si>
  <si>
    <t>STOPPER COLGANTE SNACKS BRAHMA 2022 AS</t>
  </si>
  <si>
    <t>26971</t>
  </si>
  <si>
    <t>RACK GI BRAHMA 2022 AS</t>
  </si>
  <si>
    <t>27081</t>
  </si>
  <si>
    <t>ECO DE LOS ANDES PET X6 850CC</t>
  </si>
  <si>
    <t>27105</t>
  </si>
  <si>
    <t>CARTEL PAI KIOSKO VENTANA 2022TKT QUIL</t>
  </si>
  <si>
    <t>27355</t>
  </si>
  <si>
    <t>SILLA MICHELOB ULTRA</t>
  </si>
  <si>
    <t>27356</t>
  </si>
  <si>
    <t>MESA MICHELOB ULTRA</t>
  </si>
  <si>
    <t>27357</t>
  </si>
  <si>
    <t>SOMBRILLA MICHELOB ULTRA</t>
  </si>
  <si>
    <t>28263</t>
  </si>
  <si>
    <t>QUILMES IPA CAN 4X6 473CC</t>
  </si>
  <si>
    <t>28392</t>
  </si>
  <si>
    <t>VINO MANDAMAS X12 1LT</t>
  </si>
  <si>
    <t>28545</t>
  </si>
  <si>
    <t>GIN LONDON DRY RESTINGA X4 750CC</t>
  </si>
  <si>
    <t>28662</t>
  </si>
  <si>
    <t>STA TWOPACK TAZAS ISIDRA + GINKGO</t>
  </si>
  <si>
    <t>28691</t>
  </si>
  <si>
    <t>BUDWEISER CAN 4X4 710CC</t>
  </si>
  <si>
    <t>28698</t>
  </si>
  <si>
    <t>STELLA ARTOIS 0.0% OW 4X6 330CC</t>
  </si>
  <si>
    <t>28699</t>
  </si>
  <si>
    <t>STELLA ARTOIS 0.0% OW X24 330CC</t>
  </si>
  <si>
    <t>28846</t>
  </si>
  <si>
    <t>QUILMES IPA RET X12 1000CC</t>
  </si>
  <si>
    <t>28956</t>
  </si>
  <si>
    <t>HEL BABY MT120 RED BULL 2023 NVA C/ RACK</t>
  </si>
  <si>
    <t>29456</t>
  </si>
  <si>
    <t>MT 19 BRAHMA 2023 C WELLINGTON NUEVA</t>
  </si>
  <si>
    <t>29457</t>
  </si>
  <si>
    <t>MT 11 BRAHMA 2023 C SENSIFY NUEVA</t>
  </si>
  <si>
    <t>29459</t>
  </si>
  <si>
    <t>MT 19 BRAHMA 2023 C SENSIFY NUEVA</t>
  </si>
  <si>
    <t>29462</t>
  </si>
  <si>
    <t>MT 11 BRAHMA 2023 C WELLINGTON NUEVA</t>
  </si>
  <si>
    <t>29465</t>
  </si>
  <si>
    <t>MT 19 STELLA 2023 C SENSIFY NUEVA</t>
  </si>
  <si>
    <t>29467</t>
  </si>
  <si>
    <t>MT 19 STELLA 2023 C WELLINGTON NUEVA</t>
  </si>
  <si>
    <t>29469</t>
  </si>
  <si>
    <t>MT 11 STELLA 2023 C SENSIFY NUEVA</t>
  </si>
  <si>
    <t>29471</t>
  </si>
  <si>
    <t>MT 11 STELLA 2023 C WELLINGTON NUEVA</t>
  </si>
  <si>
    <t>29473</t>
  </si>
  <si>
    <t>MT 14 PEPSI C SENSIFY NUEVA</t>
  </si>
  <si>
    <t>29475</t>
  </si>
  <si>
    <t>MT 14 PEPSI C WELLINGTON NUEVA</t>
  </si>
  <si>
    <t>29476</t>
  </si>
  <si>
    <t>MT 11 QUILMES 2023 C WELLINGTON NUEVA</t>
  </si>
  <si>
    <t>29477</t>
  </si>
  <si>
    <t>MT 19 QUILMES 2023 C SENSIFY NUEVA</t>
  </si>
  <si>
    <t>29478</t>
  </si>
  <si>
    <t>MT 11 QUILMES 2023 C SENSIFY NUEVA</t>
  </si>
  <si>
    <t>29479</t>
  </si>
  <si>
    <t>MT 19 QUILMES 2023 C WELLINGTON NUEVA</t>
  </si>
  <si>
    <t>29649</t>
  </si>
  <si>
    <t>STELLA ARTOIS CAN 4X4 710CC</t>
  </si>
  <si>
    <t>29740</t>
  </si>
  <si>
    <t>QUILMES 1890 RET X12 1L SMK</t>
  </si>
  <si>
    <t>29743</t>
  </si>
  <si>
    <t>QUILMES 1890 CAN X24 473CC SMK</t>
  </si>
  <si>
    <t>29799</t>
  </si>
  <si>
    <t>RED BULL FRUTA DEL DRAGON CAN 6X4 250CC</t>
  </si>
  <si>
    <t>29814</t>
  </si>
  <si>
    <t>H2OH STILL MANZANA PET X6 500CC</t>
  </si>
  <si>
    <t>29815</t>
  </si>
  <si>
    <t>H2OH STILL LIMON PET X6 500CC</t>
  </si>
  <si>
    <t>29816</t>
  </si>
  <si>
    <t>H2OH STILL POMELO PET X6 500CC</t>
  </si>
  <si>
    <t>29848</t>
  </si>
  <si>
    <t>STA BUCKET CORONA 2.0</t>
  </si>
  <si>
    <t>29917</t>
  </si>
  <si>
    <t>STA TWOPACK VASOS PATAGONIA TULIPA</t>
  </si>
  <si>
    <t>29922</t>
  </si>
  <si>
    <t>STA TWOPACK VASOS ANDES ORIGEN</t>
  </si>
  <si>
    <t>29925</t>
  </si>
  <si>
    <t>STA TABLA Y RUEDA DE PIZZA STELLA</t>
  </si>
  <si>
    <t>29926</t>
  </si>
  <si>
    <t>STA TWOPACK COPA STELLA ART</t>
  </si>
  <si>
    <t>29929</t>
  </si>
  <si>
    <t>STA TWOPACK CHALICE VINTAGE CURVO+ESM SA</t>
  </si>
  <si>
    <t>30477</t>
  </si>
  <si>
    <t>MIRINDA NAR CAN 130 BUL/PAL 4X6 354CC</t>
  </si>
  <si>
    <t>30478</t>
  </si>
  <si>
    <t>7UP FREE CAN 130 BUL/PAL 4X6 354CC</t>
  </si>
  <si>
    <t>30481</t>
  </si>
  <si>
    <t>SEVEN-UP NF CAN 130 BUL/PAL 4X6 354CC</t>
  </si>
  <si>
    <t>30551</t>
  </si>
  <si>
    <t>CORONA CAN 4X6 473CC AR</t>
  </si>
  <si>
    <t>30606</t>
  </si>
  <si>
    <t>STA TWOPACK VASOS BUD 2023</t>
  </si>
  <si>
    <t>30644</t>
  </si>
  <si>
    <t>PEPSI 70KCAL PET X6 1500CC</t>
  </si>
  <si>
    <t>PEPSI 70KCAL PET X8 2000CC</t>
  </si>
  <si>
    <t>30647</t>
  </si>
  <si>
    <t>PEPSI 70KCAL PET X6 3000CC</t>
  </si>
  <si>
    <t>30648</t>
  </si>
  <si>
    <t>PEPSI 70KCAL 4X6 354CC</t>
  </si>
  <si>
    <t>30663</t>
  </si>
  <si>
    <t>PEPSI 70KCAL PET X6 500CC</t>
  </si>
  <si>
    <t>30789</t>
  </si>
  <si>
    <t>PEPSI BLACK PET X8 2.000CC 2024</t>
  </si>
  <si>
    <t>30790</t>
  </si>
  <si>
    <t>PEPSI BLACK PET X6 1.500CC 2024</t>
  </si>
  <si>
    <t>30791</t>
  </si>
  <si>
    <t>PEPSI BLACK PET X6 500CC 2024</t>
  </si>
  <si>
    <t>30793</t>
  </si>
  <si>
    <t>PEPSI BLACK CAN 4X6 354CC 2024</t>
  </si>
  <si>
    <t>30840</t>
  </si>
  <si>
    <t>H2OH STILL MANZANA PET X6 1.500L 96 BUL</t>
  </si>
  <si>
    <t>30842</t>
  </si>
  <si>
    <t>H2OH STILL POMELO PET X6 1.500L 96 BUL</t>
  </si>
  <si>
    <t>30843</t>
  </si>
  <si>
    <t>H2OH STILL LIMON PET X6 1.500L 96 BUL</t>
  </si>
  <si>
    <t>30921</t>
  </si>
  <si>
    <t>TWOPACK VASOS VINTAGE 1970 - 1980 7UP</t>
  </si>
  <si>
    <t>30922</t>
  </si>
  <si>
    <t>TWOPACK VASOS VINTAGE 1930 - 1950 7UP</t>
  </si>
  <si>
    <t>30970</t>
  </si>
  <si>
    <t>7UP PET X6 3000CC NF 2024</t>
  </si>
  <si>
    <t>30972</t>
  </si>
  <si>
    <t>7UP PET X6 1500CC NF 2024</t>
  </si>
  <si>
    <t>30974</t>
  </si>
  <si>
    <t>7UP PET X6 500CC NF 2024</t>
  </si>
  <si>
    <t>30977</t>
  </si>
  <si>
    <t>7UP FREE PET X8 2250CC 2024</t>
  </si>
  <si>
    <t>30978</t>
  </si>
  <si>
    <t>7UP FREE PET X6 1500CC 2024</t>
  </si>
  <si>
    <t>30989</t>
  </si>
  <si>
    <t>VINO MALBEC CLOS D ARGENTINE X6 750CC</t>
  </si>
  <si>
    <t>31073</t>
  </si>
  <si>
    <t>PDT TONICA CAN 4X6 269CC 169 BULTOS</t>
  </si>
  <si>
    <t>31074</t>
  </si>
  <si>
    <t>PDT POMELO CAN 4X6 269CC 169 BULTOS</t>
  </si>
  <si>
    <t>31204</t>
  </si>
  <si>
    <t>ANDES ORIGEN RUBIA 2.0 RET X12 1000CC</t>
  </si>
  <si>
    <t>31205</t>
  </si>
  <si>
    <t>ANDES ORIGEN RUBIA 2.0 CAN 4X6 473CC</t>
  </si>
  <si>
    <t>31206</t>
  </si>
  <si>
    <t>ANDES ORIGEN RUBIA 2.0 CAN 4X4 710CC</t>
  </si>
  <si>
    <t>31215</t>
  </si>
  <si>
    <t>QUILMES 0.0 2.0 CAN 4X6 473CC</t>
  </si>
  <si>
    <t>31242</t>
  </si>
  <si>
    <t>QUILMES CLASICA CAN 4X4 710CC</t>
  </si>
  <si>
    <t>31254</t>
  </si>
  <si>
    <t>M5000 BRIKET QUILMES NVA C SENSIFY 2024</t>
  </si>
  <si>
    <t>31260</t>
  </si>
  <si>
    <t>MT17 INELRO PEPSI NVA C SENSIFY 2024</t>
  </si>
  <si>
    <t>31346</t>
  </si>
  <si>
    <t>DANTE MALBEC OW X6 750CC NET</t>
  </si>
  <si>
    <t>31347</t>
  </si>
  <si>
    <t>DANTE EXTRA BRUT OW X6 750CC NET</t>
  </si>
  <si>
    <t>31348</t>
  </si>
  <si>
    <t>DANTE CABERNET SAUV X6 750CC NET</t>
  </si>
  <si>
    <t>31354</t>
  </si>
  <si>
    <t>ANDES ORIGEN RUBIA ORO CAN 4X6 473CC</t>
  </si>
  <si>
    <t>31357</t>
  </si>
  <si>
    <t>PATAGONIA LAGER DEL SUR CAN 4X6 473CC</t>
  </si>
  <si>
    <t>31365</t>
  </si>
  <si>
    <t>PATAGONIA LAGER DEL SUR OW X6 730CC</t>
  </si>
  <si>
    <t>31383</t>
  </si>
  <si>
    <t>TOALLA CORONA 2024 X20</t>
  </si>
  <si>
    <t>BRAHMA CAN 4X4 710CC</t>
  </si>
  <si>
    <t>31471</t>
  </si>
  <si>
    <t>M5000 QUILMES C/SENSIFY NUEVA 2024</t>
  </si>
  <si>
    <t>31472</t>
  </si>
  <si>
    <t>M5000 BRAHMA C/SENSIFY NUEVA 2024</t>
  </si>
  <si>
    <t>31488</t>
  </si>
  <si>
    <t>M3500 QUILMES C/SENSIFY NUEVA 2024</t>
  </si>
  <si>
    <t>31489</t>
  </si>
  <si>
    <t>MT 17 PEPSI BLACK C/SENSIFY NUEVA 2024</t>
  </si>
  <si>
    <t>31492</t>
  </si>
  <si>
    <t>M5000 STELLA C/SENSIFY NUEVA 2024</t>
  </si>
  <si>
    <t>31557</t>
  </si>
  <si>
    <t>MICHELOB ULTRA GLUT FREE CAN 4X6 473CC</t>
  </si>
  <si>
    <t>31600</t>
  </si>
  <si>
    <t>H2OH STILL POMELO PET X8 2000CC</t>
  </si>
  <si>
    <t>31601</t>
  </si>
  <si>
    <t>H2OH STILL LIMON PET X8 2000CC</t>
  </si>
  <si>
    <t>31602</t>
  </si>
  <si>
    <t>H2OH STILL MANZANA PET X8 2000CC</t>
  </si>
  <si>
    <t>31718</t>
  </si>
  <si>
    <t>VODKA FRAMBUESA MALEFICIO X6 750CC</t>
  </si>
  <si>
    <t>31720</t>
  </si>
  <si>
    <t>VODKA ORIGINAL MALEFICIO X6 750CC</t>
  </si>
  <si>
    <t>31747</t>
  </si>
  <si>
    <t>JAGERMEISTER X6 700ML</t>
  </si>
  <si>
    <t>31760</t>
  </si>
  <si>
    <t>HEL MEDIUM SLIM RED BULL NUEVA 2024</t>
  </si>
  <si>
    <t>32037</t>
  </si>
  <si>
    <t>HEL INELRO MT11 QUILMES C SENSIFY NUEVA</t>
  </si>
  <si>
    <t>32041</t>
  </si>
  <si>
    <t>HEL BRIKET M3500 BRAHMA SENSIFY NUEVA</t>
  </si>
  <si>
    <t>32043</t>
  </si>
  <si>
    <t>HEL BRIKET M5000 BRAHMA SENSIFY NUEVA</t>
  </si>
  <si>
    <t>32045</t>
  </si>
  <si>
    <t>HEL BRIKET M3500 QUILMES SENSIFY NUEVA</t>
  </si>
  <si>
    <t>32047</t>
  </si>
  <si>
    <t>HEL BRIKET M5000 QUILMES SENSIFY NUEVA</t>
  </si>
  <si>
    <t>32051</t>
  </si>
  <si>
    <t>HEL BRIKET M3500 STELLA SENSIFY NUEVA</t>
  </si>
  <si>
    <t>32189</t>
  </si>
  <si>
    <t>STA TABLA ILUSTRADA PATAGONIA X8</t>
  </si>
  <si>
    <t>32191</t>
  </si>
  <si>
    <t>NESTLE PUREZA VITAL PET X2 6,4L</t>
  </si>
  <si>
    <t>32193</t>
  </si>
  <si>
    <t>CORONA 0.0 OW 6X4 330CC CLUSTER 4PACK</t>
  </si>
  <si>
    <t>32203</t>
  </si>
  <si>
    <t>STA TOALLA CORONA 2025 X10</t>
  </si>
  <si>
    <t>32258</t>
  </si>
  <si>
    <t>3P-LECHE LIVIANA 2% APOSTOLES X12 1L</t>
  </si>
  <si>
    <t>32259</t>
  </si>
  <si>
    <t>3P-LECHE PARC DESCREM APOSTOLES X12 1L</t>
  </si>
  <si>
    <t>32260</t>
  </si>
  <si>
    <t>3P-LECHE CLASICA LIVIANA ANGELITA X12 1L</t>
  </si>
  <si>
    <t>32261</t>
  </si>
  <si>
    <t>3P-LECHE UAT P.DESCREM ANGELITA X12 1L</t>
  </si>
  <si>
    <t>32262</t>
  </si>
  <si>
    <t>3P-YERBA C/P PLAYADITO X10 500GR</t>
  </si>
  <si>
    <t>32263</t>
  </si>
  <si>
    <t>3P - YERBA C/P PLAYADITO X5 1KG</t>
  </si>
  <si>
    <t>32293</t>
  </si>
  <si>
    <t>GLACIAR SG PET X12 500CC 208 PACKS</t>
  </si>
  <si>
    <t>32309</t>
  </si>
  <si>
    <t>HEL INELRO MT11 PEPSI SENSIFY NUEVA</t>
  </si>
  <si>
    <t>32374</t>
  </si>
  <si>
    <t>HEL BRIKET M5000 STELLA SENSIFY NUEVA</t>
  </si>
  <si>
    <t>32421</t>
  </si>
  <si>
    <t>BRAHMA FT LIMON CAN X24 473CC</t>
  </si>
  <si>
    <t>32442</t>
  </si>
  <si>
    <t>BRAHMA FT POMELO CAN X24 473CC</t>
  </si>
  <si>
    <t>32484</t>
  </si>
  <si>
    <t>RIÃ?ONERA JAGERMEISTER X50</t>
  </si>
  <si>
    <t>32489</t>
  </si>
  <si>
    <t>H2OH S/GAS NARANJA PET X6 500CC</t>
  </si>
  <si>
    <t>32492</t>
  </si>
  <si>
    <t>H2OH S/GAS NARANJA PET X6 1500CC</t>
  </si>
  <si>
    <t>32495</t>
  </si>
  <si>
    <t>QUILMES BAJO CERO CAN 4X6 473CC TT</t>
  </si>
  <si>
    <t>32511</t>
  </si>
  <si>
    <t>PEPSI BLACK PET X6 3000CC</t>
  </si>
  <si>
    <t>32537</t>
  </si>
  <si>
    <t>GLACIAR PET X6 2L</t>
  </si>
  <si>
    <t>32540</t>
  </si>
  <si>
    <t>VASO JAGER 200ML X6</t>
  </si>
  <si>
    <t>32636</t>
  </si>
  <si>
    <t>PATAGONIA LAGER DEL SUR OW X6 730CC TERM</t>
  </si>
  <si>
    <t>32638</t>
  </si>
  <si>
    <t>PATAGONIA AMBER OW X6 730CC TERM</t>
  </si>
  <si>
    <t>32640</t>
  </si>
  <si>
    <t>PATAGONIA VERA IPA OW X6 730CC TERMO</t>
  </si>
  <si>
    <t>32642</t>
  </si>
  <si>
    <t>PATAGONIA IPA OW X6 730CC TERMO</t>
  </si>
  <si>
    <t>32707</t>
  </si>
  <si>
    <t>GLACIAR PET X2 6.400CC</t>
  </si>
  <si>
    <t>32710</t>
  </si>
  <si>
    <t>RED BULL SUMMER EDITION CAN 6X4</t>
  </si>
  <si>
    <t>34752</t>
  </si>
  <si>
    <t>CORONA 0.0 CAN 4X6 473CC CART</t>
  </si>
  <si>
    <t>42961</t>
  </si>
  <si>
    <t>SILLA ANDES ORIGEN TOP</t>
  </si>
  <si>
    <t>42962</t>
  </si>
  <si>
    <t>SOMBRILLA ANDES ORIGEN</t>
  </si>
  <si>
    <t>42963</t>
  </si>
  <si>
    <t>MESA ANDES ORIGEN TOP</t>
  </si>
  <si>
    <t>42973</t>
  </si>
  <si>
    <t>SILLA BUDWEISER TOP</t>
  </si>
  <si>
    <t>42974</t>
  </si>
  <si>
    <t>MESA BUDWEISER TOP</t>
  </si>
  <si>
    <t>44489</t>
  </si>
  <si>
    <t>STELLA ARTOIS 0.0 SY CAN 4X6 473CC CART</t>
  </si>
  <si>
    <t>46587</t>
  </si>
  <si>
    <t>GATORADE NS FRESA KIWI PET X6 40</t>
  </si>
  <si>
    <t>46729</t>
  </si>
  <si>
    <t>GATORADE NS MORAS PET X6 400CC</t>
  </si>
  <si>
    <t>46888</t>
  </si>
  <si>
    <t>HEL INELRO VG QUILMES C SENSIFY</t>
  </si>
  <si>
    <t>47488</t>
  </si>
  <si>
    <t>PDT POMELO PET X8 2000CC</t>
  </si>
  <si>
    <t>47489</t>
  </si>
  <si>
    <t>7UP PET X8 2000CC</t>
  </si>
  <si>
    <t>47627</t>
  </si>
  <si>
    <t>MICHELOB ULTRA OW 4X6 275CC EXP</t>
  </si>
  <si>
    <t>47707</t>
  </si>
  <si>
    <t>STELLA ARTOIS PURE GOLD OW 4X6 330CC IMP</t>
  </si>
  <si>
    <t>47767</t>
  </si>
  <si>
    <t>HEL BRIKET SLIM BRAHMA SENSIFY N</t>
  </si>
  <si>
    <t>47787</t>
  </si>
  <si>
    <t>HEL BRIKET SLIM QUILMES SENSIFY</t>
  </si>
  <si>
    <t>47807</t>
  </si>
  <si>
    <t>HEL BRIKET SLIM STELLA SENSIFY N</t>
  </si>
  <si>
    <t>47967</t>
  </si>
  <si>
    <t>HEL INELRO SLIM STELLA SENSIFY N</t>
  </si>
  <si>
    <t>47987</t>
  </si>
  <si>
    <t>HEL INELRO VG BRAHMA SENSIFY NUE</t>
  </si>
  <si>
    <t>48017</t>
  </si>
  <si>
    <t>HEL INELRO VG QUILMES SENSIFY NU</t>
  </si>
  <si>
    <t>48027</t>
  </si>
  <si>
    <t>HEL INELRO VG STELLA SENSIFY NUE</t>
  </si>
  <si>
    <t>49767</t>
  </si>
  <si>
    <t>STA TRIPACK VASOS QUILMES MUNDIAL 2026 X1</t>
  </si>
  <si>
    <t>STELLA PURE GOLD CAN 4X6 473CC T</t>
  </si>
  <si>
    <t>51290</t>
  </si>
  <si>
    <t>QUILMES 1890 CAN 4X4 710CC</t>
  </si>
  <si>
    <t>51292</t>
  </si>
  <si>
    <t>QUILMES BAJO CERO CAN 4X4 710CC</t>
  </si>
  <si>
    <t>51527</t>
  </si>
  <si>
    <t>STA PELOTA QUILMES MUNDIAL 2026 X1</t>
  </si>
  <si>
    <t>53547</t>
  </si>
  <si>
    <t>HEL INELRO MT11 MUL C SENSIFY NU</t>
  </si>
  <si>
    <t>58089</t>
  </si>
  <si>
    <t>RB ZERO CAN 6X4 250CC</t>
  </si>
  <si>
    <t>58708</t>
  </si>
  <si>
    <t>HEL BRIKET M3500 PEPSI BLACK SFY USA 26</t>
  </si>
  <si>
    <t>58710</t>
  </si>
  <si>
    <t>HEL BRIKET M5000 PEPSI BLACK SFY NUE 26</t>
  </si>
  <si>
    <t>58713</t>
  </si>
  <si>
    <t>HEL BRIKET M3500 GATORADE SFY NUE 26</t>
  </si>
  <si>
    <t>77897</t>
  </si>
  <si>
    <t>VASO QUILMES MURPHY X6 500CC</t>
  </si>
  <si>
    <t>77934</t>
  </si>
  <si>
    <t>VINO MALEANTE MALBEC X6 750CC</t>
  </si>
  <si>
    <t>77976</t>
  </si>
  <si>
    <t>STA TEJO BRAHMA X10</t>
  </si>
  <si>
    <t>77979</t>
  </si>
  <si>
    <t>GIN BOSQUE EAN CENCO OW X4 500CC</t>
  </si>
  <si>
    <t>77994</t>
  </si>
  <si>
    <t>DONDE MANDA CAPITAN X6 750CC</t>
  </si>
  <si>
    <t>78034</t>
  </si>
  <si>
    <t>STA TABLA ILUSTRADA PATAGONIA</t>
  </si>
  <si>
    <t>78142</t>
  </si>
  <si>
    <t>ARROZ LF MOLINOS ALA X10 500GR</t>
  </si>
  <si>
    <t>78145</t>
  </si>
  <si>
    <t>PATAGONIA GINGKO OW X4 500CC</t>
  </si>
  <si>
    <t>78176</t>
  </si>
  <si>
    <t>STA DESTAPADOR QUILMES</t>
  </si>
  <si>
    <t>78241</t>
  </si>
  <si>
    <t>STA GORRA AZUL CORONA MARTHA 2022</t>
  </si>
  <si>
    <t>78242</t>
  </si>
  <si>
    <t>STA PILUSO AZUL CORONA MARTHA 2022</t>
  </si>
  <si>
    <t>78267</t>
  </si>
  <si>
    <t>STA PARAGUAS QUILMES CELESTE Y BLANCO</t>
  </si>
  <si>
    <t>80904</t>
  </si>
  <si>
    <t>MESA H2OH! DE MADERA</t>
  </si>
  <si>
    <t>80935</t>
  </si>
  <si>
    <t>HELADERA NPV AWAFRUT VERT. GRANDE</t>
  </si>
  <si>
    <t>81183</t>
  </si>
  <si>
    <t>REVESTIMIENTO DE GONDOLA GATORADE</t>
  </si>
  <si>
    <t>81465</t>
  </si>
  <si>
    <t>SILLA PEPSI SEMITOP</t>
  </si>
  <si>
    <t>81469</t>
  </si>
  <si>
    <t>SOMBRILLA STELLA ARTOIS TOP 1.80</t>
  </si>
  <si>
    <t>81934</t>
  </si>
  <si>
    <t>CHOPP BRAHMA VIDRIO</t>
  </si>
  <si>
    <t>82084</t>
  </si>
  <si>
    <t>VASOS QUILMES CHOPP MURPHIS BECHER 0.33L</t>
  </si>
  <si>
    <t>82087</t>
  </si>
  <si>
    <t>HELADERA QUILMES CHECK OUT CYBORG</t>
  </si>
  <si>
    <t>82154</t>
  </si>
  <si>
    <t>HELADERA QUILMES PREMIUN SAHARA C/VENT</t>
  </si>
  <si>
    <t>82240</t>
  </si>
  <si>
    <t>HEL PEPSI MULTI PUERTA B CONS USADA</t>
  </si>
  <si>
    <t>82476</t>
  </si>
  <si>
    <t>HEL PEPSI DOBLE PTA PUNTERA B/C</t>
  </si>
  <si>
    <t>82478</t>
  </si>
  <si>
    <t>HELADERA PEPSI DOBLE PTA B/C</t>
  </si>
  <si>
    <t>82480</t>
  </si>
  <si>
    <t>HELADERA PEPSI SLIM B/C</t>
  </si>
  <si>
    <t>82482</t>
  </si>
  <si>
    <t>HELADERA GATORADE SLIM B/C</t>
  </si>
  <si>
    <t>82484</t>
  </si>
  <si>
    <t>HELADERA PEPSI VERT GDE B/C</t>
  </si>
  <si>
    <t>82486</t>
  </si>
  <si>
    <t>HELADERA QUILMES DOBLE PUERTA B/C</t>
  </si>
  <si>
    <t>82487</t>
  </si>
  <si>
    <t>HELADERA QUILMES DOBLE PUERTA B/C USAD</t>
  </si>
  <si>
    <t>82488</t>
  </si>
  <si>
    <t>HELADERA QUILMES VERT GDE B/C</t>
  </si>
  <si>
    <t>82489</t>
  </si>
  <si>
    <t>HELADERA QUILMES VERT GDE B/C USAD</t>
  </si>
  <si>
    <t>82616</t>
  </si>
  <si>
    <t>EQUIPO ELEC. V-100 COSTERO</t>
  </si>
  <si>
    <t>82676</t>
  </si>
  <si>
    <t>SOMBRILLA QUILMES</t>
  </si>
  <si>
    <t>82682</t>
  </si>
  <si>
    <t>HELADERA QUILMES VERTICAL GRANDE TOP</t>
  </si>
  <si>
    <t>82937</t>
  </si>
  <si>
    <t>EQUIPO ELEC. C-2500 CORNELIUS USADO</t>
  </si>
  <si>
    <t>82940</t>
  </si>
  <si>
    <t>EQUIPO ELEC. V-100 COSTERO USADO</t>
  </si>
  <si>
    <t>82941</t>
  </si>
  <si>
    <t>EQUIPO ELEC. V-200 COSTERO USADO</t>
  </si>
  <si>
    <t>82947</t>
  </si>
  <si>
    <t>EQUIPO ELEC. V-50 COSTERO USADO</t>
  </si>
  <si>
    <t>82953</t>
  </si>
  <si>
    <t>PILON METALICO CORNETA C/MEDA Q.CRISTAL USADO</t>
  </si>
  <si>
    <t>82999</t>
  </si>
  <si>
    <t>GONDOLA CERVEZAS CON LATERAL IZQUIERDO</t>
  </si>
  <si>
    <t>83147</t>
  </si>
  <si>
    <t>MARQUESINA QUILMES SIMPLE</t>
  </si>
  <si>
    <t>83297</t>
  </si>
  <si>
    <t>PUNTERA DE CALIDAD</t>
  </si>
  <si>
    <t>83308</t>
  </si>
  <si>
    <t>HELADERA QUILMES VG REG BC</t>
  </si>
  <si>
    <t>83309</t>
  </si>
  <si>
    <t>HELADERA QUILMES VG REG BC USADA</t>
  </si>
  <si>
    <t>83415</t>
  </si>
  <si>
    <t>VASO MURPHYS 330 PROG ON</t>
  </si>
  <si>
    <t>83641</t>
  </si>
  <si>
    <t>PILON METALICO NIQUELADO STELLA ARTOIS USADO</t>
  </si>
  <si>
    <t>84121</t>
  </si>
  <si>
    <t>HELADERA IMPORTADAS SLIM</t>
  </si>
  <si>
    <t>84196</t>
  </si>
  <si>
    <t>VASO PLASTICO PROMO PEPSI</t>
  </si>
  <si>
    <t>84241</t>
  </si>
  <si>
    <t>MESA MADERA S/ MARCA - ANDES</t>
  </si>
  <si>
    <t>84242</t>
  </si>
  <si>
    <t>MESA MADERA USADA S/ MARCA - ANDES</t>
  </si>
  <si>
    <t>84265</t>
  </si>
  <si>
    <t>SILLA MADERA S/MARCA - ANDES</t>
  </si>
  <si>
    <t>84311</t>
  </si>
  <si>
    <t>SOMBRILLA REGULAR S/MARCA - H2OH!</t>
  </si>
  <si>
    <t>84390</t>
  </si>
  <si>
    <t>SILLA MADERA S/MARCA - STELLA ARTOIS</t>
  </si>
  <si>
    <t>84557</t>
  </si>
  <si>
    <t>HELADERA AWAFRUT VERT GDE</t>
  </si>
  <si>
    <t>84620</t>
  </si>
  <si>
    <t>HELADERA QUILMES MOSTRADOR USADA</t>
  </si>
  <si>
    <t>84621</t>
  </si>
  <si>
    <t>HELADERA QUILMES MOSTRADOR</t>
  </si>
  <si>
    <t>84628</t>
  </si>
  <si>
    <t>HELADERA STELLA VERT GDE</t>
  </si>
  <si>
    <t>84783</t>
  </si>
  <si>
    <t>HELADERA QUILMES MULTIPUERTA B/C</t>
  </si>
  <si>
    <t>85415</t>
  </si>
  <si>
    <t>HEL QUILMES DOBLE PTA PUNTERA B/C</t>
  </si>
  <si>
    <t>85464</t>
  </si>
  <si>
    <t>HELADERA STELLA SAHARA C/VENT BC</t>
  </si>
  <si>
    <t>85465</t>
  </si>
  <si>
    <t>HELADERA STELLA SAHARA C/VENT BC USADA</t>
  </si>
  <si>
    <t>85468</t>
  </si>
  <si>
    <t>HELADERA STELLA VERT GDE B/C</t>
  </si>
  <si>
    <t>85474</t>
  </si>
  <si>
    <t>HELADERA QUILMES VERT GDE CASSETTE</t>
  </si>
  <si>
    <t>85475</t>
  </si>
  <si>
    <t>HELADERA QUILMES VERT GDE CASSETTE USADA</t>
  </si>
  <si>
    <t>86044</t>
  </si>
  <si>
    <t>HELADERA VERT MED MULTIMARCA QPE USADA</t>
  </si>
  <si>
    <t>900014</t>
  </si>
  <si>
    <t>COMBO Arroz + Leche</t>
  </si>
  <si>
    <t>900022</t>
  </si>
  <si>
    <t>COMBO Molinos Ala</t>
  </si>
  <si>
    <t>900029</t>
  </si>
  <si>
    <t>COMBO Playadito + Terepin</t>
  </si>
  <si>
    <t>900037</t>
  </si>
  <si>
    <t>COMBO Nesquik + Crowie</t>
  </si>
  <si>
    <t>900038</t>
  </si>
  <si>
    <t>COMBO GTD 750 - PATAGONIA</t>
  </si>
  <si>
    <t>900039</t>
  </si>
  <si>
    <t>COMBO LOCO 2.1 - AREA SUR - K+T AS</t>
  </si>
  <si>
    <t>900041</t>
  </si>
  <si>
    <t>COMBO LOCO 1.6 - AREA SUR</t>
  </si>
  <si>
    <t>900042</t>
  </si>
  <si>
    <t>COMBO Fiestas! 2</t>
  </si>
  <si>
    <t>900050</t>
  </si>
  <si>
    <t>I) COMBO PEPSI + ECO 500 30% DTO!</t>
  </si>
  <si>
    <t>900051</t>
  </si>
  <si>
    <t>II) COMBO PEPSI + ECO 500 30% DTO!</t>
  </si>
  <si>
    <t>900052</t>
  </si>
  <si>
    <t>COMBO TITAN FAMILIAR 2 - PATAGONIA (ANULADO)</t>
  </si>
  <si>
    <t>900053</t>
  </si>
  <si>
    <t>Gran Dante - Bodega Dante Robino</t>
  </si>
  <si>
    <t>900054</t>
  </si>
  <si>
    <t>TRIDENTE VINOS BDR - CABERNET</t>
  </si>
  <si>
    <t>900055</t>
  </si>
  <si>
    <t>APOLO BDR - (BOSQUE + POKER MALBEC + SC NOV. CABERNET)</t>
  </si>
  <si>
    <t>900056</t>
  </si>
  <si>
    <t>TRIDENTE ESPUMANTES BDR - EXTRA BRUT</t>
  </si>
  <si>
    <t>900057</t>
  </si>
  <si>
    <t>COMBO RED BULL - TROPICAL</t>
  </si>
  <si>
    <t>900058</t>
  </si>
  <si>
    <t>COMBO RED BULL - RED</t>
  </si>
  <si>
    <t>900061</t>
  </si>
  <si>
    <t>COMBO BUD-CORONA-ANDES</t>
  </si>
  <si>
    <t>900062</t>
  </si>
  <si>
    <t>900063</t>
  </si>
  <si>
    <t>LATON STELLA-BUD-ANDES</t>
  </si>
  <si>
    <t>900064</t>
  </si>
  <si>
    <t>COMBO LATON STELLA-BUD-ANDES</t>
  </si>
  <si>
    <t>900065</t>
  </si>
  <si>
    <t>COMBO GTD - AREA SUR - AGOSTO</t>
  </si>
  <si>
    <t>900067</t>
  </si>
  <si>
    <t>COMBO RED BULL - SUGAR FREE</t>
  </si>
  <si>
    <t>900068</t>
  </si>
  <si>
    <t>COMBO LOCO 1.10 - AREA SUR</t>
  </si>
  <si>
    <t>900069</t>
  </si>
  <si>
    <t>COMBO LOCO 2.2 - AREA SUR</t>
  </si>
  <si>
    <t>900070</t>
  </si>
  <si>
    <t>COMBO TITAN FAMILIAR 2 - PATAGONIA</t>
  </si>
  <si>
    <t>900072</t>
  </si>
  <si>
    <t>COMBO GTD - AREA SUR</t>
  </si>
  <si>
    <t>900073</t>
  </si>
  <si>
    <t>COMBO BOSQUE + PEPSI 1.1 - AREA SUR - OCTUBRE</t>
  </si>
  <si>
    <t>900074</t>
  </si>
  <si>
    <t>*Laton Andes Origen/ Laton Bud/ Laton Stella - BAJO DROP</t>
  </si>
  <si>
    <t>900075</t>
  </si>
  <si>
    <t>*Laton Andes Origen/ Laton Bud/ Laton Stella - ALTO DROP</t>
  </si>
  <si>
    <t>900077</t>
  </si>
  <si>
    <t>COMBO LOCO 2.17 - AREA SUR</t>
  </si>
  <si>
    <t>900078</t>
  </si>
  <si>
    <t>COMBO LOCO 2.7 - AREA SUR - K+T AS</t>
  </si>
  <si>
    <t>900079</t>
  </si>
  <si>
    <t>COMBO LOCO 2 AREA SUR 40%</t>
  </si>
  <si>
    <t>900081</t>
  </si>
  <si>
    <t>LATON STELLA-BUD-AO NUEVA RECETA</t>
  </si>
  <si>
    <t>900082</t>
  </si>
  <si>
    <t>COMBO LATON STELLA-BUD-ANDES NUEVA RECETA</t>
  </si>
  <si>
    <t>900084</t>
  </si>
  <si>
    <t>COMBO AGUAS + PEPSI 500cc OCT</t>
  </si>
  <si>
    <t>900085</t>
  </si>
  <si>
    <t>COMBO 0.0% Bajo Drop</t>
  </si>
  <si>
    <t>900086</t>
  </si>
  <si>
    <t>COMBO 0.0% Alto Drop</t>
  </si>
  <si>
    <t>900087</t>
  </si>
  <si>
    <t>COMBO AGUAS ECO 500 + ECO ONE</t>
  </si>
  <si>
    <t>900088</t>
  </si>
  <si>
    <t>COMBO AGUAS ECO 500 + ECO 850</t>
  </si>
  <si>
    <t>900089</t>
  </si>
  <si>
    <t>COMBO FIESTA</t>
  </si>
  <si>
    <t>900090</t>
  </si>
  <si>
    <t>COMBO RIDER + PDT 1.5L</t>
  </si>
  <si>
    <t>900091</t>
  </si>
  <si>
    <t>COMBO MAYORISTA - EDASA GT - AREA SUR - OCTUBRE</t>
  </si>
  <si>
    <t>900092</t>
  </si>
  <si>
    <t>COMBO MAYORISTA - EDASA MAYO - AREA SUR - OCTUBRE</t>
  </si>
  <si>
    <t>900093</t>
  </si>
  <si>
    <t>COMBO MAYORISTA - EDASA GT - COSTA PATAGONIA</t>
  </si>
  <si>
    <t>900094</t>
  </si>
  <si>
    <t>COMBO 1,5lts - AREA SUR</t>
  </si>
  <si>
    <t>900098</t>
  </si>
  <si>
    <t>COMBO GIN CORTÁ LA SED</t>
  </si>
  <si>
    <t>900099</t>
  </si>
  <si>
    <t>COMBO 2.2 500CC - ON - AREA SUR</t>
  </si>
  <si>
    <t>900100</t>
  </si>
  <si>
    <t>COMBO FIESTA (SIDRA PERA + NOVECENTO)</t>
  </si>
  <si>
    <t>900101</t>
  </si>
  <si>
    <t>COMBO FIESTA (SIDRA DOLCE + NOVECENTO)</t>
  </si>
  <si>
    <t>900102</t>
  </si>
  <si>
    <t>COMBO FIESTA (SIDRA DEMI SEC + NOVECENTO)</t>
  </si>
  <si>
    <t>900103</t>
  </si>
  <si>
    <t>COMBO FIESTA CON EXTRA DULCE</t>
  </si>
  <si>
    <t>900104</t>
  </si>
  <si>
    <t>COMBO 4.3 PEPSI - ON - AREA SUR</t>
  </si>
  <si>
    <t>900106</t>
  </si>
  <si>
    <t>COMBO 2.3 500CC - ON - AREA SUR</t>
  </si>
  <si>
    <t>900108</t>
  </si>
  <si>
    <t>COMBO 0.0% ALTO DROP</t>
  </si>
  <si>
    <t>900109</t>
  </si>
  <si>
    <t>COMBO 0.0% BAJO DROP</t>
  </si>
  <si>
    <t>900110</t>
  </si>
  <si>
    <t>900111</t>
  </si>
  <si>
    <t>900113</t>
  </si>
  <si>
    <t>COMBO IMPERDIBLE! 96 bl Bidones Nestle 55% DTO + 40 bl Eco 1,5 25% DTO!</t>
  </si>
  <si>
    <t>900115</t>
  </si>
  <si>
    <t>COMBO 1.2 LATAS - ON - AREA SUR</t>
  </si>
  <si>
    <t>900116</t>
  </si>
  <si>
    <t>COMBO FIESTAS! 5</t>
  </si>
  <si>
    <t>900117</t>
  </si>
  <si>
    <t>*SIN ALCOHOL  N°1*</t>
  </si>
  <si>
    <t>900118</t>
  </si>
  <si>
    <t>*SIN ALCOHOL  N°2*</t>
  </si>
  <si>
    <t>900119</t>
  </si>
  <si>
    <t>*SIN ALCOHOL N°1*</t>
  </si>
  <si>
    <t>900120</t>
  </si>
  <si>
    <t>*SIN ALCOHOL N°2*</t>
  </si>
  <si>
    <t>900123</t>
  </si>
  <si>
    <t>Combo Mix Stella 2</t>
  </si>
  <si>
    <t>900124</t>
  </si>
  <si>
    <t>Combo Stella Sin cargo 2</t>
  </si>
  <si>
    <t>900125</t>
  </si>
  <si>
    <t>COMBO LOCO 1.1 (CON STILL 1,5LTS) - AREA SUR - 40%</t>
  </si>
  <si>
    <t>900126</t>
  </si>
  <si>
    <t>COMBO LOCO 2.7 (CON STILL 1,5LTS) - AREA SUR</t>
  </si>
  <si>
    <t>900133</t>
  </si>
  <si>
    <t>COMBO LOCO 1.4-AREA SUR 40%</t>
  </si>
  <si>
    <t>900134</t>
  </si>
  <si>
    <t>COMBO LOCO 1.2 (con still POM) - AREA SUR - 40%</t>
  </si>
  <si>
    <t>900135</t>
  </si>
  <si>
    <t>COMBO LOCO 1.1 (con still POM) - AREA SUR - 40%</t>
  </si>
  <si>
    <t>900136</t>
  </si>
  <si>
    <t>900137</t>
  </si>
  <si>
    <t>COMBO STILL 2L KT - LANZAMIENTO</t>
  </si>
  <si>
    <t>900138</t>
  </si>
  <si>
    <t>COMBO STILL 2L AS - LANZAMIENTO</t>
  </si>
  <si>
    <t>900141</t>
  </si>
  <si>
    <t>COMBO LOCO AS x6</t>
  </si>
  <si>
    <t>900142</t>
  </si>
  <si>
    <t>COMBO GTD - AS - AREA SUR</t>
  </si>
  <si>
    <t>900143</t>
  </si>
  <si>
    <t>900144</t>
  </si>
  <si>
    <t>COMBO LOCO 1.3 - REF - AREA SUR</t>
  </si>
  <si>
    <t>900145</t>
  </si>
  <si>
    <t>COMBO LOCO 2.3 - REF - AREA SUR</t>
  </si>
  <si>
    <t>900146</t>
  </si>
  <si>
    <t>COMBO RED BULL 3x2 (segmento C) Marzo</t>
  </si>
  <si>
    <t>900147</t>
  </si>
  <si>
    <t>COMBO RED BULL + AGUAS 50% OFF</t>
  </si>
  <si>
    <t>900148</t>
  </si>
  <si>
    <t>COMBO RED BULL + GTD (segmento A y B)</t>
  </si>
  <si>
    <t>900149</t>
  </si>
  <si>
    <t>COMBO RED BULL 20% - OP 1</t>
  </si>
  <si>
    <t>900150</t>
  </si>
  <si>
    <t>COMBO RED BULL 20% - OP 2</t>
  </si>
  <si>
    <t>900151</t>
  </si>
  <si>
    <t>COMBO RED BULL 20% - OP 3</t>
  </si>
  <si>
    <t>900152</t>
  </si>
  <si>
    <t>COMBO RED BULL 20% - OP 5</t>
  </si>
  <si>
    <t>900153</t>
  </si>
  <si>
    <t>COMBO RED BULL 20% - OP 6</t>
  </si>
  <si>
    <t>900154</t>
  </si>
  <si>
    <t>COMBO RED BULL 20%- OP 7</t>
  </si>
  <si>
    <t>900155</t>
  </si>
  <si>
    <t>COMBO RED BULL 20% - OP 8</t>
  </si>
  <si>
    <t>900156</t>
  </si>
  <si>
    <t>COMBO GTD 1.2 - AS - AREA SUR</t>
  </si>
  <si>
    <t>900157</t>
  </si>
  <si>
    <t>COMBO GATORADE</t>
  </si>
  <si>
    <t>900158</t>
  </si>
  <si>
    <t>COMBO LOCO 1.1 - AS - AREA SUR</t>
  </si>
  <si>
    <t>900159</t>
  </si>
  <si>
    <t>COMBO LOCO 1.3 (sin GTD) - REF - AREA SUR</t>
  </si>
  <si>
    <t>900160</t>
  </si>
  <si>
    <t>COMBO CNC UNG 1.1 - AREA SUR</t>
  </si>
  <si>
    <t>900161</t>
  </si>
  <si>
    <t>COMBO RE LOCO</t>
  </si>
  <si>
    <t>900162</t>
  </si>
  <si>
    <t>900165</t>
  </si>
  <si>
    <t>COMBO H2OH! STILL 500CC - REF - AREA SUR</t>
  </si>
  <si>
    <t>900166</t>
  </si>
  <si>
    <t>Combo Rubias AC</t>
  </si>
  <si>
    <t>900169</t>
  </si>
  <si>
    <t>COMBO QUILMES Y MANÍ</t>
  </si>
  <si>
    <t>900170</t>
  </si>
  <si>
    <t>COMBO QUILMES Y VINO</t>
  </si>
  <si>
    <t>900171</t>
  </si>
  <si>
    <t>COMBO RED BULL</t>
  </si>
  <si>
    <t>900173</t>
  </si>
  <si>
    <t>COMBO VINO DANTE + ESPUMANTE</t>
  </si>
  <si>
    <t>900174</t>
  </si>
  <si>
    <t>*COMBO LATONES 2 - ALTO DROP* VIEJO</t>
  </si>
  <si>
    <t>900179</t>
  </si>
  <si>
    <t>900181</t>
  </si>
  <si>
    <t>COMBO AGUAS PATAGONIA JUNIO-JULIO V1</t>
  </si>
  <si>
    <t>900182</t>
  </si>
  <si>
    <t>COMBO LOCO</t>
  </si>
  <si>
    <t>900183</t>
  </si>
  <si>
    <t>900184</t>
  </si>
  <si>
    <t>Combo Andes Origen Litro</t>
  </si>
  <si>
    <t>900185</t>
  </si>
  <si>
    <t>900186</t>
  </si>
  <si>
    <t>Combo LATA: Brahma + Quilmes</t>
  </si>
  <si>
    <t>900187</t>
  </si>
  <si>
    <t>COMBO QUILMES CLÁSICA + DR LEGADO BLANCO</t>
  </si>
  <si>
    <t>900188</t>
  </si>
  <si>
    <t>Copia Combo LATA: Brahma + 1890</t>
  </si>
  <si>
    <t>900189</t>
  </si>
  <si>
    <t>900191</t>
  </si>
  <si>
    <t>900192</t>
  </si>
  <si>
    <t>900193</t>
  </si>
  <si>
    <t>*COMBO SIN ALCOHOL N°1* AGOSTO</t>
  </si>
  <si>
    <t>900194</t>
  </si>
  <si>
    <t>*COMBO SIN ALCOHOL N°2* AGOSTO</t>
  </si>
  <si>
    <t>900195</t>
  </si>
  <si>
    <t>*COMBO SIN ALCOHOL N°3* AGOSTO</t>
  </si>
  <si>
    <t>900196</t>
  </si>
  <si>
    <t>*COMBO SIN ALCOHOL N°4* AGOSTO</t>
  </si>
  <si>
    <t>900197</t>
  </si>
  <si>
    <t>*COMBO AO LITRO - REF*</t>
  </si>
  <si>
    <t>900198</t>
  </si>
  <si>
    <t>*COMBO AO 473 - REF*</t>
  </si>
  <si>
    <t>900199</t>
  </si>
  <si>
    <t>*COMBO PAT 730 - REF*</t>
  </si>
  <si>
    <t>900200</t>
  </si>
  <si>
    <t>LLEVA MAS, PAGA MENOS!!!!! 40% OFF!</t>
  </si>
  <si>
    <t>900201</t>
  </si>
  <si>
    <t>*COMBO LATONES 1 - BAJO DROP*</t>
  </si>
  <si>
    <t>900203</t>
  </si>
  <si>
    <t>COMBO LECHES</t>
  </si>
  <si>
    <t>900204</t>
  </si>
  <si>
    <t>COMBO HARINA + ARROZ</t>
  </si>
  <si>
    <t>900205</t>
  </si>
  <si>
    <t>37% OFF en Bidón Nestlé + Eco</t>
  </si>
  <si>
    <t>900206</t>
  </si>
  <si>
    <t>*COMBO CORONA REF - PATAGONIA OP 1*</t>
  </si>
  <si>
    <t>900207</t>
  </si>
  <si>
    <t>SUPER COMBO AGUAS 35%OFF</t>
  </si>
  <si>
    <t>900208</t>
  </si>
  <si>
    <t>900209</t>
  </si>
  <si>
    <t>900210</t>
  </si>
  <si>
    <t>900211</t>
  </si>
  <si>
    <t>900212</t>
  </si>
  <si>
    <t>COMBO RED BULL SEPT</t>
  </si>
  <si>
    <t>900214</t>
  </si>
  <si>
    <t>*COMBO VAR PATAGONIA - Patagonia*</t>
  </si>
  <si>
    <t>900215</t>
  </si>
  <si>
    <t>*Combo Enemigo Premium - AD* OPC2</t>
  </si>
  <si>
    <t>900216</t>
  </si>
  <si>
    <t>COMBO FAMILIARES</t>
  </si>
  <si>
    <t>900217</t>
  </si>
  <si>
    <t>COMBO RED BULL OCTUBRE</t>
  </si>
  <si>
    <t>900218</t>
  </si>
  <si>
    <t>2026 COMBO Merch 11</t>
  </si>
  <si>
    <t>900219</t>
  </si>
  <si>
    <t>COMBO 2L</t>
  </si>
  <si>
    <t>900220</t>
  </si>
  <si>
    <t>COMBO PEPSI</t>
  </si>
  <si>
    <t>900221</t>
  </si>
  <si>
    <t>COMBO 1,5 L</t>
  </si>
  <si>
    <t>900222</t>
  </si>
  <si>
    <t>COMBO GATORADE 500ML</t>
  </si>
  <si>
    <t>900223</t>
  </si>
  <si>
    <t>900224</t>
  </si>
  <si>
    <t>900225</t>
  </si>
  <si>
    <t>Super combo Aguas 35%OFF</t>
  </si>
  <si>
    <t>900226</t>
  </si>
  <si>
    <t>COMBO ECO 500 + ECO 1.5L</t>
  </si>
  <si>
    <t>900227</t>
  </si>
  <si>
    <t>4 CAJAS DE NOVECENTO + 2 DANTE: DTO EXCLUSIVO</t>
  </si>
  <si>
    <t>900228</t>
  </si>
  <si>
    <t>*Combo AO lata bajo drop* OP2</t>
  </si>
  <si>
    <t>900229</t>
  </si>
  <si>
    <t>*Combo AO lata alto drop* OP 2</t>
  </si>
  <si>
    <t>900230</t>
  </si>
  <si>
    <t>COMBO Vinos</t>
  </si>
  <si>
    <t>900231</t>
  </si>
  <si>
    <t>COMBO Vinos 2</t>
  </si>
  <si>
    <t>900232</t>
  </si>
  <si>
    <t>COMBO Roger</t>
  </si>
  <si>
    <t>900233</t>
  </si>
  <si>
    <t>Copia 37% OFF en Bidón Nestlé + Eco 2L</t>
  </si>
  <si>
    <t>900234</t>
  </si>
  <si>
    <t>COMBO CNC CZA N2</t>
  </si>
  <si>
    <t>900235</t>
  </si>
  <si>
    <t>Super Combo 40% OFF Bidón NPV 6.4 L + Eco 15.L</t>
  </si>
  <si>
    <t>900236</t>
  </si>
  <si>
    <t>Super Combo 40% OFF Bidón NPV+ Eco 15.l</t>
  </si>
  <si>
    <t>900237</t>
  </si>
  <si>
    <t>COMBO RED BULL DIC</t>
  </si>
  <si>
    <t>900238</t>
  </si>
  <si>
    <t>COMBO PEPSI REF</t>
  </si>
  <si>
    <t>900239</t>
  </si>
  <si>
    <t>COMBO H2O STILL</t>
  </si>
  <si>
    <t>900240</t>
  </si>
  <si>
    <t>900241</t>
  </si>
  <si>
    <t>2026 COMBO Merch 4</t>
  </si>
  <si>
    <t>900242</t>
  </si>
  <si>
    <t>COMBO brunch birrero</t>
  </si>
  <si>
    <t>900243</t>
  </si>
  <si>
    <t>COMBO lo como con birra</t>
  </si>
  <si>
    <t>900244</t>
  </si>
  <si>
    <t>COMBO Rollo playero</t>
  </si>
  <si>
    <t>900245</t>
  </si>
  <si>
    <t>*Combo Sin Alcohol Bajo Drop N1* Octubre</t>
  </si>
  <si>
    <t>900246</t>
  </si>
  <si>
    <t>Super combo Aguas 32% OFF</t>
  </si>
  <si>
    <t>900247</t>
  </si>
  <si>
    <t>Super Combo Aguas 32% OFF</t>
  </si>
  <si>
    <t>900248</t>
  </si>
  <si>
    <t>COPIA COPIA 37% OFF EN BIDÓN NESTLÉ + ECO 2L</t>
  </si>
  <si>
    <t>900249</t>
  </si>
  <si>
    <t>COPIA COPIA COPIA 37% OFF EN BIDÓN NESTLÉ + ECO 2L</t>
  </si>
  <si>
    <t>900250</t>
  </si>
  <si>
    <t>COMBO El pack de brindis</t>
  </si>
  <si>
    <t>900251</t>
  </si>
  <si>
    <t>COMBO El mas dulce del año</t>
  </si>
  <si>
    <t>900252</t>
  </si>
  <si>
    <t>COMBO El dúo dinámico</t>
  </si>
  <si>
    <t>900253</t>
  </si>
  <si>
    <t>COMBO La dupla eterna</t>
  </si>
  <si>
    <t>900256</t>
  </si>
  <si>
    <t>COMBO El dúo dinamico!</t>
  </si>
  <si>
    <t>900257</t>
  </si>
  <si>
    <t>COMBO El pack del brindis!</t>
  </si>
  <si>
    <t>900258</t>
  </si>
  <si>
    <t>COMBO VOLUMEN LITRO - PATAGONIA</t>
  </si>
  <si>
    <t>900262</t>
  </si>
  <si>
    <t>COMBO Pack navideño</t>
  </si>
  <si>
    <t>900263</t>
  </si>
  <si>
    <t>COMBO Edición brindis</t>
  </si>
  <si>
    <t>900264</t>
  </si>
  <si>
    <t>COMBO "COMPLETO"</t>
  </si>
  <si>
    <t>900266</t>
  </si>
  <si>
    <t>COMBO CORONA</t>
  </si>
  <si>
    <t>900267</t>
  </si>
  <si>
    <t>COMBO PEPSI 3L</t>
  </si>
  <si>
    <t>900268</t>
  </si>
  <si>
    <t>COMBO GTD + RB FEB</t>
  </si>
  <si>
    <t>900269</t>
  </si>
  <si>
    <t>Copia COMBO ECO 500 + ECO 1.5L</t>
  </si>
  <si>
    <t>900270</t>
  </si>
  <si>
    <t>Copia Copia Copia 37% OFF en Bidón Nestlé + Eco 2L</t>
  </si>
  <si>
    <t>900271</t>
  </si>
  <si>
    <t>*Combo SIN ALCOHOL N°2* OCTUBRE</t>
  </si>
  <si>
    <t>900272</t>
  </si>
  <si>
    <t>COMBO MIRINDA</t>
  </si>
  <si>
    <t>900273</t>
  </si>
  <si>
    <t>COMBO DUO VERANIEGO 2</t>
  </si>
  <si>
    <t>900274</t>
  </si>
  <si>
    <t>COMBO LATONES ALTO DROP 7</t>
  </si>
  <si>
    <t>900275</t>
  </si>
  <si>
    <t>COMBO 1,5 + GTD</t>
  </si>
  <si>
    <t>900276</t>
  </si>
  <si>
    <t>900277</t>
  </si>
  <si>
    <t>Combo Premium BD</t>
  </si>
  <si>
    <t>900278</t>
  </si>
  <si>
    <t>Combo Premium AD</t>
  </si>
  <si>
    <t>900279</t>
  </si>
  <si>
    <t>COMBO 1.5L</t>
  </si>
  <si>
    <t>900281</t>
  </si>
  <si>
    <t>COMBO LOCO PATAGONIA SUR</t>
  </si>
  <si>
    <t>900282</t>
  </si>
  <si>
    <t>COMBO GTD - PATAGONIA</t>
  </si>
  <si>
    <t>900283</t>
  </si>
  <si>
    <t>COMBO RE LOCO - PATAGONIA SUR</t>
  </si>
  <si>
    <t>900285</t>
  </si>
  <si>
    <t>PATAGONIA - COMBO LATONES ALTO DROP 2</t>
  </si>
  <si>
    <t>900286</t>
  </si>
  <si>
    <t>COMBO ANDES ORIGEN</t>
  </si>
  <si>
    <t>900287</t>
  </si>
  <si>
    <t>COMBO STELLA ARTOIS</t>
  </si>
  <si>
    <t>900288</t>
  </si>
  <si>
    <t>PATAGONIA COMBO LATONES - ALTO DROP 2</t>
  </si>
  <si>
    <t>900289</t>
  </si>
  <si>
    <t>PATAGONIA - COMBO LATONES BAJO DROP 2</t>
  </si>
  <si>
    <t>900291</t>
  </si>
  <si>
    <t>COMBO LIONEL PAT</t>
  </si>
  <si>
    <t>900292</t>
  </si>
  <si>
    <t>2026 COMBO merch 12</t>
  </si>
  <si>
    <t>900293</t>
  </si>
  <si>
    <t>2026 COMBO Merch 14</t>
  </si>
  <si>
    <t>900294</t>
  </si>
  <si>
    <t>COMBO LATONES PATAGONIA</t>
  </si>
  <si>
    <t>900295</t>
  </si>
  <si>
    <t>COMBO 0.0% SUR</t>
  </si>
  <si>
    <t>900296</t>
  </si>
  <si>
    <t>COMBO 0.0 AREA SUR</t>
  </si>
  <si>
    <t>900297</t>
  </si>
  <si>
    <t>900299</t>
  </si>
  <si>
    <t>*COMBO LATONES - BAJO DROP FEB*</t>
  </si>
  <si>
    <t>900300</t>
  </si>
  <si>
    <t>COMBO CARNAVAL</t>
  </si>
  <si>
    <t>900301</t>
  </si>
  <si>
    <t>COMBO H2Oh</t>
  </si>
  <si>
    <t>900303</t>
  </si>
  <si>
    <t>COMBO GTD 500cc</t>
  </si>
  <si>
    <t>900304</t>
  </si>
  <si>
    <t>COMBO GTD</t>
  </si>
  <si>
    <t>900306</t>
  </si>
  <si>
    <t>COMBO GASEOSAS Y RED BULL</t>
  </si>
  <si>
    <t>900307</t>
  </si>
  <si>
    <t>COMBO GASEOSAS</t>
  </si>
  <si>
    <t>900308</t>
  </si>
  <si>
    <t>COMBO GASEOSAS 1.5L</t>
  </si>
  <si>
    <t>900309</t>
  </si>
  <si>
    <t>900310</t>
  </si>
  <si>
    <t>900311</t>
  </si>
  <si>
    <t>*COMBO LATONES - FEB OP3*</t>
  </si>
  <si>
    <t>900312</t>
  </si>
  <si>
    <t>Combo H2Oh SS KT</t>
  </si>
  <si>
    <t>900314</t>
  </si>
  <si>
    <t>900315</t>
  </si>
  <si>
    <t>COMBO GTD 500CC</t>
  </si>
  <si>
    <t>900316</t>
  </si>
  <si>
    <t>900317</t>
  </si>
  <si>
    <t>COMBO AGUAS BIDION GLACIAR + ECO 1,5LT PATAGONIA</t>
  </si>
  <si>
    <t>900318</t>
  </si>
  <si>
    <t>*VUELTA AL COLE - PATAGONIA*</t>
  </si>
  <si>
    <t>900319</t>
  </si>
  <si>
    <t>900320</t>
  </si>
  <si>
    <t>900321</t>
  </si>
  <si>
    <t>COMBO H2OH</t>
  </si>
  <si>
    <t>900322</t>
  </si>
  <si>
    <t>900323</t>
  </si>
  <si>
    <t>COMBO GASEOSAS + RED BULL</t>
  </si>
  <si>
    <t>900324</t>
  </si>
  <si>
    <t>900325</t>
  </si>
  <si>
    <t>900326</t>
  </si>
  <si>
    <t>900327</t>
  </si>
  <si>
    <t>900328</t>
  </si>
  <si>
    <t>COMBO RE LOCO - PATAGONIA</t>
  </si>
  <si>
    <t>900329</t>
  </si>
  <si>
    <t>COMBO CERVEZA: SIXPACK LATA QC + SIXPACK LATA BR</t>
  </si>
  <si>
    <t>900330</t>
  </si>
  <si>
    <t>COMBO INDIVIDUALES</t>
  </si>
  <si>
    <t>900331</t>
  </si>
  <si>
    <t>900332</t>
  </si>
  <si>
    <t>900334</t>
  </si>
  <si>
    <t>900335</t>
  </si>
  <si>
    <t>900336</t>
  </si>
  <si>
    <t>900337</t>
  </si>
  <si>
    <t>COMBO STELLA Y MICHELOB - REF PATAGONIA - 2</t>
  </si>
  <si>
    <t>900338</t>
  </si>
  <si>
    <t>COMBO FAMILIARES - Patagonia 3</t>
  </si>
  <si>
    <t>900339</t>
  </si>
  <si>
    <t>COMBO GATORADE - PAT</t>
  </si>
  <si>
    <t>900340</t>
  </si>
  <si>
    <t>Combo Redbull a 25% OFF</t>
  </si>
  <si>
    <t>900341</t>
  </si>
  <si>
    <t>COMBO PEPSI 1,5L + 2L</t>
  </si>
  <si>
    <t>900342</t>
  </si>
  <si>
    <t>COMBO GTD + RED BULL</t>
  </si>
  <si>
    <t>900343</t>
  </si>
  <si>
    <t>900344</t>
  </si>
  <si>
    <t>900345</t>
  </si>
  <si>
    <t>900346</t>
  </si>
  <si>
    <t>COMBO RELAMPAGO</t>
  </si>
  <si>
    <t>900347</t>
  </si>
  <si>
    <t>COMBO GTD MZN + RED BULL</t>
  </si>
  <si>
    <t>900348</t>
  </si>
  <si>
    <t>COMBO GTD MZN/NAR/FT + RED BULL</t>
  </si>
  <si>
    <t>900349</t>
  </si>
  <si>
    <t>900350</t>
  </si>
  <si>
    <t>COMBO Individuales PEPSI - PAT 2</t>
  </si>
  <si>
    <t>900351</t>
  </si>
  <si>
    <t>Combo Gatorade - PAT Abril</t>
  </si>
  <si>
    <t>900352</t>
  </si>
  <si>
    <t>Combo 7up - PAT 1 Abril</t>
  </si>
  <si>
    <t>900353</t>
  </si>
  <si>
    <t>COMBO PEPSI - PAT Sur Abril</t>
  </si>
  <si>
    <t>900354</t>
  </si>
  <si>
    <t>Combo Redbull a 20% OFF</t>
  </si>
  <si>
    <t>900355</t>
  </si>
  <si>
    <t>COMBO GIN CORTÁ LA SED - AREA SUR</t>
  </si>
  <si>
    <t>900357</t>
  </si>
  <si>
    <t>900359</t>
  </si>
  <si>
    <t>COMBO GATORADE + PEPSI</t>
  </si>
  <si>
    <t>900360</t>
  </si>
  <si>
    <t>Combo Gatorade ZERO - SUR</t>
  </si>
  <si>
    <t>900361</t>
  </si>
  <si>
    <t>*Combo Energía - Patagonia 2*</t>
  </si>
  <si>
    <t>900362</t>
  </si>
  <si>
    <t>Combo Familiar Sabores - PAT 3</t>
  </si>
  <si>
    <t>900363</t>
  </si>
  <si>
    <t>Combo 7up - PAT Sur Abril</t>
  </si>
  <si>
    <t>900364</t>
  </si>
  <si>
    <t>Combo Familiares Pepsi - PAT SUR</t>
  </si>
  <si>
    <t>900365</t>
  </si>
  <si>
    <t>Combo Familiar Sabores AS - PAT SUR</t>
  </si>
  <si>
    <t>900366</t>
  </si>
  <si>
    <t>Combo Individuales Sabores - PAT 1</t>
  </si>
  <si>
    <t>900367</t>
  </si>
  <si>
    <t>Combo Gatorade AS - PAT</t>
  </si>
  <si>
    <t>900368</t>
  </si>
  <si>
    <t>Combo H2Oh Individuales - PAT</t>
  </si>
  <si>
    <t>900369</t>
  </si>
  <si>
    <t>COMBO Merch mundial</t>
  </si>
  <si>
    <t>900370</t>
  </si>
  <si>
    <t>900372</t>
  </si>
  <si>
    <t>*COMBO PEPSI - PAT Sur Mayo*</t>
  </si>
  <si>
    <t>900373</t>
  </si>
  <si>
    <t>Combo Familiar Sabores - PAT Mayo</t>
  </si>
  <si>
    <t>900374</t>
  </si>
  <si>
    <t>*Combo Familiar AS - PAT SUR*</t>
  </si>
  <si>
    <t>900375</t>
  </si>
  <si>
    <t>Combo Individuales Sabores - PAT 1 Mayo</t>
  </si>
  <si>
    <t>900376</t>
  </si>
  <si>
    <t>*COMBO GATORADE K+T - Julio*</t>
  </si>
  <si>
    <t>900377</t>
  </si>
  <si>
    <t>*COMBO GATORADE AS - Julio*</t>
  </si>
  <si>
    <t>900378</t>
  </si>
  <si>
    <t>COMBO PDT 1 - PAT Mayo</t>
  </si>
  <si>
    <t>900380</t>
  </si>
  <si>
    <t>COMBO SURTIDO AGUAS - HASTA 26%</t>
  </si>
  <si>
    <t>900384</t>
  </si>
  <si>
    <t>COMBO REDBULL A 18% OFF</t>
  </si>
  <si>
    <t>900385</t>
  </si>
  <si>
    <t>Combo Gatorade ZERO</t>
  </si>
  <si>
    <t>900386</t>
  </si>
  <si>
    <t>COMBO ENERGIA - PATAGONIA</t>
  </si>
  <si>
    <t>900387</t>
  </si>
  <si>
    <t>COMBO SS SABORES 1 - PAT SUR 1</t>
  </si>
  <si>
    <t>900388</t>
  </si>
  <si>
    <t>COMBO LOCO - PAT 1</t>
  </si>
  <si>
    <t>900389</t>
  </si>
  <si>
    <t>COMBO MS SABORES - PAT</t>
  </si>
  <si>
    <t>900390</t>
  </si>
  <si>
    <t>COMBO CONVIVENCIA PEPSI - PAT SUR</t>
  </si>
  <si>
    <t>900391</t>
  </si>
  <si>
    <t>*COMBO MIRINDA - SUR*</t>
  </si>
  <si>
    <t>900392</t>
  </si>
  <si>
    <t>*COMBO GTD 750cc*</t>
  </si>
  <si>
    <t>900394</t>
  </si>
  <si>
    <t>COMBO 0.0 LOGISTICA TOTAL  KT (JUNIO)</t>
  </si>
  <si>
    <t>900395</t>
  </si>
  <si>
    <t>Combo Eco 500 + GATORADE Tropical HASTA 25% OFF</t>
  </si>
  <si>
    <t>900396</t>
  </si>
  <si>
    <t>Combo Eco 1,5lT + Pepsi 2lt HASTA 18% OFF</t>
  </si>
  <si>
    <t>900397</t>
  </si>
  <si>
    <t>COMBO LATAS - PAT SUR</t>
  </si>
  <si>
    <t>900398</t>
  </si>
  <si>
    <t>COMBO PET 500 - PAT 4</t>
  </si>
  <si>
    <t>900399</t>
  </si>
  <si>
    <t>COMBO 0.0 KT (JUNIO)</t>
  </si>
  <si>
    <t>900401</t>
  </si>
  <si>
    <t>COMBO ENERGIA</t>
  </si>
  <si>
    <t>900402</t>
  </si>
  <si>
    <t>Combo full energy</t>
  </si>
  <si>
    <t>900403</t>
  </si>
  <si>
    <t>900404</t>
  </si>
  <si>
    <t>COMBO SABORIZADAS</t>
  </si>
  <si>
    <t>900405</t>
  </si>
  <si>
    <t>COMBO BLACK</t>
  </si>
  <si>
    <t>900406</t>
  </si>
  <si>
    <t>900407</t>
  </si>
  <si>
    <t>COMBO MICHELOB - PATAGONIA - KT</t>
  </si>
  <si>
    <t>900408</t>
  </si>
  <si>
    <t>COMBO PEPSI - SUR</t>
  </si>
  <si>
    <t>900409</t>
  </si>
  <si>
    <t>COMBO 7UP - PAT</t>
  </si>
  <si>
    <t>900410</t>
  </si>
  <si>
    <t>COMBO 1500cc - PAT</t>
  </si>
  <si>
    <t>900411</t>
  </si>
  <si>
    <t>COMBO ENERGÍA - PAT</t>
  </si>
  <si>
    <t>900412</t>
  </si>
  <si>
    <t>COMBO LOCO KIOSCOS - PAT</t>
  </si>
  <si>
    <t>900413</t>
  </si>
  <si>
    <t>COMBO LOCO JULIO - PAT</t>
  </si>
  <si>
    <t>900416</t>
  </si>
  <si>
    <t>COMBO MUNDIAL: 2X1 EN LITRO Y LATA QUILMES.</t>
  </si>
  <si>
    <t>900417</t>
  </si>
  <si>
    <t>COMBO MUNDIAL: 2X1 EN LITRO Y LATON QUILMES.</t>
  </si>
  <si>
    <t>900418</t>
  </si>
  <si>
    <t>COMBO MUNDIAL: 2X1 EN LATA Y LATON QUILMES.</t>
  </si>
  <si>
    <t>900419</t>
  </si>
  <si>
    <t>COMBO MUNDIAL QUILMES - PATAGONIA - REF</t>
  </si>
  <si>
    <t>900420</t>
  </si>
  <si>
    <t>Combo ECO 1,5L con &amp; sin gas con un 16% OFF</t>
  </si>
  <si>
    <t>900421</t>
  </si>
  <si>
    <t>Combo Bidon Nestle 16% + Eco 1,5 + Eco 2 Lt 20% OFF</t>
  </si>
  <si>
    <t>900422</t>
  </si>
  <si>
    <t>Combo ECO 850cc + Glaciar Go 750cc 26% OFF</t>
  </si>
  <si>
    <t>900423</t>
  </si>
  <si>
    <t>Combo RED BULL con un 20% OFF</t>
  </si>
  <si>
    <t>900424</t>
  </si>
  <si>
    <t>Combo Redbull a 10% OFF</t>
  </si>
  <si>
    <t>900425</t>
  </si>
  <si>
    <t>Combo ECO 500 con &amp; sin gas con un 26% OFF</t>
  </si>
  <si>
    <t>900426</t>
  </si>
  <si>
    <t>Combo Bidon Glaciar 6.4 + Eco 1,5 + Eco 2 Lt  16% OFF</t>
  </si>
  <si>
    <t>900427</t>
  </si>
  <si>
    <t>Combo ECO 1,5L + BIDON Glaciar 6.4. 16% OFF</t>
  </si>
  <si>
    <t>900428</t>
  </si>
  <si>
    <t>COMBO LATONES - BRAHMA Y QUILMES - PATAGONIA</t>
  </si>
  <si>
    <t>900429</t>
  </si>
  <si>
    <t>COMBO STELLA PORRON 330 LAGER + PURE GOLD</t>
  </si>
  <si>
    <t>900430</t>
  </si>
  <si>
    <t>PROMO STELLA LATA 10% LAGER + PURE GOLD PATAGONIA</t>
  </si>
  <si>
    <t>900431</t>
  </si>
  <si>
    <t>Combo 3L + GTD - PATAGONIA</t>
  </si>
  <si>
    <t>900432</t>
  </si>
  <si>
    <t>Combo NS 2,25 + GTD - PATAGONIA</t>
  </si>
  <si>
    <t>900433</t>
  </si>
  <si>
    <t>COMBO 3L + GTD 500 - PAT MAY</t>
  </si>
  <si>
    <t>900434</t>
  </si>
  <si>
    <t>COMBO NS 2,25 + GTD 500 - PATAGONIA</t>
  </si>
  <si>
    <t>900435</t>
  </si>
  <si>
    <t>COMBO AS GASEOSAS FAM - PATAGONIA SUR</t>
  </si>
  <si>
    <t>900436</t>
  </si>
  <si>
    <t>COMBO K+T GASEOSAS FAM - PATAGONIA SUR</t>
  </si>
  <si>
    <t>900437</t>
  </si>
  <si>
    <t>COMBO MAY GASEOSAS FAM - PATAGONIA SUR</t>
  </si>
  <si>
    <t>null</t>
  </si>
  <si>
    <t>Comparación de los 10 SKU</t>
  </si>
  <si>
    <t>Diferencias calculadas con los datos originales. El recargo observado se mide sobre Precio Base.</t>
  </si>
  <si>
    <t>Base exportación</t>
  </si>
  <si>
    <t>Final exportación</t>
  </si>
  <si>
    <t>Base lista</t>
  </si>
  <si>
    <t>Final lista</t>
  </si>
  <si>
    <t>Diferencia $</t>
  </si>
  <si>
    <t>Recargo / base</t>
  </si>
  <si>
    <t>Final con regla</t>
  </si>
  <si>
    <t>Diferencia residual</t>
  </si>
  <si>
    <t>Frescura Trelew: precio por unidad</t>
  </si>
  <si>
    <t>Ingresar precio unitario en F. Bultos en E precargados con stock del lote; ajustar si se bonifica una parte.</t>
  </si>
  <si>
    <t>Estado frescura de origen</t>
  </si>
  <si>
    <t>Stock lote / bultos</t>
  </si>
  <si>
    <t>Orden lote en origen</t>
  </si>
  <si>
    <t>Días p/ bloqueo de origen</t>
  </si>
  <si>
    <t>Final actual / unidad</t>
  </si>
  <si>
    <t>ACCIONAR</t>
  </si>
  <si>
    <t>OK</t>
  </si>
  <si>
    <t>ELIMINAR</t>
  </si>
  <si>
    <t>BLOQUEADO</t>
  </si>
  <si>
    <t>Gasto cargado sucursal</t>
  </si>
  <si>
    <t>Frescura Madryn: precio por unidad</t>
  </si>
  <si>
    <t>Final deseado / unidad2</t>
  </si>
  <si>
    <t>Final deseado / unidad 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</si>
</sst>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00"/>
    <numFmt numFmtId="165" formatCode="&quot;$&quot;#,##0.0000"/>
    <numFmt numFmtId="166" formatCode="0.00000%"/>
    <numFmt numFmtId="167" formatCode="dd/mm/yyyy"/>
    <numFmt numFmtId="168" formatCode="0.###"/>
    <numFmt numFmtId="169" formatCode="0.0000%"/>
    <numFmt numFmtId="170" formatCode="&quot;$&quot;#,##0.00"/>
    <numFmt numFmtId="171" formatCode="0.000"/>
  </numFmts>
  <fonts count="4">
    <font>
      <sz val="11"/>
      <name val="Carlito"/>
    </font>
    <font>
      <b/>
      <sz val="16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63B53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0" fontId="0" fillId="3" borderId="0" xfId="0" applyNumberFormat="1" applyFill="1"/>
    <xf numFmtId="0" fontId="0" fillId="3" borderId="0" xfId="0" applyFill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3" borderId="0" xfId="0" applyNumberFormat="1" applyFill="1"/>
    <xf numFmtId="167" fontId="0" fillId="3" borderId="0" xfId="0" applyNumberFormat="1" applyFill="1"/>
    <xf numFmtId="168" fontId="0" fillId="3" borderId="0" xfId="0" applyNumberFormat="1" applyFill="1"/>
    <xf numFmtId="164" fontId="0" fillId="3" borderId="0" xfId="0" applyNumberFormat="1" applyFill="1"/>
    <xf numFmtId="169" fontId="0" fillId="0" borderId="0" xfId="0" applyNumberFormat="1"/>
    <xf numFmtId="170" fontId="0" fillId="0" borderId="0" xfId="0" applyNumberFormat="1"/>
    <xf numFmtId="0" fontId="3" fillId="0" borderId="0" xfId="0" applyFont="1"/>
    <xf numFmtId="170" fontId="3" fillId="0" borderId="0" xfId="0" applyNumberFormat="1" applyFont="1"/>
    <xf numFmtId="0" fontId="0" fillId="4" borderId="0" xfId="0" applyFill="1"/>
    <xf numFmtId="171" fontId="0" fillId="0" borderId="0" xfId="0" applyNumberFormat="1"/>
    <xf numFmtId="167" fontId="0" fillId="4" borderId="0" xfId="0" applyNumberFormat="1" applyFill="1"/>
    <xf numFmtId="171" fontId="0" fillId="3" borderId="0" xfId="0" applyNumberFormat="1" applyFill="1"/>
  </cellXfs>
  <cellStyles count="1">
    <cellStyle name="Normal" xfId="0" builtinId="0"/>
  </cellStyles>
  <dxfs count="4">
    <dxf>
      <numFmt numFmtId="164" formatCode="&quot;$&quot;#,##0.000"/>
    </dxf>
    <dxf>
      <numFmt numFmtId="171" formatCode="0.000"/>
      <fill>
        <patternFill patternType="solid">
          <fgColor indexed="64"/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imulacionLotes" displayName="SimulacionLotes" ref="A4:L204" totalsRowShown="0">
  <tableColumns count="12">
    <tableColumn id="1" xr3:uid="{00000000-0010-0000-0000-000001000000}" name="SKU"/>
    <tableColumn id="2" xr3:uid="{00000000-0010-0000-0000-000002000000}" name="Descripción"/>
    <tableColumn id="3" xr3:uid="{00000000-0010-0000-0000-000003000000}" name="Unidades por bulto"/>
    <tableColumn id="4" xr3:uid="{00000000-0010-0000-0000-000004000000}" name="Vencimiento"/>
    <tableColumn id="5" xr3:uid="{00000000-0010-0000-0000-000005000000}" name="Bultos a descontar"/>
    <tableColumn id="6" xr3:uid="{00000000-0010-0000-0000-000006000000}" name="Final deseado / unidad"/>
    <tableColumn id="7" xr3:uid="{00000000-0010-0000-0000-000007000000}" name="Final actual / bulto"/>
    <tableColumn id="8" xr3:uid="{00000000-0010-0000-0000-000008000000}" name="Descuento requerido"/>
    <tableColumn id="9" xr3:uid="{00000000-0010-0000-0000-000009000000}" name="Importe cedido / bulto"/>
    <tableColumn id="10" xr3:uid="{00000000-0010-0000-0000-00000A000000}" name="Gasto total descuento"/>
    <tableColumn id="11" xr3:uid="{00000000-0010-0000-0000-00000B000000}" name="Final deseado / bulto"/>
    <tableColumn id="12" xr3:uid="{00000000-0010-0000-0000-00000C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talogoPrecios" displayName="CatalogoPrecios" ref="A4:J905" totalsRowShown="0">
  <tableColumns count="10">
    <tableColumn id="1" xr3:uid="{00000000-0010-0000-0100-000001000000}" name="SKU"/>
    <tableColumn id="2" xr3:uid="{00000000-0010-0000-0100-000002000000}" name="Descripción"/>
    <tableColumn id="3" xr3:uid="{00000000-0010-0000-0100-000003000000}" name="Unidades por bulto"/>
    <tableColumn id="4" xr3:uid="{00000000-0010-0000-0100-000004000000}" name="Bultos por pallet"/>
    <tableColumn id="5" xr3:uid="{00000000-0010-0000-0100-000005000000}" name="Lista"/>
    <tableColumn id="6" xr3:uid="{00000000-0010-0000-0100-000006000000}" name="Precio Base / bulto"/>
    <tableColumn id="7" xr3:uid="{00000000-0010-0000-0100-000007000000}" name="P. Final / bulto"/>
    <tableColumn id="8" xr3:uid="{00000000-0010-0000-0100-000008000000}" name="Final calculado / bulto"/>
    <tableColumn id="9" xr3:uid="{00000000-0010-0000-0100-000009000000}" name="Final calculado / unidad"/>
    <tableColumn id="10" xr3:uid="{00000000-0010-0000-0100-00000A000000}" name="Evi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tesTrelew" displayName="LotesTrelew" ref="A4:R198" totalsRowShown="0">
  <tableColumns count="18">
    <tableColumn id="1" xr3:uid="{00000000-0010-0000-0200-000001000000}" name="SKU"/>
    <tableColumn id="2" xr3:uid="{00000000-0010-0000-0200-000002000000}" name="Descripción"/>
    <tableColumn id="3" xr3:uid="{00000000-0010-0000-0200-000003000000}" name="Unidades por bulto"/>
    <tableColumn id="4" xr3:uid="{00000000-0010-0000-0200-000004000000}" name="Vencimiento"/>
    <tableColumn id="5" xr3:uid="{00000000-0010-0000-0200-000005000000}" name="Bultos a descontar"/>
    <tableColumn id="18" xr3:uid="{8556300C-3B9F-476D-858A-2888C9D51EFF}" name="Final deseado / unidad sugerido" dataDxfId="1"/>
    <tableColumn id="6" xr3:uid="{00000000-0010-0000-0200-000006000000}" name="Final deseado / unidad2" dataDxfId="0">
      <calculatedColumnFormula>+LotesTrelew[[#This Row],[Final deseado / unidad sugerido]]/1.3</calculatedColumnFormula>
    </tableColumn>
    <tableColumn id="7" xr3:uid="{00000000-0010-0000-0200-000007000000}" name="Final actual / bulto"/>
    <tableColumn id="8" xr3:uid="{00000000-0010-0000-0200-000008000000}" name="Descuento requerido"/>
    <tableColumn id="9" xr3:uid="{00000000-0010-0000-0200-000009000000}" name="Importe cedido / bulto"/>
    <tableColumn id="10" xr3:uid="{00000000-0010-0000-0200-00000A000000}" name="Gasto total descuento"/>
    <tableColumn id="11" xr3:uid="{00000000-0010-0000-0200-00000B000000}" name="Final deseado / bulto"/>
    <tableColumn id="12" xr3:uid="{00000000-0010-0000-0200-00000C000000}" name="Estado"/>
    <tableColumn id="13" xr3:uid="{00000000-0010-0000-0200-00000D000000}" name="Estado frescura de origen"/>
    <tableColumn id="14" xr3:uid="{00000000-0010-0000-0200-00000E000000}" name="Stock lote / bultos"/>
    <tableColumn id="15" xr3:uid="{00000000-0010-0000-0200-00000F000000}" name="Orden lote en origen"/>
    <tableColumn id="16" xr3:uid="{00000000-0010-0000-0200-000010000000}" name="Días p/ bloqueo de origen"/>
    <tableColumn id="17" xr3:uid="{00000000-0010-0000-0200-000011000000}" name="Final actual / 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otesMadryn" displayName="LotesMadryn" ref="A4:Q215" totalsRowShown="0">
  <tableColumns count="17">
    <tableColumn id="1" xr3:uid="{00000000-0010-0000-0300-000001000000}" name="SKU"/>
    <tableColumn id="2" xr3:uid="{00000000-0010-0000-0300-000002000000}" name="Descripción"/>
    <tableColumn id="3" xr3:uid="{00000000-0010-0000-0300-000003000000}" name="Unidades por bulto"/>
    <tableColumn id="4" xr3:uid="{00000000-0010-0000-0300-000004000000}" name="Vencimiento"/>
    <tableColumn id="5" xr3:uid="{00000000-0010-0000-0300-000005000000}" name="Bultos a descontar"/>
    <tableColumn id="6" xr3:uid="{00000000-0010-0000-0300-000006000000}" name="Final deseado / unidad"/>
    <tableColumn id="7" xr3:uid="{00000000-0010-0000-0300-000007000000}" name="Final actual / bulto"/>
    <tableColumn id="8" xr3:uid="{00000000-0010-0000-0300-000008000000}" name="Descuento requerido"/>
    <tableColumn id="9" xr3:uid="{00000000-0010-0000-0300-000009000000}" name="Importe cedido / bulto"/>
    <tableColumn id="10" xr3:uid="{00000000-0010-0000-0300-00000A000000}" name="Gasto total descuento"/>
    <tableColumn id="11" xr3:uid="{00000000-0010-0000-0300-00000B000000}" name="Final deseado / bulto"/>
    <tableColumn id="12" xr3:uid="{00000000-0010-0000-0300-00000C000000}" name="Estado"/>
    <tableColumn id="13" xr3:uid="{00000000-0010-0000-0300-00000D000000}" name="Estado frescura de origen"/>
    <tableColumn id="14" xr3:uid="{00000000-0010-0000-0300-00000E000000}" name="Stock lote / bultos"/>
    <tableColumn id="15" xr3:uid="{00000000-0010-0000-0300-00000F000000}" name="Orden lote en origen"/>
    <tableColumn id="16" xr3:uid="{00000000-0010-0000-0300-000010000000}" name="Días p/ bloqueo de origen"/>
    <tableColumn id="17" xr3:uid="{00000000-0010-0000-0300-000011000000}" name="Final actual / 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>
      <pane ySplit="4" topLeftCell="A5" activePane="bottomLeft" state="frozen"/>
      <selection pane="bottomLeft"/>
    </sheetView>
  </sheetViews>
  <sheetFormatPr baseColWidth="10" defaultColWidth="8.796875" defaultRowHeight="13.8"/>
  <cols>
    <col min="1" max="1" width="42" customWidth="1"/>
    <col min="2" max="2" width="115" customWidth="1"/>
  </cols>
  <sheetData>
    <row r="1" spans="1:2" ht="21">
      <c r="A1" s="1" t="s">
        <v>0</v>
      </c>
    </row>
    <row r="2" spans="1:2">
      <c r="A2" t="s">
        <v>1</v>
      </c>
    </row>
    <row r="4" spans="1:2" ht="42" customHeight="1">
      <c r="A4" s="2" t="s">
        <v>2</v>
      </c>
      <c r="B4" s="2" t="s">
        <v>3</v>
      </c>
    </row>
    <row r="5" spans="1:2">
      <c r="A5" t="s">
        <v>4</v>
      </c>
      <c r="B5" s="3">
        <v>0.03</v>
      </c>
    </row>
    <row r="6" spans="1:2">
      <c r="A6" t="s">
        <v>5</v>
      </c>
      <c r="B6" s="4">
        <v>3</v>
      </c>
    </row>
    <row r="7" spans="1:2" ht="36" customHeight="1">
      <c r="A7" t="s">
        <v>6</v>
      </c>
      <c r="B7" s="5" t="s">
        <v>7</v>
      </c>
    </row>
    <row r="8" spans="1:2" ht="36" customHeight="1">
      <c r="A8" t="s">
        <v>8</v>
      </c>
      <c r="B8" s="5" t="s">
        <v>9</v>
      </c>
    </row>
    <row r="9" spans="1:2" ht="36" customHeight="1">
      <c r="A9" t="s">
        <v>10</v>
      </c>
      <c r="B9" s="5" t="s">
        <v>11</v>
      </c>
    </row>
    <row r="10" spans="1:2" ht="36" customHeight="1">
      <c r="A10" t="s">
        <v>12</v>
      </c>
      <c r="B10" s="5" t="s">
        <v>13</v>
      </c>
    </row>
    <row r="11" spans="1:2" ht="36" customHeight="1">
      <c r="A11" t="s">
        <v>14</v>
      </c>
      <c r="B11" s="5" t="s">
        <v>15</v>
      </c>
    </row>
    <row r="12" spans="1:2" ht="36" customHeight="1">
      <c r="A12" t="s">
        <v>16</v>
      </c>
      <c r="B12" s="5" t="s">
        <v>17</v>
      </c>
    </row>
    <row r="13" spans="1:2" ht="36" customHeight="1">
      <c r="A13" t="s">
        <v>18</v>
      </c>
      <c r="B13" s="5" t="s">
        <v>19</v>
      </c>
    </row>
    <row r="14" spans="1:2" ht="36" customHeight="1">
      <c r="A14" t="s">
        <v>20</v>
      </c>
      <c r="B14" s="5" t="s">
        <v>21</v>
      </c>
    </row>
    <row r="15" spans="1:2" ht="36" customHeight="1">
      <c r="A15" t="s">
        <v>22</v>
      </c>
      <c r="B15" s="5" t="s">
        <v>23</v>
      </c>
    </row>
    <row r="16" spans="1:2" ht="36" customHeight="1">
      <c r="A16" t="s">
        <v>24</v>
      </c>
      <c r="B16" s="5" t="s">
        <v>25</v>
      </c>
    </row>
    <row r="17" spans="1:2" ht="36" customHeight="1">
      <c r="A17" t="s">
        <v>26</v>
      </c>
      <c r="B17" s="5" t="s">
        <v>27</v>
      </c>
    </row>
    <row r="18" spans="1:2" ht="40.049999999999997" customHeight="1">
      <c r="A18" t="s">
        <v>28</v>
      </c>
      <c r="B18" s="5" t="s">
        <v>29</v>
      </c>
    </row>
    <row r="19" spans="1:2" ht="40.049999999999997" customHeight="1">
      <c r="A19" t="s">
        <v>30</v>
      </c>
      <c r="B19" s="5" t="s">
        <v>31</v>
      </c>
    </row>
    <row r="20" spans="1:2" ht="40.049999999999997" customHeight="1">
      <c r="A20" t="s">
        <v>32</v>
      </c>
      <c r="B20" s="5" t="s">
        <v>33</v>
      </c>
    </row>
    <row r="21" spans="1:2" ht="40.049999999999997" customHeight="1">
      <c r="A21" t="s">
        <v>34</v>
      </c>
      <c r="B21" s="5" t="s">
        <v>35</v>
      </c>
    </row>
    <row r="22" spans="1:2" ht="40.049999999999997" customHeight="1">
      <c r="A22" t="s">
        <v>36</v>
      </c>
      <c r="B22" s="5" t="s">
        <v>37</v>
      </c>
    </row>
    <row r="23" spans="1:2" ht="40.049999999999997" customHeight="1">
      <c r="A23" t="s">
        <v>38</v>
      </c>
      <c r="B23" s="5" t="s">
        <v>39</v>
      </c>
    </row>
    <row r="24" spans="1:2" ht="40.049999999999997" customHeight="1">
      <c r="A24" t="s">
        <v>40</v>
      </c>
      <c r="B24" s="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5"/>
  <sheetViews>
    <sheetView showGridLines="0" workbookViewId="0">
      <pane ySplit="4" topLeftCell="A11" activePane="bottomLeft" state="frozen"/>
      <selection pane="bottomLeft"/>
    </sheetView>
  </sheetViews>
  <sheetFormatPr baseColWidth="10" defaultColWidth="8.796875" defaultRowHeight="13.8"/>
  <cols>
    <col min="1" max="1" width="14" customWidth="1"/>
    <col min="2" max="2" width="43" customWidth="1"/>
    <col min="3" max="3" width="14" customWidth="1"/>
    <col min="4" max="4" width="16" customWidth="1"/>
    <col min="5" max="5" width="17" customWidth="1"/>
    <col min="6" max="7" width="20" customWidth="1"/>
    <col min="8" max="8" width="18" customWidth="1"/>
    <col min="9" max="9" width="21" customWidth="1"/>
    <col min="10" max="10" width="22" customWidth="1"/>
    <col min="11" max="11" width="21" customWidth="1"/>
    <col min="12" max="12" width="34" customWidth="1"/>
  </cols>
  <sheetData>
    <row r="1" spans="1:12" ht="21">
      <c r="A1" s="1" t="s">
        <v>42</v>
      </c>
    </row>
    <row r="2" spans="1:12">
      <c r="A2" t="s">
        <v>43</v>
      </c>
    </row>
    <row r="4" spans="1:12" ht="42" customHeight="1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14</v>
      </c>
      <c r="I4" s="2" t="s">
        <v>51</v>
      </c>
      <c r="J4" s="2" t="s">
        <v>52</v>
      </c>
      <c r="K4" s="2" t="s">
        <v>53</v>
      </c>
      <c r="L4" s="2" t="s">
        <v>54</v>
      </c>
    </row>
    <row r="5" spans="1:12" ht="30" customHeight="1">
      <c r="A5" s="9" t="s">
        <v>55</v>
      </c>
      <c r="B5" s="5" t="str">
        <f>IF(A5="","",IF(COUNTIF(Catalogo!$A$5:$A$905,A5)=0,"SKU no encontrado",INDEX(Catalogo!$B$5:$B$905,MATCH(A5,Catalogo!$A$5:$A$905,0))))</f>
        <v>QUILMES - 4X6 LAT 473</v>
      </c>
      <c r="C5">
        <f>IF(OR(A5="",B5="SKU no encontrado"),"",INDEX(Catalogo!$C$5:$C$905,MATCH(A5,Catalogo!$A$5:$A$905,0)))</f>
        <v>24</v>
      </c>
      <c r="D5" s="10"/>
      <c r="E5" s="11"/>
      <c r="F5" s="12"/>
      <c r="G5" s="6">
        <f>IF(OR(A5="",B5="SKU no encontrado"),"",IF(INDEX(Catalogo!$H$5:$H$905,MATCH(A5,Catalogo!$A$5:$A$905,0))=0,"",INDEX(Catalogo!$H$5:$H$905,MATCH(A5,Catalogo!$A$5:$A$905,0))))</f>
        <v>48405.919000000002</v>
      </c>
      <c r="H5" s="13" t="str">
        <f t="shared" ref="H5:H36" si="0">IF(OR(G5="",F5="",F5&lt;0,C5&lt;=0,F5*C5&gt;G5),"",1-F5*C5/G5)</f>
        <v/>
      </c>
      <c r="I5" s="6" t="str">
        <f t="shared" ref="I5:I36" si="1">IF(H5="","",G5-F5*C5)</f>
        <v/>
      </c>
      <c r="J5" s="6" t="str">
        <f t="shared" ref="J5:J36" si="2">IF(OR(I5="",E5="",E5&lt;=0),"",I5*E5)</f>
        <v/>
      </c>
      <c r="K5" s="6" t="str">
        <f t="shared" ref="K5:K36" si="3">IF(OR(H5="",C5&lt;=0),"",F5*C5)</f>
        <v/>
      </c>
      <c r="L5" t="str">
        <f t="shared" ref="L5:L36" si="4">IF(A5="","",IF(B5="SKU no encontrado",B5,IF(G5="","Sin precio válido",IF(F5="","Completar precio deseado",IF(OR(F5&lt;0,C5&lt;=0,F5*C5&gt;G5),"Revisar precio deseado",IF(OR(E5="",E5&lt;=0),"Completar bultos","Estimado proporcional"))))))</f>
        <v>Completar precio deseado</v>
      </c>
    </row>
    <row r="6" spans="1:12" ht="30" customHeight="1">
      <c r="A6" s="9" t="s">
        <v>56</v>
      </c>
      <c r="B6" s="5" t="str">
        <f>IF(A6="","",IF(COUNTIF(Catalogo!$A$5:$A$905,A6)=0,"SKU no encontrado",INDEX(Catalogo!$B$5:$B$905,MATCH(A6,Catalogo!$A$5:$A$905,0))))</f>
        <v>ANDES ORIGEN IPA RET X12 1000</v>
      </c>
      <c r="C6">
        <f>IF(OR(A6="",B6="SKU no encontrado"),"",INDEX(Catalogo!$C$5:$C$905,MATCH(A6,Catalogo!$A$5:$A$905,0)))</f>
        <v>12</v>
      </c>
      <c r="D6" s="10"/>
      <c r="E6" s="11"/>
      <c r="F6" s="12"/>
      <c r="G6" s="6">
        <f>IF(OR(A6="",B6="SKU no encontrado"),"",IF(INDEX(Catalogo!$H$5:$H$905,MATCH(A6,Catalogo!$A$5:$A$905,0))=0,"",INDEX(Catalogo!$H$5:$H$905,MATCH(A6,Catalogo!$A$5:$A$905,0))))</f>
        <v>50984.146000000001</v>
      </c>
      <c r="H6" s="13" t="str">
        <f t="shared" si="0"/>
        <v/>
      </c>
      <c r="I6" s="6" t="str">
        <f t="shared" si="1"/>
        <v/>
      </c>
      <c r="J6" s="6" t="str">
        <f t="shared" si="2"/>
        <v/>
      </c>
      <c r="K6" s="6" t="str">
        <f t="shared" si="3"/>
        <v/>
      </c>
      <c r="L6" t="str">
        <f t="shared" si="4"/>
        <v>Completar precio deseado</v>
      </c>
    </row>
    <row r="7" spans="1:12" ht="30" customHeight="1">
      <c r="A7" s="9" t="s">
        <v>57</v>
      </c>
      <c r="B7" s="5" t="str">
        <f>IF(A7="","",IF(COUNTIF(Catalogo!$A$5:$A$905,A7)=0,"SKU no encontrado",INDEX(Catalogo!$B$5:$B$905,MATCH(A7,Catalogo!$A$5:$A$905,0))))</f>
        <v>PEPSI 70KCAL PET X8 2000CC</v>
      </c>
      <c r="C7">
        <f>IF(OR(A7="",B7="SKU no encontrado"),"",INDEX(Catalogo!$C$5:$C$905,MATCH(A7,Catalogo!$A$5:$A$905,0)))</f>
        <v>8</v>
      </c>
      <c r="D7" s="10"/>
      <c r="E7" s="11"/>
      <c r="F7" s="12"/>
      <c r="G7" s="6">
        <f>IF(OR(A7="",B7="SKU no encontrado"),"",IF(INDEX(Catalogo!$H$5:$H$905,MATCH(A7,Catalogo!$A$5:$A$905,0))=0,"",INDEX(Catalogo!$H$5:$H$905,MATCH(A7,Catalogo!$A$5:$A$905,0))))</f>
        <v>29656.170999999998</v>
      </c>
      <c r="H7" s="13" t="str">
        <f t="shared" si="0"/>
        <v/>
      </c>
      <c r="I7" s="6" t="str">
        <f t="shared" si="1"/>
        <v/>
      </c>
      <c r="J7" s="6" t="str">
        <f t="shared" si="2"/>
        <v/>
      </c>
      <c r="K7" s="6" t="str">
        <f t="shared" si="3"/>
        <v/>
      </c>
      <c r="L7" t="str">
        <f t="shared" si="4"/>
        <v>Completar precio deseado</v>
      </c>
    </row>
    <row r="8" spans="1:12" ht="30" customHeight="1">
      <c r="A8" s="9" t="s">
        <v>58</v>
      </c>
      <c r="B8" s="5" t="str">
        <f>IF(A8="","",IF(COUNTIF(Catalogo!$A$5:$A$905,A8)=0,"SKU no encontrado",INDEX(Catalogo!$B$5:$B$905,MATCH(A8,Catalogo!$A$5:$A$905,0))))</f>
        <v>STELLA PURE GOLD CAN 4X6 473CC T</v>
      </c>
      <c r="C8">
        <f>IF(OR(A8="",B8="SKU no encontrado"),"",INDEX(Catalogo!$C$5:$C$905,MATCH(A8,Catalogo!$A$5:$A$905,0)))</f>
        <v>24</v>
      </c>
      <c r="D8" s="10"/>
      <c r="E8" s="11"/>
      <c r="F8" s="12"/>
      <c r="G8" s="6">
        <f>IF(OR(A8="",B8="SKU no encontrado"),"",IF(INDEX(Catalogo!$H$5:$H$905,MATCH(A8,Catalogo!$A$5:$A$905,0))=0,"",INDEX(Catalogo!$H$5:$H$905,MATCH(A8,Catalogo!$A$5:$A$905,0))))</f>
        <v>72010.180999999997</v>
      </c>
      <c r="H8" s="13" t="str">
        <f t="shared" si="0"/>
        <v/>
      </c>
      <c r="I8" s="6" t="str">
        <f t="shared" si="1"/>
        <v/>
      </c>
      <c r="J8" s="6" t="str">
        <f t="shared" si="2"/>
        <v/>
      </c>
      <c r="K8" s="6" t="str">
        <f t="shared" si="3"/>
        <v/>
      </c>
      <c r="L8" t="str">
        <f t="shared" si="4"/>
        <v>Completar precio deseado</v>
      </c>
    </row>
    <row r="9" spans="1:12" ht="30" customHeight="1">
      <c r="A9" s="9" t="s">
        <v>59</v>
      </c>
      <c r="B9" s="5" t="str">
        <f>IF(A9="","",IF(COUNTIF(Catalogo!$A$5:$A$905,A9)=0,"SKU no encontrado",INDEX(Catalogo!$B$5:$B$905,MATCH(A9,Catalogo!$A$5:$A$905,0))))</f>
        <v>STELLA ART NOIRE PM CAN 4X6 473CC CART</v>
      </c>
      <c r="C9">
        <f>IF(OR(A9="",B9="SKU no encontrado"),"",INDEX(Catalogo!$C$5:$C$905,MATCH(A9,Catalogo!$A$5:$A$905,0)))</f>
        <v>24</v>
      </c>
      <c r="D9" s="10"/>
      <c r="E9" s="11"/>
      <c r="F9" s="12"/>
      <c r="G9" s="6">
        <f>IF(OR(A9="",B9="SKU no encontrado"),"",IF(INDEX(Catalogo!$H$5:$H$905,MATCH(A9,Catalogo!$A$5:$A$905,0))=0,"",INDEX(Catalogo!$H$5:$H$905,MATCH(A9,Catalogo!$A$5:$A$905,0))))</f>
        <v>72010.180999999997</v>
      </c>
      <c r="H9" s="13" t="str">
        <f t="shared" si="0"/>
        <v/>
      </c>
      <c r="I9" s="6" t="str">
        <f t="shared" si="1"/>
        <v/>
      </c>
      <c r="J9" s="6" t="str">
        <f t="shared" si="2"/>
        <v/>
      </c>
      <c r="K9" s="6" t="str">
        <f t="shared" si="3"/>
        <v/>
      </c>
      <c r="L9" t="str">
        <f t="shared" si="4"/>
        <v>Completar precio deseado</v>
      </c>
    </row>
    <row r="10" spans="1:12" ht="30" customHeight="1">
      <c r="A10" s="9" t="s">
        <v>60</v>
      </c>
      <c r="B10" s="5" t="str">
        <f>IF(A10="","",IF(COUNTIF(Catalogo!$A$5:$A$905,A10)=0,"SKU no encontrado",INDEX(Catalogo!$B$5:$B$905,MATCH(A10,Catalogo!$A$5:$A$905,0))))</f>
        <v>BRAHMA CAN 4X4 710CC</v>
      </c>
      <c r="C10">
        <f>IF(OR(A10="",B10="SKU no encontrado"),"",INDEX(Catalogo!$C$5:$C$905,MATCH(A10,Catalogo!$A$5:$A$905,0)))</f>
        <v>16</v>
      </c>
      <c r="D10" s="10"/>
      <c r="E10" s="11"/>
      <c r="F10" s="12"/>
      <c r="G10" s="6">
        <f>IF(OR(A10="",B10="SKU no encontrado"),"",IF(INDEX(Catalogo!$H$5:$H$905,MATCH(A10,Catalogo!$A$5:$A$905,0))=0,"",INDEX(Catalogo!$H$5:$H$905,MATCH(A10,Catalogo!$A$5:$A$905,0))))</f>
        <v>44562.415000000001</v>
      </c>
      <c r="H10" s="13" t="str">
        <f t="shared" si="0"/>
        <v/>
      </c>
      <c r="I10" s="6" t="str">
        <f t="shared" si="1"/>
        <v/>
      </c>
      <c r="J10" s="6" t="str">
        <f t="shared" si="2"/>
        <v/>
      </c>
      <c r="K10" s="6" t="str">
        <f t="shared" si="3"/>
        <v/>
      </c>
      <c r="L10" t="str">
        <f t="shared" si="4"/>
        <v>Completar precio deseado</v>
      </c>
    </row>
    <row r="11" spans="1:12" ht="30" customHeight="1">
      <c r="A11" s="9" t="s">
        <v>61</v>
      </c>
      <c r="B11" s="5" t="str">
        <f>IF(A11="","",IF(COUNTIF(Catalogo!$A$5:$A$905,A11)=0,"SKU no encontrado",INDEX(Catalogo!$B$5:$B$905,MATCH(A11,Catalogo!$A$5:$A$905,0))))</f>
        <v>MIRINDA MANZANA * X8 PET2250</v>
      </c>
      <c r="C11">
        <f>IF(OR(A11="",B11="SKU no encontrado"),"",INDEX(Catalogo!$C$5:$C$905,MATCH(A11,Catalogo!$A$5:$A$905,0)))</f>
        <v>8</v>
      </c>
      <c r="D11" s="10"/>
      <c r="E11" s="11"/>
      <c r="F11" s="12"/>
      <c r="G11" s="6">
        <f>IF(OR(A11="",B11="SKU no encontrado"),"",IF(INDEX(Catalogo!$H$5:$H$905,MATCH(A11,Catalogo!$A$5:$A$905,0))=0,"",INDEX(Catalogo!$H$5:$H$905,MATCH(A11,Catalogo!$A$5:$A$905,0))))</f>
        <v>19048.438999999998</v>
      </c>
      <c r="H11" s="13" t="str">
        <f t="shared" si="0"/>
        <v/>
      </c>
      <c r="I11" s="6" t="str">
        <f t="shared" si="1"/>
        <v/>
      </c>
      <c r="J11" s="6" t="str">
        <f t="shared" si="2"/>
        <v/>
      </c>
      <c r="K11" s="6" t="str">
        <f t="shared" si="3"/>
        <v/>
      </c>
      <c r="L11" t="str">
        <f t="shared" si="4"/>
        <v>Completar precio deseado</v>
      </c>
    </row>
    <row r="12" spans="1:12" ht="30" customHeight="1">
      <c r="A12" s="9" t="s">
        <v>62</v>
      </c>
      <c r="B12" s="5" t="str">
        <f>IF(A12="","",IF(COUNTIF(Catalogo!$A$5:$A$905,A12)=0,"SKU no encontrado",INDEX(Catalogo!$B$5:$B$905,MATCH(A12,Catalogo!$A$5:$A$905,0))))</f>
        <v>RED BULL CAN 6X4 250</v>
      </c>
      <c r="C12">
        <f>IF(OR(A12="",B12="SKU no encontrado"),"",INDEX(Catalogo!$C$5:$C$905,MATCH(A12,Catalogo!$A$5:$A$905,0)))</f>
        <v>24</v>
      </c>
      <c r="D12" s="10"/>
      <c r="E12" s="11"/>
      <c r="F12" s="12"/>
      <c r="G12" s="6">
        <f>IF(OR(A12="",B12="SKU no encontrado"),"",IF(INDEX(Catalogo!$H$5:$H$905,MATCH(A12,Catalogo!$A$5:$A$905,0))=0,"",INDEX(Catalogo!$H$5:$H$905,MATCH(A12,Catalogo!$A$5:$A$905,0))))</f>
        <v>65853.251000000004</v>
      </c>
      <c r="H12" s="13" t="str">
        <f t="shared" si="0"/>
        <v/>
      </c>
      <c r="I12" s="6" t="str">
        <f t="shared" si="1"/>
        <v/>
      </c>
      <c r="J12" s="6" t="str">
        <f t="shared" si="2"/>
        <v/>
      </c>
      <c r="K12" s="6" t="str">
        <f t="shared" si="3"/>
        <v/>
      </c>
      <c r="L12" t="str">
        <f t="shared" si="4"/>
        <v>Completar precio deseado</v>
      </c>
    </row>
    <row r="13" spans="1:12" ht="30" customHeight="1">
      <c r="A13" s="9" t="s">
        <v>63</v>
      </c>
      <c r="B13" s="5" t="str">
        <f>IF(A13="","",IF(COUNTIF(Catalogo!$A$5:$A$905,A13)=0,"SKU no encontrado",INDEX(Catalogo!$B$5:$B$905,MATCH(A13,Catalogo!$A$5:$A$905,0))))</f>
        <v>GLACIAR SG PET X6 750 222 PC</v>
      </c>
      <c r="C13">
        <f>IF(OR(A13="",B13="SKU no encontrado"),"",INDEX(Catalogo!$C$5:$C$905,MATCH(A13,Catalogo!$A$5:$A$905,0)))</f>
        <v>6</v>
      </c>
      <c r="D13" s="10"/>
      <c r="E13" s="11"/>
      <c r="F13" s="12"/>
      <c r="G13" s="6">
        <f>IF(OR(A13="",B13="SKU no encontrado"),"",IF(INDEX(Catalogo!$H$5:$H$905,MATCH(A13,Catalogo!$A$5:$A$905,0))=0,"",INDEX(Catalogo!$H$5:$H$905,MATCH(A13,Catalogo!$A$5:$A$905,0))))</f>
        <v>10016.942999999999</v>
      </c>
      <c r="H13" s="13" t="str">
        <f t="shared" si="0"/>
        <v/>
      </c>
      <c r="I13" s="6" t="str">
        <f t="shared" si="1"/>
        <v/>
      </c>
      <c r="J13" s="6" t="str">
        <f t="shared" si="2"/>
        <v/>
      </c>
      <c r="K13" s="6" t="str">
        <f t="shared" si="3"/>
        <v/>
      </c>
      <c r="L13" t="str">
        <f t="shared" si="4"/>
        <v>Completar precio deseado</v>
      </c>
    </row>
    <row r="14" spans="1:12" ht="30" customHeight="1">
      <c r="A14" s="9" t="s">
        <v>64</v>
      </c>
      <c r="B14" s="5" t="str">
        <f>IF(A14="","",IF(COUNTIF(Catalogo!$A$5:$A$905,A14)=0,"SKU no encontrado",INDEX(Catalogo!$B$5:$B$905,MATCH(A14,Catalogo!$A$5:$A$905,0))))</f>
        <v>GATORADE MANZANA * X6 PET 500</v>
      </c>
      <c r="C14">
        <f>IF(OR(A14="",B14="SKU no encontrado"),"",INDEX(Catalogo!$C$5:$C$905,MATCH(A14,Catalogo!$A$5:$A$905,0)))</f>
        <v>6</v>
      </c>
      <c r="D14" s="10"/>
      <c r="E14" s="11"/>
      <c r="F14" s="12"/>
      <c r="G14" s="6">
        <f>IF(OR(A14="",B14="SKU no encontrado"),"",IF(INDEX(Catalogo!$H$5:$H$905,MATCH(A14,Catalogo!$A$5:$A$905,0))=0,"",INDEX(Catalogo!$H$5:$H$905,MATCH(A14,Catalogo!$A$5:$A$905,0))))</f>
        <v>12591.147000000001</v>
      </c>
      <c r="H14" s="13" t="str">
        <f t="shared" si="0"/>
        <v/>
      </c>
      <c r="I14" s="6" t="str">
        <f t="shared" si="1"/>
        <v/>
      </c>
      <c r="J14" s="6" t="str">
        <f t="shared" si="2"/>
        <v/>
      </c>
      <c r="K14" s="6" t="str">
        <f t="shared" si="3"/>
        <v/>
      </c>
      <c r="L14" t="str">
        <f t="shared" si="4"/>
        <v>Completar precio deseado</v>
      </c>
    </row>
    <row r="15" spans="1:12" ht="30" customHeight="1">
      <c r="A15" s="9"/>
      <c r="B15" s="5" t="str">
        <f>IF(A15="","",IF(COUNTIF(Catalogo!$A$5:$A$905,A15)=0,"SKU no encontrado",INDEX(Catalogo!$B$5:$B$905,MATCH(A15,Catalogo!$A$5:$A$905,0))))</f>
        <v/>
      </c>
      <c r="C15" t="str">
        <f>IF(OR(A15="",B15="SKU no encontrado"),"",INDEX(Catalogo!$C$5:$C$905,MATCH(A15,Catalogo!$A$5:$A$905,0)))</f>
        <v/>
      </c>
      <c r="D15" s="10"/>
      <c r="E15" s="11"/>
      <c r="F15" s="12"/>
      <c r="G15" s="6" t="str">
        <f>IF(OR(A15="",B15="SKU no encontrado"),"",IF(INDEX(Catalogo!$H$5:$H$905,MATCH(A15,Catalogo!$A$5:$A$905,0))=0,"",INDEX(Catalogo!$H$5:$H$905,MATCH(A15,Catalogo!$A$5:$A$905,0))))</f>
        <v/>
      </c>
      <c r="H15" s="13" t="e">
        <f t="shared" si="0"/>
        <v>#VALUE!</v>
      </c>
      <c r="I15" s="6" t="e">
        <f t="shared" si="1"/>
        <v>#VALUE!</v>
      </c>
      <c r="J15" s="6" t="e">
        <f t="shared" si="2"/>
        <v>#VALUE!</v>
      </c>
      <c r="K15" s="6" t="e">
        <f t="shared" si="3"/>
        <v>#VALUE!</v>
      </c>
      <c r="L15" t="str">
        <f t="shared" si="4"/>
        <v/>
      </c>
    </row>
    <row r="16" spans="1:12" ht="30" customHeight="1">
      <c r="A16" s="9"/>
      <c r="B16" s="5" t="str">
        <f>IF(A16="","",IF(COUNTIF(Catalogo!$A$5:$A$905,A16)=0,"SKU no encontrado",INDEX(Catalogo!$B$5:$B$905,MATCH(A16,Catalogo!$A$5:$A$905,0))))</f>
        <v/>
      </c>
      <c r="C16" t="str">
        <f>IF(OR(A16="",B16="SKU no encontrado"),"",INDEX(Catalogo!$C$5:$C$905,MATCH(A16,Catalogo!$A$5:$A$905,0)))</f>
        <v/>
      </c>
      <c r="D16" s="10"/>
      <c r="E16" s="11"/>
      <c r="F16" s="12"/>
      <c r="G16" s="6" t="str">
        <f>IF(OR(A16="",B16="SKU no encontrado"),"",IF(INDEX(Catalogo!$H$5:$H$905,MATCH(A16,Catalogo!$A$5:$A$905,0))=0,"",INDEX(Catalogo!$H$5:$H$905,MATCH(A16,Catalogo!$A$5:$A$905,0))))</f>
        <v/>
      </c>
      <c r="H16" s="13" t="e">
        <f t="shared" si="0"/>
        <v>#VALUE!</v>
      </c>
      <c r="I16" s="6" t="e">
        <f t="shared" si="1"/>
        <v>#VALUE!</v>
      </c>
      <c r="J16" s="6" t="e">
        <f t="shared" si="2"/>
        <v>#VALUE!</v>
      </c>
      <c r="K16" s="6" t="e">
        <f t="shared" si="3"/>
        <v>#VALUE!</v>
      </c>
      <c r="L16" t="str">
        <f t="shared" si="4"/>
        <v/>
      </c>
    </row>
    <row r="17" spans="1:12" ht="30" customHeight="1">
      <c r="A17" s="9"/>
      <c r="B17" s="5" t="str">
        <f>IF(A17="","",IF(COUNTIF(Catalogo!$A$5:$A$905,A17)=0,"SKU no encontrado",INDEX(Catalogo!$B$5:$B$905,MATCH(A17,Catalogo!$A$5:$A$905,0))))</f>
        <v/>
      </c>
      <c r="C17" t="str">
        <f>IF(OR(A17="",B17="SKU no encontrado"),"",INDEX(Catalogo!$C$5:$C$905,MATCH(A17,Catalogo!$A$5:$A$905,0)))</f>
        <v/>
      </c>
      <c r="D17" s="10"/>
      <c r="E17" s="11"/>
      <c r="F17" s="12"/>
      <c r="G17" s="6" t="str">
        <f>IF(OR(A17="",B17="SKU no encontrado"),"",IF(INDEX(Catalogo!$H$5:$H$905,MATCH(A17,Catalogo!$A$5:$A$905,0))=0,"",INDEX(Catalogo!$H$5:$H$905,MATCH(A17,Catalogo!$A$5:$A$905,0))))</f>
        <v/>
      </c>
      <c r="H17" s="13" t="e">
        <f t="shared" si="0"/>
        <v>#VALUE!</v>
      </c>
      <c r="I17" s="6" t="e">
        <f t="shared" si="1"/>
        <v>#VALUE!</v>
      </c>
      <c r="J17" s="6" t="e">
        <f t="shared" si="2"/>
        <v>#VALUE!</v>
      </c>
      <c r="K17" s="6" t="e">
        <f t="shared" si="3"/>
        <v>#VALUE!</v>
      </c>
      <c r="L17" t="str">
        <f t="shared" si="4"/>
        <v/>
      </c>
    </row>
    <row r="18" spans="1:12" ht="30" customHeight="1">
      <c r="A18" s="9"/>
      <c r="B18" s="5" t="str">
        <f>IF(A18="","",IF(COUNTIF(Catalogo!$A$5:$A$905,A18)=0,"SKU no encontrado",INDEX(Catalogo!$B$5:$B$905,MATCH(A18,Catalogo!$A$5:$A$905,0))))</f>
        <v/>
      </c>
      <c r="C18" t="str">
        <f>IF(OR(A18="",B18="SKU no encontrado"),"",INDEX(Catalogo!$C$5:$C$905,MATCH(A18,Catalogo!$A$5:$A$905,0)))</f>
        <v/>
      </c>
      <c r="D18" s="10"/>
      <c r="E18" s="11"/>
      <c r="F18" s="12"/>
      <c r="G18" s="6" t="str">
        <f>IF(OR(A18="",B18="SKU no encontrado"),"",IF(INDEX(Catalogo!$H$5:$H$905,MATCH(A18,Catalogo!$A$5:$A$905,0))=0,"",INDEX(Catalogo!$H$5:$H$905,MATCH(A18,Catalogo!$A$5:$A$905,0))))</f>
        <v/>
      </c>
      <c r="H18" s="13" t="e">
        <f t="shared" si="0"/>
        <v>#VALUE!</v>
      </c>
      <c r="I18" s="6" t="e">
        <f t="shared" si="1"/>
        <v>#VALUE!</v>
      </c>
      <c r="J18" s="6" t="e">
        <f t="shared" si="2"/>
        <v>#VALUE!</v>
      </c>
      <c r="K18" s="6" t="e">
        <f t="shared" si="3"/>
        <v>#VALUE!</v>
      </c>
      <c r="L18" t="str">
        <f t="shared" si="4"/>
        <v/>
      </c>
    </row>
    <row r="19" spans="1:12" ht="30" customHeight="1">
      <c r="A19" s="9"/>
      <c r="B19" s="5" t="str">
        <f>IF(A19="","",IF(COUNTIF(Catalogo!$A$5:$A$905,A19)=0,"SKU no encontrado",INDEX(Catalogo!$B$5:$B$905,MATCH(A19,Catalogo!$A$5:$A$905,0))))</f>
        <v/>
      </c>
      <c r="C19" t="str">
        <f>IF(OR(A19="",B19="SKU no encontrado"),"",INDEX(Catalogo!$C$5:$C$905,MATCH(A19,Catalogo!$A$5:$A$905,0)))</f>
        <v/>
      </c>
      <c r="D19" s="10"/>
      <c r="E19" s="11"/>
      <c r="F19" s="12"/>
      <c r="G19" s="6" t="str">
        <f>IF(OR(A19="",B19="SKU no encontrado"),"",IF(INDEX(Catalogo!$H$5:$H$905,MATCH(A19,Catalogo!$A$5:$A$905,0))=0,"",INDEX(Catalogo!$H$5:$H$905,MATCH(A19,Catalogo!$A$5:$A$905,0))))</f>
        <v/>
      </c>
      <c r="H19" s="13" t="e">
        <f t="shared" si="0"/>
        <v>#VALUE!</v>
      </c>
      <c r="I19" s="6" t="e">
        <f t="shared" si="1"/>
        <v>#VALUE!</v>
      </c>
      <c r="J19" s="6" t="e">
        <f t="shared" si="2"/>
        <v>#VALUE!</v>
      </c>
      <c r="K19" s="6" t="e">
        <f t="shared" si="3"/>
        <v>#VALUE!</v>
      </c>
      <c r="L19" t="str">
        <f t="shared" si="4"/>
        <v/>
      </c>
    </row>
    <row r="20" spans="1:12" ht="30" customHeight="1">
      <c r="A20" s="9"/>
      <c r="B20" s="5" t="str">
        <f>IF(A20="","",IF(COUNTIF(Catalogo!$A$5:$A$905,A20)=0,"SKU no encontrado",INDEX(Catalogo!$B$5:$B$905,MATCH(A20,Catalogo!$A$5:$A$905,0))))</f>
        <v/>
      </c>
      <c r="C20" t="str">
        <f>IF(OR(A20="",B20="SKU no encontrado"),"",INDEX(Catalogo!$C$5:$C$905,MATCH(A20,Catalogo!$A$5:$A$905,0)))</f>
        <v/>
      </c>
      <c r="D20" s="10"/>
      <c r="E20" s="11"/>
      <c r="F20" s="12"/>
      <c r="G20" s="6" t="str">
        <f>IF(OR(A20="",B20="SKU no encontrado"),"",IF(INDEX(Catalogo!$H$5:$H$905,MATCH(A20,Catalogo!$A$5:$A$905,0))=0,"",INDEX(Catalogo!$H$5:$H$905,MATCH(A20,Catalogo!$A$5:$A$905,0))))</f>
        <v/>
      </c>
      <c r="H20" s="13" t="e">
        <f t="shared" si="0"/>
        <v>#VALUE!</v>
      </c>
      <c r="I20" s="6" t="e">
        <f t="shared" si="1"/>
        <v>#VALUE!</v>
      </c>
      <c r="J20" s="6" t="e">
        <f t="shared" si="2"/>
        <v>#VALUE!</v>
      </c>
      <c r="K20" s="6" t="e">
        <f t="shared" si="3"/>
        <v>#VALUE!</v>
      </c>
      <c r="L20" t="str">
        <f t="shared" si="4"/>
        <v/>
      </c>
    </row>
    <row r="21" spans="1:12" ht="30" customHeight="1">
      <c r="A21" s="9"/>
      <c r="B21" s="5" t="str">
        <f>IF(A21="","",IF(COUNTIF(Catalogo!$A$5:$A$905,A21)=0,"SKU no encontrado",INDEX(Catalogo!$B$5:$B$905,MATCH(A21,Catalogo!$A$5:$A$905,0))))</f>
        <v/>
      </c>
      <c r="C21" t="str">
        <f>IF(OR(A21="",B21="SKU no encontrado"),"",INDEX(Catalogo!$C$5:$C$905,MATCH(A21,Catalogo!$A$5:$A$905,0)))</f>
        <v/>
      </c>
      <c r="D21" s="10"/>
      <c r="E21" s="11"/>
      <c r="F21" s="12"/>
      <c r="G21" s="6" t="str">
        <f>IF(OR(A21="",B21="SKU no encontrado"),"",IF(INDEX(Catalogo!$H$5:$H$905,MATCH(A21,Catalogo!$A$5:$A$905,0))=0,"",INDEX(Catalogo!$H$5:$H$905,MATCH(A21,Catalogo!$A$5:$A$905,0))))</f>
        <v/>
      </c>
      <c r="H21" s="13" t="e">
        <f t="shared" si="0"/>
        <v>#VALUE!</v>
      </c>
      <c r="I21" s="6" t="e">
        <f t="shared" si="1"/>
        <v>#VALUE!</v>
      </c>
      <c r="J21" s="6" t="e">
        <f t="shared" si="2"/>
        <v>#VALUE!</v>
      </c>
      <c r="K21" s="6" t="e">
        <f t="shared" si="3"/>
        <v>#VALUE!</v>
      </c>
      <c r="L21" t="str">
        <f t="shared" si="4"/>
        <v/>
      </c>
    </row>
    <row r="22" spans="1:12" ht="30" customHeight="1">
      <c r="A22" s="9"/>
      <c r="B22" s="5" t="str">
        <f>IF(A22="","",IF(COUNTIF(Catalogo!$A$5:$A$905,A22)=0,"SKU no encontrado",INDEX(Catalogo!$B$5:$B$905,MATCH(A22,Catalogo!$A$5:$A$905,0))))</f>
        <v/>
      </c>
      <c r="C22" t="str">
        <f>IF(OR(A22="",B22="SKU no encontrado"),"",INDEX(Catalogo!$C$5:$C$905,MATCH(A22,Catalogo!$A$5:$A$905,0)))</f>
        <v/>
      </c>
      <c r="D22" s="10"/>
      <c r="E22" s="11"/>
      <c r="F22" s="12"/>
      <c r="G22" s="6" t="str">
        <f>IF(OR(A22="",B22="SKU no encontrado"),"",IF(INDEX(Catalogo!$H$5:$H$905,MATCH(A22,Catalogo!$A$5:$A$905,0))=0,"",INDEX(Catalogo!$H$5:$H$905,MATCH(A22,Catalogo!$A$5:$A$905,0))))</f>
        <v/>
      </c>
      <c r="H22" s="13" t="e">
        <f t="shared" si="0"/>
        <v>#VALUE!</v>
      </c>
      <c r="I22" s="6" t="e">
        <f t="shared" si="1"/>
        <v>#VALUE!</v>
      </c>
      <c r="J22" s="6" t="e">
        <f t="shared" si="2"/>
        <v>#VALUE!</v>
      </c>
      <c r="K22" s="6" t="e">
        <f t="shared" si="3"/>
        <v>#VALUE!</v>
      </c>
      <c r="L22" t="str">
        <f t="shared" si="4"/>
        <v/>
      </c>
    </row>
    <row r="23" spans="1:12" ht="30" customHeight="1">
      <c r="A23" s="9"/>
      <c r="B23" s="5" t="str">
        <f>IF(A23="","",IF(COUNTIF(Catalogo!$A$5:$A$905,A23)=0,"SKU no encontrado",INDEX(Catalogo!$B$5:$B$905,MATCH(A23,Catalogo!$A$5:$A$905,0))))</f>
        <v/>
      </c>
      <c r="C23" t="str">
        <f>IF(OR(A23="",B23="SKU no encontrado"),"",INDEX(Catalogo!$C$5:$C$905,MATCH(A23,Catalogo!$A$5:$A$905,0)))</f>
        <v/>
      </c>
      <c r="D23" s="10"/>
      <c r="E23" s="11"/>
      <c r="F23" s="12"/>
      <c r="G23" s="6" t="str">
        <f>IF(OR(A23="",B23="SKU no encontrado"),"",IF(INDEX(Catalogo!$H$5:$H$905,MATCH(A23,Catalogo!$A$5:$A$905,0))=0,"",INDEX(Catalogo!$H$5:$H$905,MATCH(A23,Catalogo!$A$5:$A$905,0))))</f>
        <v/>
      </c>
      <c r="H23" s="13" t="e">
        <f t="shared" si="0"/>
        <v>#VALUE!</v>
      </c>
      <c r="I23" s="6" t="e">
        <f t="shared" si="1"/>
        <v>#VALUE!</v>
      </c>
      <c r="J23" s="6" t="e">
        <f t="shared" si="2"/>
        <v>#VALUE!</v>
      </c>
      <c r="K23" s="6" t="e">
        <f t="shared" si="3"/>
        <v>#VALUE!</v>
      </c>
      <c r="L23" t="str">
        <f t="shared" si="4"/>
        <v/>
      </c>
    </row>
    <row r="24" spans="1:12" ht="30" customHeight="1">
      <c r="A24" s="9"/>
      <c r="B24" s="5" t="str">
        <f>IF(A24="","",IF(COUNTIF(Catalogo!$A$5:$A$905,A24)=0,"SKU no encontrado",INDEX(Catalogo!$B$5:$B$905,MATCH(A24,Catalogo!$A$5:$A$905,0))))</f>
        <v/>
      </c>
      <c r="C24" t="str">
        <f>IF(OR(A24="",B24="SKU no encontrado"),"",INDEX(Catalogo!$C$5:$C$905,MATCH(A24,Catalogo!$A$5:$A$905,0)))</f>
        <v/>
      </c>
      <c r="D24" s="10"/>
      <c r="E24" s="11"/>
      <c r="F24" s="12"/>
      <c r="G24" s="6" t="str">
        <f>IF(OR(A24="",B24="SKU no encontrado"),"",IF(INDEX(Catalogo!$H$5:$H$905,MATCH(A24,Catalogo!$A$5:$A$905,0))=0,"",INDEX(Catalogo!$H$5:$H$905,MATCH(A24,Catalogo!$A$5:$A$905,0))))</f>
        <v/>
      </c>
      <c r="H24" s="13" t="e">
        <f t="shared" si="0"/>
        <v>#VALUE!</v>
      </c>
      <c r="I24" s="6" t="e">
        <f t="shared" si="1"/>
        <v>#VALUE!</v>
      </c>
      <c r="J24" s="6" t="e">
        <f t="shared" si="2"/>
        <v>#VALUE!</v>
      </c>
      <c r="K24" s="6" t="e">
        <f t="shared" si="3"/>
        <v>#VALUE!</v>
      </c>
      <c r="L24" t="str">
        <f t="shared" si="4"/>
        <v/>
      </c>
    </row>
    <row r="25" spans="1:12" ht="30" customHeight="1">
      <c r="A25" s="9"/>
      <c r="B25" s="5" t="str">
        <f>IF(A25="","",IF(COUNTIF(Catalogo!$A$5:$A$905,A25)=0,"SKU no encontrado",INDEX(Catalogo!$B$5:$B$905,MATCH(A25,Catalogo!$A$5:$A$905,0))))</f>
        <v/>
      </c>
      <c r="C25" t="str">
        <f>IF(OR(A25="",B25="SKU no encontrado"),"",INDEX(Catalogo!$C$5:$C$905,MATCH(A25,Catalogo!$A$5:$A$905,0)))</f>
        <v/>
      </c>
      <c r="D25" s="10"/>
      <c r="E25" s="11"/>
      <c r="F25" s="12"/>
      <c r="G25" s="6" t="str">
        <f>IF(OR(A25="",B25="SKU no encontrado"),"",IF(INDEX(Catalogo!$H$5:$H$905,MATCH(A25,Catalogo!$A$5:$A$905,0))=0,"",INDEX(Catalogo!$H$5:$H$905,MATCH(A25,Catalogo!$A$5:$A$905,0))))</f>
        <v/>
      </c>
      <c r="H25" s="13" t="e">
        <f t="shared" si="0"/>
        <v>#VALUE!</v>
      </c>
      <c r="I25" s="6" t="e">
        <f t="shared" si="1"/>
        <v>#VALUE!</v>
      </c>
      <c r="J25" s="6" t="e">
        <f t="shared" si="2"/>
        <v>#VALUE!</v>
      </c>
      <c r="K25" s="6" t="e">
        <f t="shared" si="3"/>
        <v>#VALUE!</v>
      </c>
      <c r="L25" t="str">
        <f t="shared" si="4"/>
        <v/>
      </c>
    </row>
    <row r="26" spans="1:12" ht="30" customHeight="1">
      <c r="A26" s="9"/>
      <c r="B26" s="5" t="str">
        <f>IF(A26="","",IF(COUNTIF(Catalogo!$A$5:$A$905,A26)=0,"SKU no encontrado",INDEX(Catalogo!$B$5:$B$905,MATCH(A26,Catalogo!$A$5:$A$905,0))))</f>
        <v/>
      </c>
      <c r="C26" t="str">
        <f>IF(OR(A26="",B26="SKU no encontrado"),"",INDEX(Catalogo!$C$5:$C$905,MATCH(A26,Catalogo!$A$5:$A$905,0)))</f>
        <v/>
      </c>
      <c r="D26" s="10"/>
      <c r="E26" s="11"/>
      <c r="F26" s="12"/>
      <c r="G26" s="6" t="str">
        <f>IF(OR(A26="",B26="SKU no encontrado"),"",IF(INDEX(Catalogo!$H$5:$H$905,MATCH(A26,Catalogo!$A$5:$A$905,0))=0,"",INDEX(Catalogo!$H$5:$H$905,MATCH(A26,Catalogo!$A$5:$A$905,0))))</f>
        <v/>
      </c>
      <c r="H26" s="13" t="e">
        <f t="shared" si="0"/>
        <v>#VALUE!</v>
      </c>
      <c r="I26" s="6" t="e">
        <f t="shared" si="1"/>
        <v>#VALUE!</v>
      </c>
      <c r="J26" s="6" t="e">
        <f t="shared" si="2"/>
        <v>#VALUE!</v>
      </c>
      <c r="K26" s="6" t="e">
        <f t="shared" si="3"/>
        <v>#VALUE!</v>
      </c>
      <c r="L26" t="str">
        <f t="shared" si="4"/>
        <v/>
      </c>
    </row>
    <row r="27" spans="1:12" ht="30" customHeight="1">
      <c r="A27" s="9"/>
      <c r="B27" s="5" t="str">
        <f>IF(A27="","",IF(COUNTIF(Catalogo!$A$5:$A$905,A27)=0,"SKU no encontrado",INDEX(Catalogo!$B$5:$B$905,MATCH(A27,Catalogo!$A$5:$A$905,0))))</f>
        <v/>
      </c>
      <c r="C27" t="str">
        <f>IF(OR(A27="",B27="SKU no encontrado"),"",INDEX(Catalogo!$C$5:$C$905,MATCH(A27,Catalogo!$A$5:$A$905,0)))</f>
        <v/>
      </c>
      <c r="D27" s="10"/>
      <c r="E27" s="11"/>
      <c r="F27" s="12"/>
      <c r="G27" s="6" t="str">
        <f>IF(OR(A27="",B27="SKU no encontrado"),"",IF(INDEX(Catalogo!$H$5:$H$905,MATCH(A27,Catalogo!$A$5:$A$905,0))=0,"",INDEX(Catalogo!$H$5:$H$905,MATCH(A27,Catalogo!$A$5:$A$905,0))))</f>
        <v/>
      </c>
      <c r="H27" s="13" t="e">
        <f t="shared" si="0"/>
        <v>#VALUE!</v>
      </c>
      <c r="I27" s="6" t="e">
        <f t="shared" si="1"/>
        <v>#VALUE!</v>
      </c>
      <c r="J27" s="6" t="e">
        <f t="shared" si="2"/>
        <v>#VALUE!</v>
      </c>
      <c r="K27" s="6" t="e">
        <f t="shared" si="3"/>
        <v>#VALUE!</v>
      </c>
      <c r="L27" t="str">
        <f t="shared" si="4"/>
        <v/>
      </c>
    </row>
    <row r="28" spans="1:12" ht="30" customHeight="1">
      <c r="A28" s="9"/>
      <c r="B28" s="5" t="str">
        <f>IF(A28="","",IF(COUNTIF(Catalogo!$A$5:$A$905,A28)=0,"SKU no encontrado",INDEX(Catalogo!$B$5:$B$905,MATCH(A28,Catalogo!$A$5:$A$905,0))))</f>
        <v/>
      </c>
      <c r="C28" t="str">
        <f>IF(OR(A28="",B28="SKU no encontrado"),"",INDEX(Catalogo!$C$5:$C$905,MATCH(A28,Catalogo!$A$5:$A$905,0)))</f>
        <v/>
      </c>
      <c r="D28" s="10"/>
      <c r="E28" s="11"/>
      <c r="F28" s="12"/>
      <c r="G28" s="6" t="str">
        <f>IF(OR(A28="",B28="SKU no encontrado"),"",IF(INDEX(Catalogo!$H$5:$H$905,MATCH(A28,Catalogo!$A$5:$A$905,0))=0,"",INDEX(Catalogo!$H$5:$H$905,MATCH(A28,Catalogo!$A$5:$A$905,0))))</f>
        <v/>
      </c>
      <c r="H28" s="13" t="e">
        <f t="shared" si="0"/>
        <v>#VALUE!</v>
      </c>
      <c r="I28" s="6" t="e">
        <f t="shared" si="1"/>
        <v>#VALUE!</v>
      </c>
      <c r="J28" s="6" t="e">
        <f t="shared" si="2"/>
        <v>#VALUE!</v>
      </c>
      <c r="K28" s="6" t="e">
        <f t="shared" si="3"/>
        <v>#VALUE!</v>
      </c>
      <c r="L28" t="str">
        <f t="shared" si="4"/>
        <v/>
      </c>
    </row>
    <row r="29" spans="1:12" ht="30" customHeight="1">
      <c r="A29" s="9"/>
      <c r="B29" s="5" t="str">
        <f>IF(A29="","",IF(COUNTIF(Catalogo!$A$5:$A$905,A29)=0,"SKU no encontrado",INDEX(Catalogo!$B$5:$B$905,MATCH(A29,Catalogo!$A$5:$A$905,0))))</f>
        <v/>
      </c>
      <c r="C29" t="str">
        <f>IF(OR(A29="",B29="SKU no encontrado"),"",INDEX(Catalogo!$C$5:$C$905,MATCH(A29,Catalogo!$A$5:$A$905,0)))</f>
        <v/>
      </c>
      <c r="D29" s="10"/>
      <c r="E29" s="11"/>
      <c r="F29" s="12"/>
      <c r="G29" s="6" t="str">
        <f>IF(OR(A29="",B29="SKU no encontrado"),"",IF(INDEX(Catalogo!$H$5:$H$905,MATCH(A29,Catalogo!$A$5:$A$905,0))=0,"",INDEX(Catalogo!$H$5:$H$905,MATCH(A29,Catalogo!$A$5:$A$905,0))))</f>
        <v/>
      </c>
      <c r="H29" s="13" t="e">
        <f t="shared" si="0"/>
        <v>#VALUE!</v>
      </c>
      <c r="I29" s="6" t="e">
        <f t="shared" si="1"/>
        <v>#VALUE!</v>
      </c>
      <c r="J29" s="6" t="e">
        <f t="shared" si="2"/>
        <v>#VALUE!</v>
      </c>
      <c r="K29" s="6" t="e">
        <f t="shared" si="3"/>
        <v>#VALUE!</v>
      </c>
      <c r="L29" t="str">
        <f t="shared" si="4"/>
        <v/>
      </c>
    </row>
    <row r="30" spans="1:12" ht="30" customHeight="1">
      <c r="A30" s="9"/>
      <c r="B30" s="5" t="str">
        <f>IF(A30="","",IF(COUNTIF(Catalogo!$A$5:$A$905,A30)=0,"SKU no encontrado",INDEX(Catalogo!$B$5:$B$905,MATCH(A30,Catalogo!$A$5:$A$905,0))))</f>
        <v/>
      </c>
      <c r="C30" t="str">
        <f>IF(OR(A30="",B30="SKU no encontrado"),"",INDEX(Catalogo!$C$5:$C$905,MATCH(A30,Catalogo!$A$5:$A$905,0)))</f>
        <v/>
      </c>
      <c r="D30" s="10"/>
      <c r="E30" s="11"/>
      <c r="F30" s="12"/>
      <c r="G30" s="6" t="str">
        <f>IF(OR(A30="",B30="SKU no encontrado"),"",IF(INDEX(Catalogo!$H$5:$H$905,MATCH(A30,Catalogo!$A$5:$A$905,0))=0,"",INDEX(Catalogo!$H$5:$H$905,MATCH(A30,Catalogo!$A$5:$A$905,0))))</f>
        <v/>
      </c>
      <c r="H30" s="13" t="e">
        <f t="shared" si="0"/>
        <v>#VALUE!</v>
      </c>
      <c r="I30" s="6" t="e">
        <f t="shared" si="1"/>
        <v>#VALUE!</v>
      </c>
      <c r="J30" s="6" t="e">
        <f t="shared" si="2"/>
        <v>#VALUE!</v>
      </c>
      <c r="K30" s="6" t="e">
        <f t="shared" si="3"/>
        <v>#VALUE!</v>
      </c>
      <c r="L30" t="str">
        <f t="shared" si="4"/>
        <v/>
      </c>
    </row>
    <row r="31" spans="1:12" ht="30" customHeight="1">
      <c r="A31" s="9"/>
      <c r="B31" s="5" t="str">
        <f>IF(A31="","",IF(COUNTIF(Catalogo!$A$5:$A$905,A31)=0,"SKU no encontrado",INDEX(Catalogo!$B$5:$B$905,MATCH(A31,Catalogo!$A$5:$A$905,0))))</f>
        <v/>
      </c>
      <c r="C31" t="str">
        <f>IF(OR(A31="",B31="SKU no encontrado"),"",INDEX(Catalogo!$C$5:$C$905,MATCH(A31,Catalogo!$A$5:$A$905,0)))</f>
        <v/>
      </c>
      <c r="D31" s="10"/>
      <c r="E31" s="11"/>
      <c r="F31" s="12"/>
      <c r="G31" s="6" t="str">
        <f>IF(OR(A31="",B31="SKU no encontrado"),"",IF(INDEX(Catalogo!$H$5:$H$905,MATCH(A31,Catalogo!$A$5:$A$905,0))=0,"",INDEX(Catalogo!$H$5:$H$905,MATCH(A31,Catalogo!$A$5:$A$905,0))))</f>
        <v/>
      </c>
      <c r="H31" s="13" t="e">
        <f t="shared" si="0"/>
        <v>#VALUE!</v>
      </c>
      <c r="I31" s="6" t="e">
        <f t="shared" si="1"/>
        <v>#VALUE!</v>
      </c>
      <c r="J31" s="6" t="e">
        <f t="shared" si="2"/>
        <v>#VALUE!</v>
      </c>
      <c r="K31" s="6" t="e">
        <f t="shared" si="3"/>
        <v>#VALUE!</v>
      </c>
      <c r="L31" t="str">
        <f t="shared" si="4"/>
        <v/>
      </c>
    </row>
    <row r="32" spans="1:12" ht="30" customHeight="1">
      <c r="A32" s="9"/>
      <c r="B32" s="5" t="str">
        <f>IF(A32="","",IF(COUNTIF(Catalogo!$A$5:$A$905,A32)=0,"SKU no encontrado",INDEX(Catalogo!$B$5:$B$905,MATCH(A32,Catalogo!$A$5:$A$905,0))))</f>
        <v/>
      </c>
      <c r="C32" t="str">
        <f>IF(OR(A32="",B32="SKU no encontrado"),"",INDEX(Catalogo!$C$5:$C$905,MATCH(A32,Catalogo!$A$5:$A$905,0)))</f>
        <v/>
      </c>
      <c r="D32" s="10"/>
      <c r="E32" s="11"/>
      <c r="F32" s="12"/>
      <c r="G32" s="6" t="str">
        <f>IF(OR(A32="",B32="SKU no encontrado"),"",IF(INDEX(Catalogo!$H$5:$H$905,MATCH(A32,Catalogo!$A$5:$A$905,0))=0,"",INDEX(Catalogo!$H$5:$H$905,MATCH(A32,Catalogo!$A$5:$A$905,0))))</f>
        <v/>
      </c>
      <c r="H32" s="13" t="e">
        <f t="shared" si="0"/>
        <v>#VALUE!</v>
      </c>
      <c r="I32" s="6" t="e">
        <f t="shared" si="1"/>
        <v>#VALUE!</v>
      </c>
      <c r="J32" s="6" t="e">
        <f t="shared" si="2"/>
        <v>#VALUE!</v>
      </c>
      <c r="K32" s="6" t="e">
        <f t="shared" si="3"/>
        <v>#VALUE!</v>
      </c>
      <c r="L32" t="str">
        <f t="shared" si="4"/>
        <v/>
      </c>
    </row>
    <row r="33" spans="1:12" ht="30" customHeight="1">
      <c r="A33" s="9"/>
      <c r="B33" s="5" t="str">
        <f>IF(A33="","",IF(COUNTIF(Catalogo!$A$5:$A$905,A33)=0,"SKU no encontrado",INDEX(Catalogo!$B$5:$B$905,MATCH(A33,Catalogo!$A$5:$A$905,0))))</f>
        <v/>
      </c>
      <c r="C33" t="str">
        <f>IF(OR(A33="",B33="SKU no encontrado"),"",INDEX(Catalogo!$C$5:$C$905,MATCH(A33,Catalogo!$A$5:$A$905,0)))</f>
        <v/>
      </c>
      <c r="D33" s="10"/>
      <c r="E33" s="11"/>
      <c r="F33" s="12"/>
      <c r="G33" s="6" t="str">
        <f>IF(OR(A33="",B33="SKU no encontrado"),"",IF(INDEX(Catalogo!$H$5:$H$905,MATCH(A33,Catalogo!$A$5:$A$905,0))=0,"",INDEX(Catalogo!$H$5:$H$905,MATCH(A33,Catalogo!$A$5:$A$905,0))))</f>
        <v/>
      </c>
      <c r="H33" s="13" t="e">
        <f t="shared" si="0"/>
        <v>#VALUE!</v>
      </c>
      <c r="I33" s="6" t="e">
        <f t="shared" si="1"/>
        <v>#VALUE!</v>
      </c>
      <c r="J33" s="6" t="e">
        <f t="shared" si="2"/>
        <v>#VALUE!</v>
      </c>
      <c r="K33" s="6" t="e">
        <f t="shared" si="3"/>
        <v>#VALUE!</v>
      </c>
      <c r="L33" t="str">
        <f t="shared" si="4"/>
        <v/>
      </c>
    </row>
    <row r="34" spans="1:12" ht="30" customHeight="1">
      <c r="A34" s="9"/>
      <c r="B34" s="5" t="str">
        <f>IF(A34="","",IF(COUNTIF(Catalogo!$A$5:$A$905,A34)=0,"SKU no encontrado",INDEX(Catalogo!$B$5:$B$905,MATCH(A34,Catalogo!$A$5:$A$905,0))))</f>
        <v/>
      </c>
      <c r="C34" t="str">
        <f>IF(OR(A34="",B34="SKU no encontrado"),"",INDEX(Catalogo!$C$5:$C$905,MATCH(A34,Catalogo!$A$5:$A$905,0)))</f>
        <v/>
      </c>
      <c r="D34" s="10"/>
      <c r="E34" s="11"/>
      <c r="F34" s="12"/>
      <c r="G34" s="6" t="str">
        <f>IF(OR(A34="",B34="SKU no encontrado"),"",IF(INDEX(Catalogo!$H$5:$H$905,MATCH(A34,Catalogo!$A$5:$A$905,0))=0,"",INDEX(Catalogo!$H$5:$H$905,MATCH(A34,Catalogo!$A$5:$A$905,0))))</f>
        <v/>
      </c>
      <c r="H34" s="13" t="e">
        <f t="shared" si="0"/>
        <v>#VALUE!</v>
      </c>
      <c r="I34" s="6" t="e">
        <f t="shared" si="1"/>
        <v>#VALUE!</v>
      </c>
      <c r="J34" s="6" t="e">
        <f t="shared" si="2"/>
        <v>#VALUE!</v>
      </c>
      <c r="K34" s="6" t="e">
        <f t="shared" si="3"/>
        <v>#VALUE!</v>
      </c>
      <c r="L34" t="str">
        <f t="shared" si="4"/>
        <v/>
      </c>
    </row>
    <row r="35" spans="1:12" ht="30" customHeight="1">
      <c r="A35" s="9"/>
      <c r="B35" s="5" t="str">
        <f>IF(A35="","",IF(COUNTIF(Catalogo!$A$5:$A$905,A35)=0,"SKU no encontrado",INDEX(Catalogo!$B$5:$B$905,MATCH(A35,Catalogo!$A$5:$A$905,0))))</f>
        <v/>
      </c>
      <c r="C35" t="str">
        <f>IF(OR(A35="",B35="SKU no encontrado"),"",INDEX(Catalogo!$C$5:$C$905,MATCH(A35,Catalogo!$A$5:$A$905,0)))</f>
        <v/>
      </c>
      <c r="D35" s="10"/>
      <c r="E35" s="11"/>
      <c r="F35" s="12"/>
      <c r="G35" s="6" t="str">
        <f>IF(OR(A35="",B35="SKU no encontrado"),"",IF(INDEX(Catalogo!$H$5:$H$905,MATCH(A35,Catalogo!$A$5:$A$905,0))=0,"",INDEX(Catalogo!$H$5:$H$905,MATCH(A35,Catalogo!$A$5:$A$905,0))))</f>
        <v/>
      </c>
      <c r="H35" s="13" t="e">
        <f t="shared" si="0"/>
        <v>#VALUE!</v>
      </c>
      <c r="I35" s="6" t="e">
        <f t="shared" si="1"/>
        <v>#VALUE!</v>
      </c>
      <c r="J35" s="6" t="e">
        <f t="shared" si="2"/>
        <v>#VALUE!</v>
      </c>
      <c r="K35" s="6" t="e">
        <f t="shared" si="3"/>
        <v>#VALUE!</v>
      </c>
      <c r="L35" t="str">
        <f t="shared" si="4"/>
        <v/>
      </c>
    </row>
    <row r="36" spans="1:12" ht="30" customHeight="1">
      <c r="A36" s="9"/>
      <c r="B36" s="5" t="str">
        <f>IF(A36="","",IF(COUNTIF(Catalogo!$A$5:$A$905,A36)=0,"SKU no encontrado",INDEX(Catalogo!$B$5:$B$905,MATCH(A36,Catalogo!$A$5:$A$905,0))))</f>
        <v/>
      </c>
      <c r="C36" t="str">
        <f>IF(OR(A36="",B36="SKU no encontrado"),"",INDEX(Catalogo!$C$5:$C$905,MATCH(A36,Catalogo!$A$5:$A$905,0)))</f>
        <v/>
      </c>
      <c r="D36" s="10"/>
      <c r="E36" s="11"/>
      <c r="F36" s="12"/>
      <c r="G36" s="6" t="str">
        <f>IF(OR(A36="",B36="SKU no encontrado"),"",IF(INDEX(Catalogo!$H$5:$H$905,MATCH(A36,Catalogo!$A$5:$A$905,0))=0,"",INDEX(Catalogo!$H$5:$H$905,MATCH(A36,Catalogo!$A$5:$A$905,0))))</f>
        <v/>
      </c>
      <c r="H36" s="13" t="e">
        <f t="shared" si="0"/>
        <v>#VALUE!</v>
      </c>
      <c r="I36" s="6" t="e">
        <f t="shared" si="1"/>
        <v>#VALUE!</v>
      </c>
      <c r="J36" s="6" t="e">
        <f t="shared" si="2"/>
        <v>#VALUE!</v>
      </c>
      <c r="K36" s="6" t="e">
        <f t="shared" si="3"/>
        <v>#VALUE!</v>
      </c>
      <c r="L36" t="str">
        <f t="shared" si="4"/>
        <v/>
      </c>
    </row>
    <row r="37" spans="1:12" ht="30" customHeight="1">
      <c r="A37" s="9"/>
      <c r="B37" s="5" t="str">
        <f>IF(A37="","",IF(COUNTIF(Catalogo!$A$5:$A$905,A37)=0,"SKU no encontrado",INDEX(Catalogo!$B$5:$B$905,MATCH(A37,Catalogo!$A$5:$A$905,0))))</f>
        <v/>
      </c>
      <c r="C37" t="str">
        <f>IF(OR(A37="",B37="SKU no encontrado"),"",INDEX(Catalogo!$C$5:$C$905,MATCH(A37,Catalogo!$A$5:$A$905,0)))</f>
        <v/>
      </c>
      <c r="D37" s="10"/>
      <c r="E37" s="11"/>
      <c r="F37" s="12"/>
      <c r="G37" s="6" t="str">
        <f>IF(OR(A37="",B37="SKU no encontrado"),"",IF(INDEX(Catalogo!$H$5:$H$905,MATCH(A37,Catalogo!$A$5:$A$905,0))=0,"",INDEX(Catalogo!$H$5:$H$905,MATCH(A37,Catalogo!$A$5:$A$905,0))))</f>
        <v/>
      </c>
      <c r="H37" s="13" t="e">
        <f t="shared" ref="H37:H68" si="5">IF(OR(G37="",F37="",F37&lt;0,C37&lt;=0,F37*C37&gt;G37),"",1-F37*C37/G37)</f>
        <v>#VALUE!</v>
      </c>
      <c r="I37" s="6" t="e">
        <f t="shared" ref="I37:I68" si="6">IF(H37="","",G37-F37*C37)</f>
        <v>#VALUE!</v>
      </c>
      <c r="J37" s="6" t="e">
        <f t="shared" ref="J37:J68" si="7">IF(OR(I37="",E37="",E37&lt;=0),"",I37*E37)</f>
        <v>#VALUE!</v>
      </c>
      <c r="K37" s="6" t="e">
        <f t="shared" ref="K37:K68" si="8">IF(OR(H37="",C37&lt;=0),"",F37*C37)</f>
        <v>#VALUE!</v>
      </c>
      <c r="L37" t="str">
        <f t="shared" ref="L37:L68" si="9">IF(A37="","",IF(B37="SKU no encontrado",B37,IF(G37="","Sin precio válido",IF(F37="","Completar precio deseado",IF(OR(F37&lt;0,C37&lt;=0,F37*C37&gt;G37),"Revisar precio deseado",IF(OR(E37="",E37&lt;=0),"Completar bultos","Estimado proporcional"))))))</f>
        <v/>
      </c>
    </row>
    <row r="38" spans="1:12" ht="30" customHeight="1">
      <c r="A38" s="9"/>
      <c r="B38" s="5" t="str">
        <f>IF(A38="","",IF(COUNTIF(Catalogo!$A$5:$A$905,A38)=0,"SKU no encontrado",INDEX(Catalogo!$B$5:$B$905,MATCH(A38,Catalogo!$A$5:$A$905,0))))</f>
        <v/>
      </c>
      <c r="C38" t="str">
        <f>IF(OR(A38="",B38="SKU no encontrado"),"",INDEX(Catalogo!$C$5:$C$905,MATCH(A38,Catalogo!$A$5:$A$905,0)))</f>
        <v/>
      </c>
      <c r="D38" s="10"/>
      <c r="E38" s="11"/>
      <c r="F38" s="12"/>
      <c r="G38" s="6" t="str">
        <f>IF(OR(A38="",B38="SKU no encontrado"),"",IF(INDEX(Catalogo!$H$5:$H$905,MATCH(A38,Catalogo!$A$5:$A$905,0))=0,"",INDEX(Catalogo!$H$5:$H$905,MATCH(A38,Catalogo!$A$5:$A$905,0))))</f>
        <v/>
      </c>
      <c r="H38" s="13" t="e">
        <f t="shared" si="5"/>
        <v>#VALUE!</v>
      </c>
      <c r="I38" s="6" t="e">
        <f t="shared" si="6"/>
        <v>#VALUE!</v>
      </c>
      <c r="J38" s="6" t="e">
        <f t="shared" si="7"/>
        <v>#VALUE!</v>
      </c>
      <c r="K38" s="6" t="e">
        <f t="shared" si="8"/>
        <v>#VALUE!</v>
      </c>
      <c r="L38" t="str">
        <f t="shared" si="9"/>
        <v/>
      </c>
    </row>
    <row r="39" spans="1:12" ht="30" customHeight="1">
      <c r="A39" s="9"/>
      <c r="B39" s="5" t="str">
        <f>IF(A39="","",IF(COUNTIF(Catalogo!$A$5:$A$905,A39)=0,"SKU no encontrado",INDEX(Catalogo!$B$5:$B$905,MATCH(A39,Catalogo!$A$5:$A$905,0))))</f>
        <v/>
      </c>
      <c r="C39" t="str">
        <f>IF(OR(A39="",B39="SKU no encontrado"),"",INDEX(Catalogo!$C$5:$C$905,MATCH(A39,Catalogo!$A$5:$A$905,0)))</f>
        <v/>
      </c>
      <c r="D39" s="10"/>
      <c r="E39" s="11"/>
      <c r="F39" s="12"/>
      <c r="G39" s="6" t="str">
        <f>IF(OR(A39="",B39="SKU no encontrado"),"",IF(INDEX(Catalogo!$H$5:$H$905,MATCH(A39,Catalogo!$A$5:$A$905,0))=0,"",INDEX(Catalogo!$H$5:$H$905,MATCH(A39,Catalogo!$A$5:$A$905,0))))</f>
        <v/>
      </c>
      <c r="H39" s="13" t="e">
        <f t="shared" si="5"/>
        <v>#VALUE!</v>
      </c>
      <c r="I39" s="6" t="e">
        <f t="shared" si="6"/>
        <v>#VALUE!</v>
      </c>
      <c r="J39" s="6" t="e">
        <f t="shared" si="7"/>
        <v>#VALUE!</v>
      </c>
      <c r="K39" s="6" t="e">
        <f t="shared" si="8"/>
        <v>#VALUE!</v>
      </c>
      <c r="L39" t="str">
        <f t="shared" si="9"/>
        <v/>
      </c>
    </row>
    <row r="40" spans="1:12" ht="30" customHeight="1">
      <c r="A40" s="9"/>
      <c r="B40" s="5" t="str">
        <f>IF(A40="","",IF(COUNTIF(Catalogo!$A$5:$A$905,A40)=0,"SKU no encontrado",INDEX(Catalogo!$B$5:$B$905,MATCH(A40,Catalogo!$A$5:$A$905,0))))</f>
        <v/>
      </c>
      <c r="C40" t="str">
        <f>IF(OR(A40="",B40="SKU no encontrado"),"",INDEX(Catalogo!$C$5:$C$905,MATCH(A40,Catalogo!$A$5:$A$905,0)))</f>
        <v/>
      </c>
      <c r="D40" s="10"/>
      <c r="E40" s="11"/>
      <c r="F40" s="12"/>
      <c r="G40" s="6" t="str">
        <f>IF(OR(A40="",B40="SKU no encontrado"),"",IF(INDEX(Catalogo!$H$5:$H$905,MATCH(A40,Catalogo!$A$5:$A$905,0))=0,"",INDEX(Catalogo!$H$5:$H$905,MATCH(A40,Catalogo!$A$5:$A$905,0))))</f>
        <v/>
      </c>
      <c r="H40" s="13" t="e">
        <f t="shared" si="5"/>
        <v>#VALUE!</v>
      </c>
      <c r="I40" s="6" t="e">
        <f t="shared" si="6"/>
        <v>#VALUE!</v>
      </c>
      <c r="J40" s="6" t="e">
        <f t="shared" si="7"/>
        <v>#VALUE!</v>
      </c>
      <c r="K40" s="6" t="e">
        <f t="shared" si="8"/>
        <v>#VALUE!</v>
      </c>
      <c r="L40" t="str">
        <f t="shared" si="9"/>
        <v/>
      </c>
    </row>
    <row r="41" spans="1:12" ht="30" customHeight="1">
      <c r="A41" s="9"/>
      <c r="B41" s="5" t="str">
        <f>IF(A41="","",IF(COUNTIF(Catalogo!$A$5:$A$905,A41)=0,"SKU no encontrado",INDEX(Catalogo!$B$5:$B$905,MATCH(A41,Catalogo!$A$5:$A$905,0))))</f>
        <v/>
      </c>
      <c r="C41" t="str">
        <f>IF(OR(A41="",B41="SKU no encontrado"),"",INDEX(Catalogo!$C$5:$C$905,MATCH(A41,Catalogo!$A$5:$A$905,0)))</f>
        <v/>
      </c>
      <c r="D41" s="10"/>
      <c r="E41" s="11"/>
      <c r="F41" s="12"/>
      <c r="G41" s="6" t="str">
        <f>IF(OR(A41="",B41="SKU no encontrado"),"",IF(INDEX(Catalogo!$H$5:$H$905,MATCH(A41,Catalogo!$A$5:$A$905,0))=0,"",INDEX(Catalogo!$H$5:$H$905,MATCH(A41,Catalogo!$A$5:$A$905,0))))</f>
        <v/>
      </c>
      <c r="H41" s="13" t="e">
        <f t="shared" si="5"/>
        <v>#VALUE!</v>
      </c>
      <c r="I41" s="6" t="e">
        <f t="shared" si="6"/>
        <v>#VALUE!</v>
      </c>
      <c r="J41" s="6" t="e">
        <f t="shared" si="7"/>
        <v>#VALUE!</v>
      </c>
      <c r="K41" s="6" t="e">
        <f t="shared" si="8"/>
        <v>#VALUE!</v>
      </c>
      <c r="L41" t="str">
        <f t="shared" si="9"/>
        <v/>
      </c>
    </row>
    <row r="42" spans="1:12" ht="30" customHeight="1">
      <c r="A42" s="9"/>
      <c r="B42" s="5" t="str">
        <f>IF(A42="","",IF(COUNTIF(Catalogo!$A$5:$A$905,A42)=0,"SKU no encontrado",INDEX(Catalogo!$B$5:$B$905,MATCH(A42,Catalogo!$A$5:$A$905,0))))</f>
        <v/>
      </c>
      <c r="C42" t="str">
        <f>IF(OR(A42="",B42="SKU no encontrado"),"",INDEX(Catalogo!$C$5:$C$905,MATCH(A42,Catalogo!$A$5:$A$905,0)))</f>
        <v/>
      </c>
      <c r="D42" s="10"/>
      <c r="E42" s="11"/>
      <c r="F42" s="12"/>
      <c r="G42" s="6" t="str">
        <f>IF(OR(A42="",B42="SKU no encontrado"),"",IF(INDEX(Catalogo!$H$5:$H$905,MATCH(A42,Catalogo!$A$5:$A$905,0))=0,"",INDEX(Catalogo!$H$5:$H$905,MATCH(A42,Catalogo!$A$5:$A$905,0))))</f>
        <v/>
      </c>
      <c r="H42" s="13" t="e">
        <f t="shared" si="5"/>
        <v>#VALUE!</v>
      </c>
      <c r="I42" s="6" t="e">
        <f t="shared" si="6"/>
        <v>#VALUE!</v>
      </c>
      <c r="J42" s="6" t="e">
        <f t="shared" si="7"/>
        <v>#VALUE!</v>
      </c>
      <c r="K42" s="6" t="e">
        <f t="shared" si="8"/>
        <v>#VALUE!</v>
      </c>
      <c r="L42" t="str">
        <f t="shared" si="9"/>
        <v/>
      </c>
    </row>
    <row r="43" spans="1:12" ht="30" customHeight="1">
      <c r="A43" s="9"/>
      <c r="B43" s="5" t="str">
        <f>IF(A43="","",IF(COUNTIF(Catalogo!$A$5:$A$905,A43)=0,"SKU no encontrado",INDEX(Catalogo!$B$5:$B$905,MATCH(A43,Catalogo!$A$5:$A$905,0))))</f>
        <v/>
      </c>
      <c r="C43" t="str">
        <f>IF(OR(A43="",B43="SKU no encontrado"),"",INDEX(Catalogo!$C$5:$C$905,MATCH(A43,Catalogo!$A$5:$A$905,0)))</f>
        <v/>
      </c>
      <c r="D43" s="10"/>
      <c r="E43" s="11"/>
      <c r="F43" s="12"/>
      <c r="G43" s="6" t="str">
        <f>IF(OR(A43="",B43="SKU no encontrado"),"",IF(INDEX(Catalogo!$H$5:$H$905,MATCH(A43,Catalogo!$A$5:$A$905,0))=0,"",INDEX(Catalogo!$H$5:$H$905,MATCH(A43,Catalogo!$A$5:$A$905,0))))</f>
        <v/>
      </c>
      <c r="H43" s="13" t="e">
        <f t="shared" si="5"/>
        <v>#VALUE!</v>
      </c>
      <c r="I43" s="6" t="e">
        <f t="shared" si="6"/>
        <v>#VALUE!</v>
      </c>
      <c r="J43" s="6" t="e">
        <f t="shared" si="7"/>
        <v>#VALUE!</v>
      </c>
      <c r="K43" s="6" t="e">
        <f t="shared" si="8"/>
        <v>#VALUE!</v>
      </c>
      <c r="L43" t="str">
        <f t="shared" si="9"/>
        <v/>
      </c>
    </row>
    <row r="44" spans="1:12" ht="30" customHeight="1">
      <c r="A44" s="9"/>
      <c r="B44" s="5" t="str">
        <f>IF(A44="","",IF(COUNTIF(Catalogo!$A$5:$A$905,A44)=0,"SKU no encontrado",INDEX(Catalogo!$B$5:$B$905,MATCH(A44,Catalogo!$A$5:$A$905,0))))</f>
        <v/>
      </c>
      <c r="C44" t="str">
        <f>IF(OR(A44="",B44="SKU no encontrado"),"",INDEX(Catalogo!$C$5:$C$905,MATCH(A44,Catalogo!$A$5:$A$905,0)))</f>
        <v/>
      </c>
      <c r="D44" s="10"/>
      <c r="E44" s="11"/>
      <c r="F44" s="12"/>
      <c r="G44" s="6" t="str">
        <f>IF(OR(A44="",B44="SKU no encontrado"),"",IF(INDEX(Catalogo!$H$5:$H$905,MATCH(A44,Catalogo!$A$5:$A$905,0))=0,"",INDEX(Catalogo!$H$5:$H$905,MATCH(A44,Catalogo!$A$5:$A$905,0))))</f>
        <v/>
      </c>
      <c r="H44" s="13" t="e">
        <f t="shared" si="5"/>
        <v>#VALUE!</v>
      </c>
      <c r="I44" s="6" t="e">
        <f t="shared" si="6"/>
        <v>#VALUE!</v>
      </c>
      <c r="J44" s="6" t="e">
        <f t="shared" si="7"/>
        <v>#VALUE!</v>
      </c>
      <c r="K44" s="6" t="e">
        <f t="shared" si="8"/>
        <v>#VALUE!</v>
      </c>
      <c r="L44" t="str">
        <f t="shared" si="9"/>
        <v/>
      </c>
    </row>
    <row r="45" spans="1:12" ht="30" customHeight="1">
      <c r="A45" s="9"/>
      <c r="B45" s="5" t="str">
        <f>IF(A45="","",IF(COUNTIF(Catalogo!$A$5:$A$905,A45)=0,"SKU no encontrado",INDEX(Catalogo!$B$5:$B$905,MATCH(A45,Catalogo!$A$5:$A$905,0))))</f>
        <v/>
      </c>
      <c r="C45" t="str">
        <f>IF(OR(A45="",B45="SKU no encontrado"),"",INDEX(Catalogo!$C$5:$C$905,MATCH(A45,Catalogo!$A$5:$A$905,0)))</f>
        <v/>
      </c>
      <c r="D45" s="10"/>
      <c r="E45" s="11"/>
      <c r="F45" s="12"/>
      <c r="G45" s="6" t="str">
        <f>IF(OR(A45="",B45="SKU no encontrado"),"",IF(INDEX(Catalogo!$H$5:$H$905,MATCH(A45,Catalogo!$A$5:$A$905,0))=0,"",INDEX(Catalogo!$H$5:$H$905,MATCH(A45,Catalogo!$A$5:$A$905,0))))</f>
        <v/>
      </c>
      <c r="H45" s="13" t="e">
        <f t="shared" si="5"/>
        <v>#VALUE!</v>
      </c>
      <c r="I45" s="6" t="e">
        <f t="shared" si="6"/>
        <v>#VALUE!</v>
      </c>
      <c r="J45" s="6" t="e">
        <f t="shared" si="7"/>
        <v>#VALUE!</v>
      </c>
      <c r="K45" s="6" t="e">
        <f t="shared" si="8"/>
        <v>#VALUE!</v>
      </c>
      <c r="L45" t="str">
        <f t="shared" si="9"/>
        <v/>
      </c>
    </row>
    <row r="46" spans="1:12" ht="30" customHeight="1">
      <c r="A46" s="9"/>
      <c r="B46" s="5" t="str">
        <f>IF(A46="","",IF(COUNTIF(Catalogo!$A$5:$A$905,A46)=0,"SKU no encontrado",INDEX(Catalogo!$B$5:$B$905,MATCH(A46,Catalogo!$A$5:$A$905,0))))</f>
        <v/>
      </c>
      <c r="C46" t="str">
        <f>IF(OR(A46="",B46="SKU no encontrado"),"",INDEX(Catalogo!$C$5:$C$905,MATCH(A46,Catalogo!$A$5:$A$905,0)))</f>
        <v/>
      </c>
      <c r="D46" s="10"/>
      <c r="E46" s="11"/>
      <c r="F46" s="12"/>
      <c r="G46" s="6" t="str">
        <f>IF(OR(A46="",B46="SKU no encontrado"),"",IF(INDEX(Catalogo!$H$5:$H$905,MATCH(A46,Catalogo!$A$5:$A$905,0))=0,"",INDEX(Catalogo!$H$5:$H$905,MATCH(A46,Catalogo!$A$5:$A$905,0))))</f>
        <v/>
      </c>
      <c r="H46" s="13" t="e">
        <f t="shared" si="5"/>
        <v>#VALUE!</v>
      </c>
      <c r="I46" s="6" t="e">
        <f t="shared" si="6"/>
        <v>#VALUE!</v>
      </c>
      <c r="J46" s="6" t="e">
        <f t="shared" si="7"/>
        <v>#VALUE!</v>
      </c>
      <c r="K46" s="6" t="e">
        <f t="shared" si="8"/>
        <v>#VALUE!</v>
      </c>
      <c r="L46" t="str">
        <f t="shared" si="9"/>
        <v/>
      </c>
    </row>
    <row r="47" spans="1:12" ht="30" customHeight="1">
      <c r="A47" s="9"/>
      <c r="B47" s="5" t="str">
        <f>IF(A47="","",IF(COUNTIF(Catalogo!$A$5:$A$905,A47)=0,"SKU no encontrado",INDEX(Catalogo!$B$5:$B$905,MATCH(A47,Catalogo!$A$5:$A$905,0))))</f>
        <v/>
      </c>
      <c r="C47" t="str">
        <f>IF(OR(A47="",B47="SKU no encontrado"),"",INDEX(Catalogo!$C$5:$C$905,MATCH(A47,Catalogo!$A$5:$A$905,0)))</f>
        <v/>
      </c>
      <c r="D47" s="10"/>
      <c r="E47" s="11"/>
      <c r="F47" s="12"/>
      <c r="G47" s="6" t="str">
        <f>IF(OR(A47="",B47="SKU no encontrado"),"",IF(INDEX(Catalogo!$H$5:$H$905,MATCH(A47,Catalogo!$A$5:$A$905,0))=0,"",INDEX(Catalogo!$H$5:$H$905,MATCH(A47,Catalogo!$A$5:$A$905,0))))</f>
        <v/>
      </c>
      <c r="H47" s="13" t="e">
        <f t="shared" si="5"/>
        <v>#VALUE!</v>
      </c>
      <c r="I47" s="6" t="e">
        <f t="shared" si="6"/>
        <v>#VALUE!</v>
      </c>
      <c r="J47" s="6" t="e">
        <f t="shared" si="7"/>
        <v>#VALUE!</v>
      </c>
      <c r="K47" s="6" t="e">
        <f t="shared" si="8"/>
        <v>#VALUE!</v>
      </c>
      <c r="L47" t="str">
        <f t="shared" si="9"/>
        <v/>
      </c>
    </row>
    <row r="48" spans="1:12" ht="30" customHeight="1">
      <c r="A48" s="9"/>
      <c r="B48" s="5" t="str">
        <f>IF(A48="","",IF(COUNTIF(Catalogo!$A$5:$A$905,A48)=0,"SKU no encontrado",INDEX(Catalogo!$B$5:$B$905,MATCH(A48,Catalogo!$A$5:$A$905,0))))</f>
        <v/>
      </c>
      <c r="C48" t="str">
        <f>IF(OR(A48="",B48="SKU no encontrado"),"",INDEX(Catalogo!$C$5:$C$905,MATCH(A48,Catalogo!$A$5:$A$905,0)))</f>
        <v/>
      </c>
      <c r="D48" s="10"/>
      <c r="E48" s="11"/>
      <c r="F48" s="12"/>
      <c r="G48" s="6" t="str">
        <f>IF(OR(A48="",B48="SKU no encontrado"),"",IF(INDEX(Catalogo!$H$5:$H$905,MATCH(A48,Catalogo!$A$5:$A$905,0))=0,"",INDEX(Catalogo!$H$5:$H$905,MATCH(A48,Catalogo!$A$5:$A$905,0))))</f>
        <v/>
      </c>
      <c r="H48" s="13" t="e">
        <f t="shared" si="5"/>
        <v>#VALUE!</v>
      </c>
      <c r="I48" s="6" t="e">
        <f t="shared" si="6"/>
        <v>#VALUE!</v>
      </c>
      <c r="J48" s="6" t="e">
        <f t="shared" si="7"/>
        <v>#VALUE!</v>
      </c>
      <c r="K48" s="6" t="e">
        <f t="shared" si="8"/>
        <v>#VALUE!</v>
      </c>
      <c r="L48" t="str">
        <f t="shared" si="9"/>
        <v/>
      </c>
    </row>
    <row r="49" spans="1:12" ht="30" customHeight="1">
      <c r="A49" s="9"/>
      <c r="B49" s="5" t="str">
        <f>IF(A49="","",IF(COUNTIF(Catalogo!$A$5:$A$905,A49)=0,"SKU no encontrado",INDEX(Catalogo!$B$5:$B$905,MATCH(A49,Catalogo!$A$5:$A$905,0))))</f>
        <v/>
      </c>
      <c r="C49" t="str">
        <f>IF(OR(A49="",B49="SKU no encontrado"),"",INDEX(Catalogo!$C$5:$C$905,MATCH(A49,Catalogo!$A$5:$A$905,0)))</f>
        <v/>
      </c>
      <c r="D49" s="10"/>
      <c r="E49" s="11"/>
      <c r="F49" s="12"/>
      <c r="G49" s="6" t="str">
        <f>IF(OR(A49="",B49="SKU no encontrado"),"",IF(INDEX(Catalogo!$H$5:$H$905,MATCH(A49,Catalogo!$A$5:$A$905,0))=0,"",INDEX(Catalogo!$H$5:$H$905,MATCH(A49,Catalogo!$A$5:$A$905,0))))</f>
        <v/>
      </c>
      <c r="H49" s="13" t="e">
        <f t="shared" si="5"/>
        <v>#VALUE!</v>
      </c>
      <c r="I49" s="6" t="e">
        <f t="shared" si="6"/>
        <v>#VALUE!</v>
      </c>
      <c r="J49" s="6" t="e">
        <f t="shared" si="7"/>
        <v>#VALUE!</v>
      </c>
      <c r="K49" s="6" t="e">
        <f t="shared" si="8"/>
        <v>#VALUE!</v>
      </c>
      <c r="L49" t="str">
        <f t="shared" si="9"/>
        <v/>
      </c>
    </row>
    <row r="50" spans="1:12" ht="30" customHeight="1">
      <c r="A50" s="9"/>
      <c r="B50" s="5" t="str">
        <f>IF(A50="","",IF(COUNTIF(Catalogo!$A$5:$A$905,A50)=0,"SKU no encontrado",INDEX(Catalogo!$B$5:$B$905,MATCH(A50,Catalogo!$A$5:$A$905,0))))</f>
        <v/>
      </c>
      <c r="C50" t="str">
        <f>IF(OR(A50="",B50="SKU no encontrado"),"",INDEX(Catalogo!$C$5:$C$905,MATCH(A50,Catalogo!$A$5:$A$905,0)))</f>
        <v/>
      </c>
      <c r="D50" s="10"/>
      <c r="E50" s="11"/>
      <c r="F50" s="12"/>
      <c r="G50" s="6" t="str">
        <f>IF(OR(A50="",B50="SKU no encontrado"),"",IF(INDEX(Catalogo!$H$5:$H$905,MATCH(A50,Catalogo!$A$5:$A$905,0))=0,"",INDEX(Catalogo!$H$5:$H$905,MATCH(A50,Catalogo!$A$5:$A$905,0))))</f>
        <v/>
      </c>
      <c r="H50" s="13" t="e">
        <f t="shared" si="5"/>
        <v>#VALUE!</v>
      </c>
      <c r="I50" s="6" t="e">
        <f t="shared" si="6"/>
        <v>#VALUE!</v>
      </c>
      <c r="J50" s="6" t="e">
        <f t="shared" si="7"/>
        <v>#VALUE!</v>
      </c>
      <c r="K50" s="6" t="e">
        <f t="shared" si="8"/>
        <v>#VALUE!</v>
      </c>
      <c r="L50" t="str">
        <f t="shared" si="9"/>
        <v/>
      </c>
    </row>
    <row r="51" spans="1:12" ht="30" customHeight="1">
      <c r="A51" s="9"/>
      <c r="B51" s="5" t="str">
        <f>IF(A51="","",IF(COUNTIF(Catalogo!$A$5:$A$905,A51)=0,"SKU no encontrado",INDEX(Catalogo!$B$5:$B$905,MATCH(A51,Catalogo!$A$5:$A$905,0))))</f>
        <v/>
      </c>
      <c r="C51" t="str">
        <f>IF(OR(A51="",B51="SKU no encontrado"),"",INDEX(Catalogo!$C$5:$C$905,MATCH(A51,Catalogo!$A$5:$A$905,0)))</f>
        <v/>
      </c>
      <c r="D51" s="10"/>
      <c r="E51" s="11"/>
      <c r="F51" s="12"/>
      <c r="G51" s="6" t="str">
        <f>IF(OR(A51="",B51="SKU no encontrado"),"",IF(INDEX(Catalogo!$H$5:$H$905,MATCH(A51,Catalogo!$A$5:$A$905,0))=0,"",INDEX(Catalogo!$H$5:$H$905,MATCH(A51,Catalogo!$A$5:$A$905,0))))</f>
        <v/>
      </c>
      <c r="H51" s="13" t="e">
        <f t="shared" si="5"/>
        <v>#VALUE!</v>
      </c>
      <c r="I51" s="6" t="e">
        <f t="shared" si="6"/>
        <v>#VALUE!</v>
      </c>
      <c r="J51" s="6" t="e">
        <f t="shared" si="7"/>
        <v>#VALUE!</v>
      </c>
      <c r="K51" s="6" t="e">
        <f t="shared" si="8"/>
        <v>#VALUE!</v>
      </c>
      <c r="L51" t="str">
        <f t="shared" si="9"/>
        <v/>
      </c>
    </row>
    <row r="52" spans="1:12" ht="30" customHeight="1">
      <c r="A52" s="9"/>
      <c r="B52" s="5" t="str">
        <f>IF(A52="","",IF(COUNTIF(Catalogo!$A$5:$A$905,A52)=0,"SKU no encontrado",INDEX(Catalogo!$B$5:$B$905,MATCH(A52,Catalogo!$A$5:$A$905,0))))</f>
        <v/>
      </c>
      <c r="C52" t="str">
        <f>IF(OR(A52="",B52="SKU no encontrado"),"",INDEX(Catalogo!$C$5:$C$905,MATCH(A52,Catalogo!$A$5:$A$905,0)))</f>
        <v/>
      </c>
      <c r="D52" s="10"/>
      <c r="E52" s="11"/>
      <c r="F52" s="12"/>
      <c r="G52" s="6" t="str">
        <f>IF(OR(A52="",B52="SKU no encontrado"),"",IF(INDEX(Catalogo!$H$5:$H$905,MATCH(A52,Catalogo!$A$5:$A$905,0))=0,"",INDEX(Catalogo!$H$5:$H$905,MATCH(A52,Catalogo!$A$5:$A$905,0))))</f>
        <v/>
      </c>
      <c r="H52" s="13" t="e">
        <f t="shared" si="5"/>
        <v>#VALUE!</v>
      </c>
      <c r="I52" s="6" t="e">
        <f t="shared" si="6"/>
        <v>#VALUE!</v>
      </c>
      <c r="J52" s="6" t="e">
        <f t="shared" si="7"/>
        <v>#VALUE!</v>
      </c>
      <c r="K52" s="6" t="e">
        <f t="shared" si="8"/>
        <v>#VALUE!</v>
      </c>
      <c r="L52" t="str">
        <f t="shared" si="9"/>
        <v/>
      </c>
    </row>
    <row r="53" spans="1:12" ht="30" customHeight="1">
      <c r="A53" s="9"/>
      <c r="B53" s="5" t="str">
        <f>IF(A53="","",IF(COUNTIF(Catalogo!$A$5:$A$905,A53)=0,"SKU no encontrado",INDEX(Catalogo!$B$5:$B$905,MATCH(A53,Catalogo!$A$5:$A$905,0))))</f>
        <v/>
      </c>
      <c r="C53" t="str">
        <f>IF(OR(A53="",B53="SKU no encontrado"),"",INDEX(Catalogo!$C$5:$C$905,MATCH(A53,Catalogo!$A$5:$A$905,0)))</f>
        <v/>
      </c>
      <c r="D53" s="10"/>
      <c r="E53" s="11"/>
      <c r="F53" s="12"/>
      <c r="G53" s="6" t="str">
        <f>IF(OR(A53="",B53="SKU no encontrado"),"",IF(INDEX(Catalogo!$H$5:$H$905,MATCH(A53,Catalogo!$A$5:$A$905,0))=0,"",INDEX(Catalogo!$H$5:$H$905,MATCH(A53,Catalogo!$A$5:$A$905,0))))</f>
        <v/>
      </c>
      <c r="H53" s="13" t="e">
        <f t="shared" si="5"/>
        <v>#VALUE!</v>
      </c>
      <c r="I53" s="6" t="e">
        <f t="shared" si="6"/>
        <v>#VALUE!</v>
      </c>
      <c r="J53" s="6" t="e">
        <f t="shared" si="7"/>
        <v>#VALUE!</v>
      </c>
      <c r="K53" s="6" t="e">
        <f t="shared" si="8"/>
        <v>#VALUE!</v>
      </c>
      <c r="L53" t="str">
        <f t="shared" si="9"/>
        <v/>
      </c>
    </row>
    <row r="54" spans="1:12" ht="30" customHeight="1">
      <c r="A54" s="9"/>
      <c r="B54" s="5" t="str">
        <f>IF(A54="","",IF(COUNTIF(Catalogo!$A$5:$A$905,A54)=0,"SKU no encontrado",INDEX(Catalogo!$B$5:$B$905,MATCH(A54,Catalogo!$A$5:$A$905,0))))</f>
        <v/>
      </c>
      <c r="C54" t="str">
        <f>IF(OR(A54="",B54="SKU no encontrado"),"",INDEX(Catalogo!$C$5:$C$905,MATCH(A54,Catalogo!$A$5:$A$905,0)))</f>
        <v/>
      </c>
      <c r="D54" s="10"/>
      <c r="E54" s="11"/>
      <c r="F54" s="12"/>
      <c r="G54" s="6" t="str">
        <f>IF(OR(A54="",B54="SKU no encontrado"),"",IF(INDEX(Catalogo!$H$5:$H$905,MATCH(A54,Catalogo!$A$5:$A$905,0))=0,"",INDEX(Catalogo!$H$5:$H$905,MATCH(A54,Catalogo!$A$5:$A$905,0))))</f>
        <v/>
      </c>
      <c r="H54" s="13" t="e">
        <f t="shared" si="5"/>
        <v>#VALUE!</v>
      </c>
      <c r="I54" s="6" t="e">
        <f t="shared" si="6"/>
        <v>#VALUE!</v>
      </c>
      <c r="J54" s="6" t="e">
        <f t="shared" si="7"/>
        <v>#VALUE!</v>
      </c>
      <c r="K54" s="6" t="e">
        <f t="shared" si="8"/>
        <v>#VALUE!</v>
      </c>
      <c r="L54" t="str">
        <f t="shared" si="9"/>
        <v/>
      </c>
    </row>
    <row r="55" spans="1:12" ht="30" customHeight="1">
      <c r="A55" s="9"/>
      <c r="B55" s="5" t="str">
        <f>IF(A55="","",IF(COUNTIF(Catalogo!$A$5:$A$905,A55)=0,"SKU no encontrado",INDEX(Catalogo!$B$5:$B$905,MATCH(A55,Catalogo!$A$5:$A$905,0))))</f>
        <v/>
      </c>
      <c r="C55" t="str">
        <f>IF(OR(A55="",B55="SKU no encontrado"),"",INDEX(Catalogo!$C$5:$C$905,MATCH(A55,Catalogo!$A$5:$A$905,0)))</f>
        <v/>
      </c>
      <c r="D55" s="10"/>
      <c r="E55" s="11"/>
      <c r="F55" s="12"/>
      <c r="G55" s="6" t="str">
        <f>IF(OR(A55="",B55="SKU no encontrado"),"",IF(INDEX(Catalogo!$H$5:$H$905,MATCH(A55,Catalogo!$A$5:$A$905,0))=0,"",INDEX(Catalogo!$H$5:$H$905,MATCH(A55,Catalogo!$A$5:$A$905,0))))</f>
        <v/>
      </c>
      <c r="H55" s="13" t="e">
        <f t="shared" si="5"/>
        <v>#VALUE!</v>
      </c>
      <c r="I55" s="6" t="e">
        <f t="shared" si="6"/>
        <v>#VALUE!</v>
      </c>
      <c r="J55" s="6" t="e">
        <f t="shared" si="7"/>
        <v>#VALUE!</v>
      </c>
      <c r="K55" s="6" t="e">
        <f t="shared" si="8"/>
        <v>#VALUE!</v>
      </c>
      <c r="L55" t="str">
        <f t="shared" si="9"/>
        <v/>
      </c>
    </row>
    <row r="56" spans="1:12" ht="30" customHeight="1">
      <c r="A56" s="9"/>
      <c r="B56" s="5" t="str">
        <f>IF(A56="","",IF(COUNTIF(Catalogo!$A$5:$A$905,A56)=0,"SKU no encontrado",INDEX(Catalogo!$B$5:$B$905,MATCH(A56,Catalogo!$A$5:$A$905,0))))</f>
        <v/>
      </c>
      <c r="C56" t="str">
        <f>IF(OR(A56="",B56="SKU no encontrado"),"",INDEX(Catalogo!$C$5:$C$905,MATCH(A56,Catalogo!$A$5:$A$905,0)))</f>
        <v/>
      </c>
      <c r="D56" s="10"/>
      <c r="E56" s="11"/>
      <c r="F56" s="12"/>
      <c r="G56" s="6" t="str">
        <f>IF(OR(A56="",B56="SKU no encontrado"),"",IF(INDEX(Catalogo!$H$5:$H$905,MATCH(A56,Catalogo!$A$5:$A$905,0))=0,"",INDEX(Catalogo!$H$5:$H$905,MATCH(A56,Catalogo!$A$5:$A$905,0))))</f>
        <v/>
      </c>
      <c r="H56" s="13" t="e">
        <f t="shared" si="5"/>
        <v>#VALUE!</v>
      </c>
      <c r="I56" s="6" t="e">
        <f t="shared" si="6"/>
        <v>#VALUE!</v>
      </c>
      <c r="J56" s="6" t="e">
        <f t="shared" si="7"/>
        <v>#VALUE!</v>
      </c>
      <c r="K56" s="6" t="e">
        <f t="shared" si="8"/>
        <v>#VALUE!</v>
      </c>
      <c r="L56" t="str">
        <f t="shared" si="9"/>
        <v/>
      </c>
    </row>
    <row r="57" spans="1:12" ht="30" customHeight="1">
      <c r="A57" s="9"/>
      <c r="B57" s="5" t="str">
        <f>IF(A57="","",IF(COUNTIF(Catalogo!$A$5:$A$905,A57)=0,"SKU no encontrado",INDEX(Catalogo!$B$5:$B$905,MATCH(A57,Catalogo!$A$5:$A$905,0))))</f>
        <v/>
      </c>
      <c r="C57" t="str">
        <f>IF(OR(A57="",B57="SKU no encontrado"),"",INDEX(Catalogo!$C$5:$C$905,MATCH(A57,Catalogo!$A$5:$A$905,0)))</f>
        <v/>
      </c>
      <c r="D57" s="10"/>
      <c r="E57" s="11"/>
      <c r="F57" s="12"/>
      <c r="G57" s="6" t="str">
        <f>IF(OR(A57="",B57="SKU no encontrado"),"",IF(INDEX(Catalogo!$H$5:$H$905,MATCH(A57,Catalogo!$A$5:$A$905,0))=0,"",INDEX(Catalogo!$H$5:$H$905,MATCH(A57,Catalogo!$A$5:$A$905,0))))</f>
        <v/>
      </c>
      <c r="H57" s="13" t="e">
        <f t="shared" si="5"/>
        <v>#VALUE!</v>
      </c>
      <c r="I57" s="6" t="e">
        <f t="shared" si="6"/>
        <v>#VALUE!</v>
      </c>
      <c r="J57" s="6" t="e">
        <f t="shared" si="7"/>
        <v>#VALUE!</v>
      </c>
      <c r="K57" s="6" t="e">
        <f t="shared" si="8"/>
        <v>#VALUE!</v>
      </c>
      <c r="L57" t="str">
        <f t="shared" si="9"/>
        <v/>
      </c>
    </row>
    <row r="58" spans="1:12" ht="30" customHeight="1">
      <c r="A58" s="9"/>
      <c r="B58" s="5" t="str">
        <f>IF(A58="","",IF(COUNTIF(Catalogo!$A$5:$A$905,A58)=0,"SKU no encontrado",INDEX(Catalogo!$B$5:$B$905,MATCH(A58,Catalogo!$A$5:$A$905,0))))</f>
        <v/>
      </c>
      <c r="C58" t="str">
        <f>IF(OR(A58="",B58="SKU no encontrado"),"",INDEX(Catalogo!$C$5:$C$905,MATCH(A58,Catalogo!$A$5:$A$905,0)))</f>
        <v/>
      </c>
      <c r="D58" s="10"/>
      <c r="E58" s="11"/>
      <c r="F58" s="12"/>
      <c r="G58" s="6" t="str">
        <f>IF(OR(A58="",B58="SKU no encontrado"),"",IF(INDEX(Catalogo!$H$5:$H$905,MATCH(A58,Catalogo!$A$5:$A$905,0))=0,"",INDEX(Catalogo!$H$5:$H$905,MATCH(A58,Catalogo!$A$5:$A$905,0))))</f>
        <v/>
      </c>
      <c r="H58" s="13" t="e">
        <f t="shared" si="5"/>
        <v>#VALUE!</v>
      </c>
      <c r="I58" s="6" t="e">
        <f t="shared" si="6"/>
        <v>#VALUE!</v>
      </c>
      <c r="J58" s="6" t="e">
        <f t="shared" si="7"/>
        <v>#VALUE!</v>
      </c>
      <c r="K58" s="6" t="e">
        <f t="shared" si="8"/>
        <v>#VALUE!</v>
      </c>
      <c r="L58" t="str">
        <f t="shared" si="9"/>
        <v/>
      </c>
    </row>
    <row r="59" spans="1:12" ht="30" customHeight="1">
      <c r="A59" s="9"/>
      <c r="B59" s="5" t="str">
        <f>IF(A59="","",IF(COUNTIF(Catalogo!$A$5:$A$905,A59)=0,"SKU no encontrado",INDEX(Catalogo!$B$5:$B$905,MATCH(A59,Catalogo!$A$5:$A$905,0))))</f>
        <v/>
      </c>
      <c r="C59" t="str">
        <f>IF(OR(A59="",B59="SKU no encontrado"),"",INDEX(Catalogo!$C$5:$C$905,MATCH(A59,Catalogo!$A$5:$A$905,0)))</f>
        <v/>
      </c>
      <c r="D59" s="10"/>
      <c r="E59" s="11"/>
      <c r="F59" s="12"/>
      <c r="G59" s="6" t="str">
        <f>IF(OR(A59="",B59="SKU no encontrado"),"",IF(INDEX(Catalogo!$H$5:$H$905,MATCH(A59,Catalogo!$A$5:$A$905,0))=0,"",INDEX(Catalogo!$H$5:$H$905,MATCH(A59,Catalogo!$A$5:$A$905,0))))</f>
        <v/>
      </c>
      <c r="H59" s="13" t="e">
        <f t="shared" si="5"/>
        <v>#VALUE!</v>
      </c>
      <c r="I59" s="6" t="e">
        <f t="shared" si="6"/>
        <v>#VALUE!</v>
      </c>
      <c r="J59" s="6" t="e">
        <f t="shared" si="7"/>
        <v>#VALUE!</v>
      </c>
      <c r="K59" s="6" t="e">
        <f t="shared" si="8"/>
        <v>#VALUE!</v>
      </c>
      <c r="L59" t="str">
        <f t="shared" si="9"/>
        <v/>
      </c>
    </row>
    <row r="60" spans="1:12" ht="30" customHeight="1">
      <c r="A60" s="9"/>
      <c r="B60" s="5" t="str">
        <f>IF(A60="","",IF(COUNTIF(Catalogo!$A$5:$A$905,A60)=0,"SKU no encontrado",INDEX(Catalogo!$B$5:$B$905,MATCH(A60,Catalogo!$A$5:$A$905,0))))</f>
        <v/>
      </c>
      <c r="C60" t="str">
        <f>IF(OR(A60="",B60="SKU no encontrado"),"",INDEX(Catalogo!$C$5:$C$905,MATCH(A60,Catalogo!$A$5:$A$905,0)))</f>
        <v/>
      </c>
      <c r="D60" s="10"/>
      <c r="E60" s="11"/>
      <c r="F60" s="12"/>
      <c r="G60" s="6" t="str">
        <f>IF(OR(A60="",B60="SKU no encontrado"),"",IF(INDEX(Catalogo!$H$5:$H$905,MATCH(A60,Catalogo!$A$5:$A$905,0))=0,"",INDEX(Catalogo!$H$5:$H$905,MATCH(A60,Catalogo!$A$5:$A$905,0))))</f>
        <v/>
      </c>
      <c r="H60" s="13" t="e">
        <f t="shared" si="5"/>
        <v>#VALUE!</v>
      </c>
      <c r="I60" s="6" t="e">
        <f t="shared" si="6"/>
        <v>#VALUE!</v>
      </c>
      <c r="J60" s="6" t="e">
        <f t="shared" si="7"/>
        <v>#VALUE!</v>
      </c>
      <c r="K60" s="6" t="e">
        <f t="shared" si="8"/>
        <v>#VALUE!</v>
      </c>
      <c r="L60" t="str">
        <f t="shared" si="9"/>
        <v/>
      </c>
    </row>
    <row r="61" spans="1:12" ht="30" customHeight="1">
      <c r="A61" s="9"/>
      <c r="B61" s="5" t="str">
        <f>IF(A61="","",IF(COUNTIF(Catalogo!$A$5:$A$905,A61)=0,"SKU no encontrado",INDEX(Catalogo!$B$5:$B$905,MATCH(A61,Catalogo!$A$5:$A$905,0))))</f>
        <v/>
      </c>
      <c r="C61" t="str">
        <f>IF(OR(A61="",B61="SKU no encontrado"),"",INDEX(Catalogo!$C$5:$C$905,MATCH(A61,Catalogo!$A$5:$A$905,0)))</f>
        <v/>
      </c>
      <c r="D61" s="10"/>
      <c r="E61" s="11"/>
      <c r="F61" s="12"/>
      <c r="G61" s="6" t="str">
        <f>IF(OR(A61="",B61="SKU no encontrado"),"",IF(INDEX(Catalogo!$H$5:$H$905,MATCH(A61,Catalogo!$A$5:$A$905,0))=0,"",INDEX(Catalogo!$H$5:$H$905,MATCH(A61,Catalogo!$A$5:$A$905,0))))</f>
        <v/>
      </c>
      <c r="H61" s="13" t="e">
        <f t="shared" si="5"/>
        <v>#VALUE!</v>
      </c>
      <c r="I61" s="6" t="e">
        <f t="shared" si="6"/>
        <v>#VALUE!</v>
      </c>
      <c r="J61" s="6" t="e">
        <f t="shared" si="7"/>
        <v>#VALUE!</v>
      </c>
      <c r="K61" s="6" t="e">
        <f t="shared" si="8"/>
        <v>#VALUE!</v>
      </c>
      <c r="L61" t="str">
        <f t="shared" si="9"/>
        <v/>
      </c>
    </row>
    <row r="62" spans="1:12" ht="30" customHeight="1">
      <c r="A62" s="9"/>
      <c r="B62" s="5" t="str">
        <f>IF(A62="","",IF(COUNTIF(Catalogo!$A$5:$A$905,A62)=0,"SKU no encontrado",INDEX(Catalogo!$B$5:$B$905,MATCH(A62,Catalogo!$A$5:$A$905,0))))</f>
        <v/>
      </c>
      <c r="C62" t="str">
        <f>IF(OR(A62="",B62="SKU no encontrado"),"",INDEX(Catalogo!$C$5:$C$905,MATCH(A62,Catalogo!$A$5:$A$905,0)))</f>
        <v/>
      </c>
      <c r="D62" s="10"/>
      <c r="E62" s="11"/>
      <c r="F62" s="12"/>
      <c r="G62" s="6" t="str">
        <f>IF(OR(A62="",B62="SKU no encontrado"),"",IF(INDEX(Catalogo!$H$5:$H$905,MATCH(A62,Catalogo!$A$5:$A$905,0))=0,"",INDEX(Catalogo!$H$5:$H$905,MATCH(A62,Catalogo!$A$5:$A$905,0))))</f>
        <v/>
      </c>
      <c r="H62" s="13" t="e">
        <f t="shared" si="5"/>
        <v>#VALUE!</v>
      </c>
      <c r="I62" s="6" t="e">
        <f t="shared" si="6"/>
        <v>#VALUE!</v>
      </c>
      <c r="J62" s="6" t="e">
        <f t="shared" si="7"/>
        <v>#VALUE!</v>
      </c>
      <c r="K62" s="6" t="e">
        <f t="shared" si="8"/>
        <v>#VALUE!</v>
      </c>
      <c r="L62" t="str">
        <f t="shared" si="9"/>
        <v/>
      </c>
    </row>
    <row r="63" spans="1:12" ht="30" customHeight="1">
      <c r="A63" s="9"/>
      <c r="B63" s="5" t="str">
        <f>IF(A63="","",IF(COUNTIF(Catalogo!$A$5:$A$905,A63)=0,"SKU no encontrado",INDEX(Catalogo!$B$5:$B$905,MATCH(A63,Catalogo!$A$5:$A$905,0))))</f>
        <v/>
      </c>
      <c r="C63" t="str">
        <f>IF(OR(A63="",B63="SKU no encontrado"),"",INDEX(Catalogo!$C$5:$C$905,MATCH(A63,Catalogo!$A$5:$A$905,0)))</f>
        <v/>
      </c>
      <c r="D63" s="10"/>
      <c r="E63" s="11"/>
      <c r="F63" s="12"/>
      <c r="G63" s="6" t="str">
        <f>IF(OR(A63="",B63="SKU no encontrado"),"",IF(INDEX(Catalogo!$H$5:$H$905,MATCH(A63,Catalogo!$A$5:$A$905,0))=0,"",INDEX(Catalogo!$H$5:$H$905,MATCH(A63,Catalogo!$A$5:$A$905,0))))</f>
        <v/>
      </c>
      <c r="H63" s="13" t="e">
        <f t="shared" si="5"/>
        <v>#VALUE!</v>
      </c>
      <c r="I63" s="6" t="e">
        <f t="shared" si="6"/>
        <v>#VALUE!</v>
      </c>
      <c r="J63" s="6" t="e">
        <f t="shared" si="7"/>
        <v>#VALUE!</v>
      </c>
      <c r="K63" s="6" t="e">
        <f t="shared" si="8"/>
        <v>#VALUE!</v>
      </c>
      <c r="L63" t="str">
        <f t="shared" si="9"/>
        <v/>
      </c>
    </row>
    <row r="64" spans="1:12" ht="30" customHeight="1">
      <c r="A64" s="9"/>
      <c r="B64" s="5" t="str">
        <f>IF(A64="","",IF(COUNTIF(Catalogo!$A$5:$A$905,A64)=0,"SKU no encontrado",INDEX(Catalogo!$B$5:$B$905,MATCH(A64,Catalogo!$A$5:$A$905,0))))</f>
        <v/>
      </c>
      <c r="C64" t="str">
        <f>IF(OR(A64="",B64="SKU no encontrado"),"",INDEX(Catalogo!$C$5:$C$905,MATCH(A64,Catalogo!$A$5:$A$905,0)))</f>
        <v/>
      </c>
      <c r="D64" s="10"/>
      <c r="E64" s="11"/>
      <c r="F64" s="12"/>
      <c r="G64" s="6" t="str">
        <f>IF(OR(A64="",B64="SKU no encontrado"),"",IF(INDEX(Catalogo!$H$5:$H$905,MATCH(A64,Catalogo!$A$5:$A$905,0))=0,"",INDEX(Catalogo!$H$5:$H$905,MATCH(A64,Catalogo!$A$5:$A$905,0))))</f>
        <v/>
      </c>
      <c r="H64" s="13" t="e">
        <f t="shared" si="5"/>
        <v>#VALUE!</v>
      </c>
      <c r="I64" s="6" t="e">
        <f t="shared" si="6"/>
        <v>#VALUE!</v>
      </c>
      <c r="J64" s="6" t="e">
        <f t="shared" si="7"/>
        <v>#VALUE!</v>
      </c>
      <c r="K64" s="6" t="e">
        <f t="shared" si="8"/>
        <v>#VALUE!</v>
      </c>
      <c r="L64" t="str">
        <f t="shared" si="9"/>
        <v/>
      </c>
    </row>
    <row r="65" spans="1:12" ht="30" customHeight="1">
      <c r="A65" s="9"/>
      <c r="B65" s="5" t="str">
        <f>IF(A65="","",IF(COUNTIF(Catalogo!$A$5:$A$905,A65)=0,"SKU no encontrado",INDEX(Catalogo!$B$5:$B$905,MATCH(A65,Catalogo!$A$5:$A$905,0))))</f>
        <v/>
      </c>
      <c r="C65" t="str">
        <f>IF(OR(A65="",B65="SKU no encontrado"),"",INDEX(Catalogo!$C$5:$C$905,MATCH(A65,Catalogo!$A$5:$A$905,0)))</f>
        <v/>
      </c>
      <c r="D65" s="10"/>
      <c r="E65" s="11"/>
      <c r="F65" s="12"/>
      <c r="G65" s="6" t="str">
        <f>IF(OR(A65="",B65="SKU no encontrado"),"",IF(INDEX(Catalogo!$H$5:$H$905,MATCH(A65,Catalogo!$A$5:$A$905,0))=0,"",INDEX(Catalogo!$H$5:$H$905,MATCH(A65,Catalogo!$A$5:$A$905,0))))</f>
        <v/>
      </c>
      <c r="H65" s="13" t="e">
        <f t="shared" si="5"/>
        <v>#VALUE!</v>
      </c>
      <c r="I65" s="6" t="e">
        <f t="shared" si="6"/>
        <v>#VALUE!</v>
      </c>
      <c r="J65" s="6" t="e">
        <f t="shared" si="7"/>
        <v>#VALUE!</v>
      </c>
      <c r="K65" s="6" t="e">
        <f t="shared" si="8"/>
        <v>#VALUE!</v>
      </c>
      <c r="L65" t="str">
        <f t="shared" si="9"/>
        <v/>
      </c>
    </row>
    <row r="66" spans="1:12" ht="30" customHeight="1">
      <c r="A66" s="9"/>
      <c r="B66" s="5" t="str">
        <f>IF(A66="","",IF(COUNTIF(Catalogo!$A$5:$A$905,A66)=0,"SKU no encontrado",INDEX(Catalogo!$B$5:$B$905,MATCH(A66,Catalogo!$A$5:$A$905,0))))</f>
        <v/>
      </c>
      <c r="C66" t="str">
        <f>IF(OR(A66="",B66="SKU no encontrado"),"",INDEX(Catalogo!$C$5:$C$905,MATCH(A66,Catalogo!$A$5:$A$905,0)))</f>
        <v/>
      </c>
      <c r="D66" s="10"/>
      <c r="E66" s="11"/>
      <c r="F66" s="12"/>
      <c r="G66" s="6" t="str">
        <f>IF(OR(A66="",B66="SKU no encontrado"),"",IF(INDEX(Catalogo!$H$5:$H$905,MATCH(A66,Catalogo!$A$5:$A$905,0))=0,"",INDEX(Catalogo!$H$5:$H$905,MATCH(A66,Catalogo!$A$5:$A$905,0))))</f>
        <v/>
      </c>
      <c r="H66" s="13" t="e">
        <f t="shared" si="5"/>
        <v>#VALUE!</v>
      </c>
      <c r="I66" s="6" t="e">
        <f t="shared" si="6"/>
        <v>#VALUE!</v>
      </c>
      <c r="J66" s="6" t="e">
        <f t="shared" si="7"/>
        <v>#VALUE!</v>
      </c>
      <c r="K66" s="6" t="e">
        <f t="shared" si="8"/>
        <v>#VALUE!</v>
      </c>
      <c r="L66" t="str">
        <f t="shared" si="9"/>
        <v/>
      </c>
    </row>
    <row r="67" spans="1:12" ht="30" customHeight="1">
      <c r="A67" s="9"/>
      <c r="B67" s="5" t="str">
        <f>IF(A67="","",IF(COUNTIF(Catalogo!$A$5:$A$905,A67)=0,"SKU no encontrado",INDEX(Catalogo!$B$5:$B$905,MATCH(A67,Catalogo!$A$5:$A$905,0))))</f>
        <v/>
      </c>
      <c r="C67" t="str">
        <f>IF(OR(A67="",B67="SKU no encontrado"),"",INDEX(Catalogo!$C$5:$C$905,MATCH(A67,Catalogo!$A$5:$A$905,0)))</f>
        <v/>
      </c>
      <c r="D67" s="10"/>
      <c r="E67" s="11"/>
      <c r="F67" s="12"/>
      <c r="G67" s="6" t="str">
        <f>IF(OR(A67="",B67="SKU no encontrado"),"",IF(INDEX(Catalogo!$H$5:$H$905,MATCH(A67,Catalogo!$A$5:$A$905,0))=0,"",INDEX(Catalogo!$H$5:$H$905,MATCH(A67,Catalogo!$A$5:$A$905,0))))</f>
        <v/>
      </c>
      <c r="H67" s="13" t="e">
        <f t="shared" si="5"/>
        <v>#VALUE!</v>
      </c>
      <c r="I67" s="6" t="e">
        <f t="shared" si="6"/>
        <v>#VALUE!</v>
      </c>
      <c r="J67" s="6" t="e">
        <f t="shared" si="7"/>
        <v>#VALUE!</v>
      </c>
      <c r="K67" s="6" t="e">
        <f t="shared" si="8"/>
        <v>#VALUE!</v>
      </c>
      <c r="L67" t="str">
        <f t="shared" si="9"/>
        <v/>
      </c>
    </row>
    <row r="68" spans="1:12" ht="30" customHeight="1">
      <c r="A68" s="9"/>
      <c r="B68" s="5" t="str">
        <f>IF(A68="","",IF(COUNTIF(Catalogo!$A$5:$A$905,A68)=0,"SKU no encontrado",INDEX(Catalogo!$B$5:$B$905,MATCH(A68,Catalogo!$A$5:$A$905,0))))</f>
        <v/>
      </c>
      <c r="C68" t="str">
        <f>IF(OR(A68="",B68="SKU no encontrado"),"",INDEX(Catalogo!$C$5:$C$905,MATCH(A68,Catalogo!$A$5:$A$905,0)))</f>
        <v/>
      </c>
      <c r="D68" s="10"/>
      <c r="E68" s="11"/>
      <c r="F68" s="12"/>
      <c r="G68" s="6" t="str">
        <f>IF(OR(A68="",B68="SKU no encontrado"),"",IF(INDEX(Catalogo!$H$5:$H$905,MATCH(A68,Catalogo!$A$5:$A$905,0))=0,"",INDEX(Catalogo!$H$5:$H$905,MATCH(A68,Catalogo!$A$5:$A$905,0))))</f>
        <v/>
      </c>
      <c r="H68" s="13" t="e">
        <f t="shared" si="5"/>
        <v>#VALUE!</v>
      </c>
      <c r="I68" s="6" t="e">
        <f t="shared" si="6"/>
        <v>#VALUE!</v>
      </c>
      <c r="J68" s="6" t="e">
        <f t="shared" si="7"/>
        <v>#VALUE!</v>
      </c>
      <c r="K68" s="6" t="e">
        <f t="shared" si="8"/>
        <v>#VALUE!</v>
      </c>
      <c r="L68" t="str">
        <f t="shared" si="9"/>
        <v/>
      </c>
    </row>
    <row r="69" spans="1:12" ht="30" customHeight="1">
      <c r="A69" s="9"/>
      <c r="B69" s="5" t="str">
        <f>IF(A69="","",IF(COUNTIF(Catalogo!$A$5:$A$905,A69)=0,"SKU no encontrado",INDEX(Catalogo!$B$5:$B$905,MATCH(A69,Catalogo!$A$5:$A$905,0))))</f>
        <v/>
      </c>
      <c r="C69" t="str">
        <f>IF(OR(A69="",B69="SKU no encontrado"),"",INDEX(Catalogo!$C$5:$C$905,MATCH(A69,Catalogo!$A$5:$A$905,0)))</f>
        <v/>
      </c>
      <c r="D69" s="10"/>
      <c r="E69" s="11"/>
      <c r="F69" s="12"/>
      <c r="G69" s="6" t="str">
        <f>IF(OR(A69="",B69="SKU no encontrado"),"",IF(INDEX(Catalogo!$H$5:$H$905,MATCH(A69,Catalogo!$A$5:$A$905,0))=0,"",INDEX(Catalogo!$H$5:$H$905,MATCH(A69,Catalogo!$A$5:$A$905,0))))</f>
        <v/>
      </c>
      <c r="H69" s="13" t="e">
        <f t="shared" ref="H69:H100" si="10">IF(OR(G69="",F69="",F69&lt;0,C69&lt;=0,F69*C69&gt;G69),"",1-F69*C69/G69)</f>
        <v>#VALUE!</v>
      </c>
      <c r="I69" s="6" t="e">
        <f t="shared" ref="I69:I100" si="11">IF(H69="","",G69-F69*C69)</f>
        <v>#VALUE!</v>
      </c>
      <c r="J69" s="6" t="e">
        <f t="shared" ref="J69:J100" si="12">IF(OR(I69="",E69="",E69&lt;=0),"",I69*E69)</f>
        <v>#VALUE!</v>
      </c>
      <c r="K69" s="6" t="e">
        <f t="shared" ref="K69:K100" si="13">IF(OR(H69="",C69&lt;=0),"",F69*C69)</f>
        <v>#VALUE!</v>
      </c>
      <c r="L69" t="str">
        <f t="shared" ref="L69:L100" si="14">IF(A69="","",IF(B69="SKU no encontrado",B69,IF(G69="","Sin precio válido",IF(F69="","Completar precio deseado",IF(OR(F69&lt;0,C69&lt;=0,F69*C69&gt;G69),"Revisar precio deseado",IF(OR(E69="",E69&lt;=0),"Completar bultos","Estimado proporcional"))))))</f>
        <v/>
      </c>
    </row>
    <row r="70" spans="1:12" ht="30" customHeight="1">
      <c r="A70" s="9"/>
      <c r="B70" s="5" t="str">
        <f>IF(A70="","",IF(COUNTIF(Catalogo!$A$5:$A$905,A70)=0,"SKU no encontrado",INDEX(Catalogo!$B$5:$B$905,MATCH(A70,Catalogo!$A$5:$A$905,0))))</f>
        <v/>
      </c>
      <c r="C70" t="str">
        <f>IF(OR(A70="",B70="SKU no encontrado"),"",INDEX(Catalogo!$C$5:$C$905,MATCH(A70,Catalogo!$A$5:$A$905,0)))</f>
        <v/>
      </c>
      <c r="D70" s="10"/>
      <c r="E70" s="11"/>
      <c r="F70" s="12"/>
      <c r="G70" s="6" t="str">
        <f>IF(OR(A70="",B70="SKU no encontrado"),"",IF(INDEX(Catalogo!$H$5:$H$905,MATCH(A70,Catalogo!$A$5:$A$905,0))=0,"",INDEX(Catalogo!$H$5:$H$905,MATCH(A70,Catalogo!$A$5:$A$905,0))))</f>
        <v/>
      </c>
      <c r="H70" s="13" t="e">
        <f t="shared" si="10"/>
        <v>#VALUE!</v>
      </c>
      <c r="I70" s="6" t="e">
        <f t="shared" si="11"/>
        <v>#VALUE!</v>
      </c>
      <c r="J70" s="6" t="e">
        <f t="shared" si="12"/>
        <v>#VALUE!</v>
      </c>
      <c r="K70" s="6" t="e">
        <f t="shared" si="13"/>
        <v>#VALUE!</v>
      </c>
      <c r="L70" t="str">
        <f t="shared" si="14"/>
        <v/>
      </c>
    </row>
    <row r="71" spans="1:12" ht="30" customHeight="1">
      <c r="A71" s="9"/>
      <c r="B71" s="5" t="str">
        <f>IF(A71="","",IF(COUNTIF(Catalogo!$A$5:$A$905,A71)=0,"SKU no encontrado",INDEX(Catalogo!$B$5:$B$905,MATCH(A71,Catalogo!$A$5:$A$905,0))))</f>
        <v/>
      </c>
      <c r="C71" t="str">
        <f>IF(OR(A71="",B71="SKU no encontrado"),"",INDEX(Catalogo!$C$5:$C$905,MATCH(A71,Catalogo!$A$5:$A$905,0)))</f>
        <v/>
      </c>
      <c r="D71" s="10"/>
      <c r="E71" s="11"/>
      <c r="F71" s="12"/>
      <c r="G71" s="6" t="str">
        <f>IF(OR(A71="",B71="SKU no encontrado"),"",IF(INDEX(Catalogo!$H$5:$H$905,MATCH(A71,Catalogo!$A$5:$A$905,0))=0,"",INDEX(Catalogo!$H$5:$H$905,MATCH(A71,Catalogo!$A$5:$A$905,0))))</f>
        <v/>
      </c>
      <c r="H71" s="13" t="e">
        <f t="shared" si="10"/>
        <v>#VALUE!</v>
      </c>
      <c r="I71" s="6" t="e">
        <f t="shared" si="11"/>
        <v>#VALUE!</v>
      </c>
      <c r="J71" s="6" t="e">
        <f t="shared" si="12"/>
        <v>#VALUE!</v>
      </c>
      <c r="K71" s="6" t="e">
        <f t="shared" si="13"/>
        <v>#VALUE!</v>
      </c>
      <c r="L71" t="str">
        <f t="shared" si="14"/>
        <v/>
      </c>
    </row>
    <row r="72" spans="1:12" ht="30" customHeight="1">
      <c r="A72" s="9"/>
      <c r="B72" s="5" t="str">
        <f>IF(A72="","",IF(COUNTIF(Catalogo!$A$5:$A$905,A72)=0,"SKU no encontrado",INDEX(Catalogo!$B$5:$B$905,MATCH(A72,Catalogo!$A$5:$A$905,0))))</f>
        <v/>
      </c>
      <c r="C72" t="str">
        <f>IF(OR(A72="",B72="SKU no encontrado"),"",INDEX(Catalogo!$C$5:$C$905,MATCH(A72,Catalogo!$A$5:$A$905,0)))</f>
        <v/>
      </c>
      <c r="D72" s="10"/>
      <c r="E72" s="11"/>
      <c r="F72" s="12"/>
      <c r="G72" s="6" t="str">
        <f>IF(OR(A72="",B72="SKU no encontrado"),"",IF(INDEX(Catalogo!$H$5:$H$905,MATCH(A72,Catalogo!$A$5:$A$905,0))=0,"",INDEX(Catalogo!$H$5:$H$905,MATCH(A72,Catalogo!$A$5:$A$905,0))))</f>
        <v/>
      </c>
      <c r="H72" s="13" t="e">
        <f t="shared" si="10"/>
        <v>#VALUE!</v>
      </c>
      <c r="I72" s="6" t="e">
        <f t="shared" si="11"/>
        <v>#VALUE!</v>
      </c>
      <c r="J72" s="6" t="e">
        <f t="shared" si="12"/>
        <v>#VALUE!</v>
      </c>
      <c r="K72" s="6" t="e">
        <f t="shared" si="13"/>
        <v>#VALUE!</v>
      </c>
      <c r="L72" t="str">
        <f t="shared" si="14"/>
        <v/>
      </c>
    </row>
    <row r="73" spans="1:12" ht="30" customHeight="1">
      <c r="A73" s="9"/>
      <c r="B73" s="5" t="str">
        <f>IF(A73="","",IF(COUNTIF(Catalogo!$A$5:$A$905,A73)=0,"SKU no encontrado",INDEX(Catalogo!$B$5:$B$905,MATCH(A73,Catalogo!$A$5:$A$905,0))))</f>
        <v/>
      </c>
      <c r="C73" t="str">
        <f>IF(OR(A73="",B73="SKU no encontrado"),"",INDEX(Catalogo!$C$5:$C$905,MATCH(A73,Catalogo!$A$5:$A$905,0)))</f>
        <v/>
      </c>
      <c r="D73" s="10"/>
      <c r="E73" s="11"/>
      <c r="F73" s="12"/>
      <c r="G73" s="6" t="str">
        <f>IF(OR(A73="",B73="SKU no encontrado"),"",IF(INDEX(Catalogo!$H$5:$H$905,MATCH(A73,Catalogo!$A$5:$A$905,0))=0,"",INDEX(Catalogo!$H$5:$H$905,MATCH(A73,Catalogo!$A$5:$A$905,0))))</f>
        <v/>
      </c>
      <c r="H73" s="13" t="e">
        <f t="shared" si="10"/>
        <v>#VALUE!</v>
      </c>
      <c r="I73" s="6" t="e">
        <f t="shared" si="11"/>
        <v>#VALUE!</v>
      </c>
      <c r="J73" s="6" t="e">
        <f t="shared" si="12"/>
        <v>#VALUE!</v>
      </c>
      <c r="K73" s="6" t="e">
        <f t="shared" si="13"/>
        <v>#VALUE!</v>
      </c>
      <c r="L73" t="str">
        <f t="shared" si="14"/>
        <v/>
      </c>
    </row>
    <row r="74" spans="1:12" ht="30" customHeight="1">
      <c r="A74" s="9"/>
      <c r="B74" s="5" t="str">
        <f>IF(A74="","",IF(COUNTIF(Catalogo!$A$5:$A$905,A74)=0,"SKU no encontrado",INDEX(Catalogo!$B$5:$B$905,MATCH(A74,Catalogo!$A$5:$A$905,0))))</f>
        <v/>
      </c>
      <c r="C74" t="str">
        <f>IF(OR(A74="",B74="SKU no encontrado"),"",INDEX(Catalogo!$C$5:$C$905,MATCH(A74,Catalogo!$A$5:$A$905,0)))</f>
        <v/>
      </c>
      <c r="D74" s="10"/>
      <c r="E74" s="11"/>
      <c r="F74" s="12"/>
      <c r="G74" s="6" t="str">
        <f>IF(OR(A74="",B74="SKU no encontrado"),"",IF(INDEX(Catalogo!$H$5:$H$905,MATCH(A74,Catalogo!$A$5:$A$905,0))=0,"",INDEX(Catalogo!$H$5:$H$905,MATCH(A74,Catalogo!$A$5:$A$905,0))))</f>
        <v/>
      </c>
      <c r="H74" s="13" t="e">
        <f t="shared" si="10"/>
        <v>#VALUE!</v>
      </c>
      <c r="I74" s="6" t="e">
        <f t="shared" si="11"/>
        <v>#VALUE!</v>
      </c>
      <c r="J74" s="6" t="e">
        <f t="shared" si="12"/>
        <v>#VALUE!</v>
      </c>
      <c r="K74" s="6" t="e">
        <f t="shared" si="13"/>
        <v>#VALUE!</v>
      </c>
      <c r="L74" t="str">
        <f t="shared" si="14"/>
        <v/>
      </c>
    </row>
    <row r="75" spans="1:12" ht="30" customHeight="1">
      <c r="A75" s="9"/>
      <c r="B75" s="5" t="str">
        <f>IF(A75="","",IF(COUNTIF(Catalogo!$A$5:$A$905,A75)=0,"SKU no encontrado",INDEX(Catalogo!$B$5:$B$905,MATCH(A75,Catalogo!$A$5:$A$905,0))))</f>
        <v/>
      </c>
      <c r="C75" t="str">
        <f>IF(OR(A75="",B75="SKU no encontrado"),"",INDEX(Catalogo!$C$5:$C$905,MATCH(A75,Catalogo!$A$5:$A$905,0)))</f>
        <v/>
      </c>
      <c r="D75" s="10"/>
      <c r="E75" s="11"/>
      <c r="F75" s="12"/>
      <c r="G75" s="6" t="str">
        <f>IF(OR(A75="",B75="SKU no encontrado"),"",IF(INDEX(Catalogo!$H$5:$H$905,MATCH(A75,Catalogo!$A$5:$A$905,0))=0,"",INDEX(Catalogo!$H$5:$H$905,MATCH(A75,Catalogo!$A$5:$A$905,0))))</f>
        <v/>
      </c>
      <c r="H75" s="13" t="e">
        <f t="shared" si="10"/>
        <v>#VALUE!</v>
      </c>
      <c r="I75" s="6" t="e">
        <f t="shared" si="11"/>
        <v>#VALUE!</v>
      </c>
      <c r="J75" s="6" t="e">
        <f t="shared" si="12"/>
        <v>#VALUE!</v>
      </c>
      <c r="K75" s="6" t="e">
        <f t="shared" si="13"/>
        <v>#VALUE!</v>
      </c>
      <c r="L75" t="str">
        <f t="shared" si="14"/>
        <v/>
      </c>
    </row>
    <row r="76" spans="1:12" ht="30" customHeight="1">
      <c r="A76" s="9"/>
      <c r="B76" s="5" t="str">
        <f>IF(A76="","",IF(COUNTIF(Catalogo!$A$5:$A$905,A76)=0,"SKU no encontrado",INDEX(Catalogo!$B$5:$B$905,MATCH(A76,Catalogo!$A$5:$A$905,0))))</f>
        <v/>
      </c>
      <c r="C76" t="str">
        <f>IF(OR(A76="",B76="SKU no encontrado"),"",INDEX(Catalogo!$C$5:$C$905,MATCH(A76,Catalogo!$A$5:$A$905,0)))</f>
        <v/>
      </c>
      <c r="D76" s="10"/>
      <c r="E76" s="11"/>
      <c r="F76" s="12"/>
      <c r="G76" s="6" t="str">
        <f>IF(OR(A76="",B76="SKU no encontrado"),"",IF(INDEX(Catalogo!$H$5:$H$905,MATCH(A76,Catalogo!$A$5:$A$905,0))=0,"",INDEX(Catalogo!$H$5:$H$905,MATCH(A76,Catalogo!$A$5:$A$905,0))))</f>
        <v/>
      </c>
      <c r="H76" s="13" t="e">
        <f t="shared" si="10"/>
        <v>#VALUE!</v>
      </c>
      <c r="I76" s="6" t="e">
        <f t="shared" si="11"/>
        <v>#VALUE!</v>
      </c>
      <c r="J76" s="6" t="e">
        <f t="shared" si="12"/>
        <v>#VALUE!</v>
      </c>
      <c r="K76" s="6" t="e">
        <f t="shared" si="13"/>
        <v>#VALUE!</v>
      </c>
      <c r="L76" t="str">
        <f t="shared" si="14"/>
        <v/>
      </c>
    </row>
    <row r="77" spans="1:12" ht="30" customHeight="1">
      <c r="A77" s="9"/>
      <c r="B77" s="5" t="str">
        <f>IF(A77="","",IF(COUNTIF(Catalogo!$A$5:$A$905,A77)=0,"SKU no encontrado",INDEX(Catalogo!$B$5:$B$905,MATCH(A77,Catalogo!$A$5:$A$905,0))))</f>
        <v/>
      </c>
      <c r="C77" t="str">
        <f>IF(OR(A77="",B77="SKU no encontrado"),"",INDEX(Catalogo!$C$5:$C$905,MATCH(A77,Catalogo!$A$5:$A$905,0)))</f>
        <v/>
      </c>
      <c r="D77" s="10"/>
      <c r="E77" s="11"/>
      <c r="F77" s="12"/>
      <c r="G77" s="6" t="str">
        <f>IF(OR(A77="",B77="SKU no encontrado"),"",IF(INDEX(Catalogo!$H$5:$H$905,MATCH(A77,Catalogo!$A$5:$A$905,0))=0,"",INDEX(Catalogo!$H$5:$H$905,MATCH(A77,Catalogo!$A$5:$A$905,0))))</f>
        <v/>
      </c>
      <c r="H77" s="13" t="e">
        <f t="shared" si="10"/>
        <v>#VALUE!</v>
      </c>
      <c r="I77" s="6" t="e">
        <f t="shared" si="11"/>
        <v>#VALUE!</v>
      </c>
      <c r="J77" s="6" t="e">
        <f t="shared" si="12"/>
        <v>#VALUE!</v>
      </c>
      <c r="K77" s="6" t="e">
        <f t="shared" si="13"/>
        <v>#VALUE!</v>
      </c>
      <c r="L77" t="str">
        <f t="shared" si="14"/>
        <v/>
      </c>
    </row>
    <row r="78" spans="1:12" ht="30" customHeight="1">
      <c r="A78" s="9"/>
      <c r="B78" s="5" t="str">
        <f>IF(A78="","",IF(COUNTIF(Catalogo!$A$5:$A$905,A78)=0,"SKU no encontrado",INDEX(Catalogo!$B$5:$B$905,MATCH(A78,Catalogo!$A$5:$A$905,0))))</f>
        <v/>
      </c>
      <c r="C78" t="str">
        <f>IF(OR(A78="",B78="SKU no encontrado"),"",INDEX(Catalogo!$C$5:$C$905,MATCH(A78,Catalogo!$A$5:$A$905,0)))</f>
        <v/>
      </c>
      <c r="D78" s="10"/>
      <c r="E78" s="11"/>
      <c r="F78" s="12"/>
      <c r="G78" s="6" t="str">
        <f>IF(OR(A78="",B78="SKU no encontrado"),"",IF(INDEX(Catalogo!$H$5:$H$905,MATCH(A78,Catalogo!$A$5:$A$905,0))=0,"",INDEX(Catalogo!$H$5:$H$905,MATCH(A78,Catalogo!$A$5:$A$905,0))))</f>
        <v/>
      </c>
      <c r="H78" s="13" t="e">
        <f t="shared" si="10"/>
        <v>#VALUE!</v>
      </c>
      <c r="I78" s="6" t="e">
        <f t="shared" si="11"/>
        <v>#VALUE!</v>
      </c>
      <c r="J78" s="6" t="e">
        <f t="shared" si="12"/>
        <v>#VALUE!</v>
      </c>
      <c r="K78" s="6" t="e">
        <f t="shared" si="13"/>
        <v>#VALUE!</v>
      </c>
      <c r="L78" t="str">
        <f t="shared" si="14"/>
        <v/>
      </c>
    </row>
    <row r="79" spans="1:12" ht="30" customHeight="1">
      <c r="A79" s="9"/>
      <c r="B79" s="5" t="str">
        <f>IF(A79="","",IF(COUNTIF(Catalogo!$A$5:$A$905,A79)=0,"SKU no encontrado",INDEX(Catalogo!$B$5:$B$905,MATCH(A79,Catalogo!$A$5:$A$905,0))))</f>
        <v/>
      </c>
      <c r="C79" t="str">
        <f>IF(OR(A79="",B79="SKU no encontrado"),"",INDEX(Catalogo!$C$5:$C$905,MATCH(A79,Catalogo!$A$5:$A$905,0)))</f>
        <v/>
      </c>
      <c r="D79" s="10"/>
      <c r="E79" s="11"/>
      <c r="F79" s="12"/>
      <c r="G79" s="6" t="str">
        <f>IF(OR(A79="",B79="SKU no encontrado"),"",IF(INDEX(Catalogo!$H$5:$H$905,MATCH(A79,Catalogo!$A$5:$A$905,0))=0,"",INDEX(Catalogo!$H$5:$H$905,MATCH(A79,Catalogo!$A$5:$A$905,0))))</f>
        <v/>
      </c>
      <c r="H79" s="13" t="e">
        <f t="shared" si="10"/>
        <v>#VALUE!</v>
      </c>
      <c r="I79" s="6" t="e">
        <f t="shared" si="11"/>
        <v>#VALUE!</v>
      </c>
      <c r="J79" s="6" t="e">
        <f t="shared" si="12"/>
        <v>#VALUE!</v>
      </c>
      <c r="K79" s="6" t="e">
        <f t="shared" si="13"/>
        <v>#VALUE!</v>
      </c>
      <c r="L79" t="str">
        <f t="shared" si="14"/>
        <v/>
      </c>
    </row>
    <row r="80" spans="1:12" ht="30" customHeight="1">
      <c r="A80" s="9"/>
      <c r="B80" s="5" t="str">
        <f>IF(A80="","",IF(COUNTIF(Catalogo!$A$5:$A$905,A80)=0,"SKU no encontrado",INDEX(Catalogo!$B$5:$B$905,MATCH(A80,Catalogo!$A$5:$A$905,0))))</f>
        <v/>
      </c>
      <c r="C80" t="str">
        <f>IF(OR(A80="",B80="SKU no encontrado"),"",INDEX(Catalogo!$C$5:$C$905,MATCH(A80,Catalogo!$A$5:$A$905,0)))</f>
        <v/>
      </c>
      <c r="D80" s="10"/>
      <c r="E80" s="11"/>
      <c r="F80" s="12"/>
      <c r="G80" s="6" t="str">
        <f>IF(OR(A80="",B80="SKU no encontrado"),"",IF(INDEX(Catalogo!$H$5:$H$905,MATCH(A80,Catalogo!$A$5:$A$905,0))=0,"",INDEX(Catalogo!$H$5:$H$905,MATCH(A80,Catalogo!$A$5:$A$905,0))))</f>
        <v/>
      </c>
      <c r="H80" s="13" t="e">
        <f t="shared" si="10"/>
        <v>#VALUE!</v>
      </c>
      <c r="I80" s="6" t="e">
        <f t="shared" si="11"/>
        <v>#VALUE!</v>
      </c>
      <c r="J80" s="6" t="e">
        <f t="shared" si="12"/>
        <v>#VALUE!</v>
      </c>
      <c r="K80" s="6" t="e">
        <f t="shared" si="13"/>
        <v>#VALUE!</v>
      </c>
      <c r="L80" t="str">
        <f t="shared" si="14"/>
        <v/>
      </c>
    </row>
    <row r="81" spans="1:12" ht="30" customHeight="1">
      <c r="A81" s="9"/>
      <c r="B81" s="5" t="str">
        <f>IF(A81="","",IF(COUNTIF(Catalogo!$A$5:$A$905,A81)=0,"SKU no encontrado",INDEX(Catalogo!$B$5:$B$905,MATCH(A81,Catalogo!$A$5:$A$905,0))))</f>
        <v/>
      </c>
      <c r="C81" t="str">
        <f>IF(OR(A81="",B81="SKU no encontrado"),"",INDEX(Catalogo!$C$5:$C$905,MATCH(A81,Catalogo!$A$5:$A$905,0)))</f>
        <v/>
      </c>
      <c r="D81" s="10"/>
      <c r="E81" s="11"/>
      <c r="F81" s="12"/>
      <c r="G81" s="6" t="str">
        <f>IF(OR(A81="",B81="SKU no encontrado"),"",IF(INDEX(Catalogo!$H$5:$H$905,MATCH(A81,Catalogo!$A$5:$A$905,0))=0,"",INDEX(Catalogo!$H$5:$H$905,MATCH(A81,Catalogo!$A$5:$A$905,0))))</f>
        <v/>
      </c>
      <c r="H81" s="13" t="e">
        <f t="shared" si="10"/>
        <v>#VALUE!</v>
      </c>
      <c r="I81" s="6" t="e">
        <f t="shared" si="11"/>
        <v>#VALUE!</v>
      </c>
      <c r="J81" s="6" t="e">
        <f t="shared" si="12"/>
        <v>#VALUE!</v>
      </c>
      <c r="K81" s="6" t="e">
        <f t="shared" si="13"/>
        <v>#VALUE!</v>
      </c>
      <c r="L81" t="str">
        <f t="shared" si="14"/>
        <v/>
      </c>
    </row>
    <row r="82" spans="1:12" ht="30" customHeight="1">
      <c r="A82" s="9"/>
      <c r="B82" s="5" t="str">
        <f>IF(A82="","",IF(COUNTIF(Catalogo!$A$5:$A$905,A82)=0,"SKU no encontrado",INDEX(Catalogo!$B$5:$B$905,MATCH(A82,Catalogo!$A$5:$A$905,0))))</f>
        <v/>
      </c>
      <c r="C82" t="str">
        <f>IF(OR(A82="",B82="SKU no encontrado"),"",INDEX(Catalogo!$C$5:$C$905,MATCH(A82,Catalogo!$A$5:$A$905,0)))</f>
        <v/>
      </c>
      <c r="D82" s="10"/>
      <c r="E82" s="11"/>
      <c r="F82" s="12"/>
      <c r="G82" s="6" t="str">
        <f>IF(OR(A82="",B82="SKU no encontrado"),"",IF(INDEX(Catalogo!$H$5:$H$905,MATCH(A82,Catalogo!$A$5:$A$905,0))=0,"",INDEX(Catalogo!$H$5:$H$905,MATCH(A82,Catalogo!$A$5:$A$905,0))))</f>
        <v/>
      </c>
      <c r="H82" s="13" t="e">
        <f t="shared" si="10"/>
        <v>#VALUE!</v>
      </c>
      <c r="I82" s="6" t="e">
        <f t="shared" si="11"/>
        <v>#VALUE!</v>
      </c>
      <c r="J82" s="6" t="e">
        <f t="shared" si="12"/>
        <v>#VALUE!</v>
      </c>
      <c r="K82" s="6" t="e">
        <f t="shared" si="13"/>
        <v>#VALUE!</v>
      </c>
      <c r="L82" t="str">
        <f t="shared" si="14"/>
        <v/>
      </c>
    </row>
    <row r="83" spans="1:12" ht="30" customHeight="1">
      <c r="A83" s="9"/>
      <c r="B83" s="5" t="str">
        <f>IF(A83="","",IF(COUNTIF(Catalogo!$A$5:$A$905,A83)=0,"SKU no encontrado",INDEX(Catalogo!$B$5:$B$905,MATCH(A83,Catalogo!$A$5:$A$905,0))))</f>
        <v/>
      </c>
      <c r="C83" t="str">
        <f>IF(OR(A83="",B83="SKU no encontrado"),"",INDEX(Catalogo!$C$5:$C$905,MATCH(A83,Catalogo!$A$5:$A$905,0)))</f>
        <v/>
      </c>
      <c r="D83" s="10"/>
      <c r="E83" s="11"/>
      <c r="F83" s="12"/>
      <c r="G83" s="6" t="str">
        <f>IF(OR(A83="",B83="SKU no encontrado"),"",IF(INDEX(Catalogo!$H$5:$H$905,MATCH(A83,Catalogo!$A$5:$A$905,0))=0,"",INDEX(Catalogo!$H$5:$H$905,MATCH(A83,Catalogo!$A$5:$A$905,0))))</f>
        <v/>
      </c>
      <c r="H83" s="13" t="e">
        <f t="shared" si="10"/>
        <v>#VALUE!</v>
      </c>
      <c r="I83" s="6" t="e">
        <f t="shared" si="11"/>
        <v>#VALUE!</v>
      </c>
      <c r="J83" s="6" t="e">
        <f t="shared" si="12"/>
        <v>#VALUE!</v>
      </c>
      <c r="K83" s="6" t="e">
        <f t="shared" si="13"/>
        <v>#VALUE!</v>
      </c>
      <c r="L83" t="str">
        <f t="shared" si="14"/>
        <v/>
      </c>
    </row>
    <row r="84" spans="1:12" ht="30" customHeight="1">
      <c r="A84" s="9"/>
      <c r="B84" s="5" t="str">
        <f>IF(A84="","",IF(COUNTIF(Catalogo!$A$5:$A$905,A84)=0,"SKU no encontrado",INDEX(Catalogo!$B$5:$B$905,MATCH(A84,Catalogo!$A$5:$A$905,0))))</f>
        <v/>
      </c>
      <c r="C84" t="str">
        <f>IF(OR(A84="",B84="SKU no encontrado"),"",INDEX(Catalogo!$C$5:$C$905,MATCH(A84,Catalogo!$A$5:$A$905,0)))</f>
        <v/>
      </c>
      <c r="D84" s="10"/>
      <c r="E84" s="11"/>
      <c r="F84" s="12"/>
      <c r="G84" s="6" t="str">
        <f>IF(OR(A84="",B84="SKU no encontrado"),"",IF(INDEX(Catalogo!$H$5:$H$905,MATCH(A84,Catalogo!$A$5:$A$905,0))=0,"",INDEX(Catalogo!$H$5:$H$905,MATCH(A84,Catalogo!$A$5:$A$905,0))))</f>
        <v/>
      </c>
      <c r="H84" s="13" t="e">
        <f t="shared" si="10"/>
        <v>#VALUE!</v>
      </c>
      <c r="I84" s="6" t="e">
        <f t="shared" si="11"/>
        <v>#VALUE!</v>
      </c>
      <c r="J84" s="6" t="e">
        <f t="shared" si="12"/>
        <v>#VALUE!</v>
      </c>
      <c r="K84" s="6" t="e">
        <f t="shared" si="13"/>
        <v>#VALUE!</v>
      </c>
      <c r="L84" t="str">
        <f t="shared" si="14"/>
        <v/>
      </c>
    </row>
    <row r="85" spans="1:12" ht="30" customHeight="1">
      <c r="A85" s="9"/>
      <c r="B85" s="5" t="str">
        <f>IF(A85="","",IF(COUNTIF(Catalogo!$A$5:$A$905,A85)=0,"SKU no encontrado",INDEX(Catalogo!$B$5:$B$905,MATCH(A85,Catalogo!$A$5:$A$905,0))))</f>
        <v/>
      </c>
      <c r="C85" t="str">
        <f>IF(OR(A85="",B85="SKU no encontrado"),"",INDEX(Catalogo!$C$5:$C$905,MATCH(A85,Catalogo!$A$5:$A$905,0)))</f>
        <v/>
      </c>
      <c r="D85" s="10"/>
      <c r="E85" s="11"/>
      <c r="F85" s="12"/>
      <c r="G85" s="6" t="str">
        <f>IF(OR(A85="",B85="SKU no encontrado"),"",IF(INDEX(Catalogo!$H$5:$H$905,MATCH(A85,Catalogo!$A$5:$A$905,0))=0,"",INDEX(Catalogo!$H$5:$H$905,MATCH(A85,Catalogo!$A$5:$A$905,0))))</f>
        <v/>
      </c>
      <c r="H85" s="13" t="e">
        <f t="shared" si="10"/>
        <v>#VALUE!</v>
      </c>
      <c r="I85" s="6" t="e">
        <f t="shared" si="11"/>
        <v>#VALUE!</v>
      </c>
      <c r="J85" s="6" t="e">
        <f t="shared" si="12"/>
        <v>#VALUE!</v>
      </c>
      <c r="K85" s="6" t="e">
        <f t="shared" si="13"/>
        <v>#VALUE!</v>
      </c>
      <c r="L85" t="str">
        <f t="shared" si="14"/>
        <v/>
      </c>
    </row>
    <row r="86" spans="1:12" ht="30" customHeight="1">
      <c r="A86" s="9"/>
      <c r="B86" s="5" t="str">
        <f>IF(A86="","",IF(COUNTIF(Catalogo!$A$5:$A$905,A86)=0,"SKU no encontrado",INDEX(Catalogo!$B$5:$B$905,MATCH(A86,Catalogo!$A$5:$A$905,0))))</f>
        <v/>
      </c>
      <c r="C86" t="str">
        <f>IF(OR(A86="",B86="SKU no encontrado"),"",INDEX(Catalogo!$C$5:$C$905,MATCH(A86,Catalogo!$A$5:$A$905,0)))</f>
        <v/>
      </c>
      <c r="D86" s="10"/>
      <c r="E86" s="11"/>
      <c r="F86" s="12"/>
      <c r="G86" s="6" t="str">
        <f>IF(OR(A86="",B86="SKU no encontrado"),"",IF(INDEX(Catalogo!$H$5:$H$905,MATCH(A86,Catalogo!$A$5:$A$905,0))=0,"",INDEX(Catalogo!$H$5:$H$905,MATCH(A86,Catalogo!$A$5:$A$905,0))))</f>
        <v/>
      </c>
      <c r="H86" s="13" t="e">
        <f t="shared" si="10"/>
        <v>#VALUE!</v>
      </c>
      <c r="I86" s="6" t="e">
        <f t="shared" si="11"/>
        <v>#VALUE!</v>
      </c>
      <c r="J86" s="6" t="e">
        <f t="shared" si="12"/>
        <v>#VALUE!</v>
      </c>
      <c r="K86" s="6" t="e">
        <f t="shared" si="13"/>
        <v>#VALUE!</v>
      </c>
      <c r="L86" t="str">
        <f t="shared" si="14"/>
        <v/>
      </c>
    </row>
    <row r="87" spans="1:12" ht="30" customHeight="1">
      <c r="A87" s="9"/>
      <c r="B87" s="5" t="str">
        <f>IF(A87="","",IF(COUNTIF(Catalogo!$A$5:$A$905,A87)=0,"SKU no encontrado",INDEX(Catalogo!$B$5:$B$905,MATCH(A87,Catalogo!$A$5:$A$905,0))))</f>
        <v/>
      </c>
      <c r="C87" t="str">
        <f>IF(OR(A87="",B87="SKU no encontrado"),"",INDEX(Catalogo!$C$5:$C$905,MATCH(A87,Catalogo!$A$5:$A$905,0)))</f>
        <v/>
      </c>
      <c r="D87" s="10"/>
      <c r="E87" s="11"/>
      <c r="F87" s="12"/>
      <c r="G87" s="6" t="str">
        <f>IF(OR(A87="",B87="SKU no encontrado"),"",IF(INDEX(Catalogo!$H$5:$H$905,MATCH(A87,Catalogo!$A$5:$A$905,0))=0,"",INDEX(Catalogo!$H$5:$H$905,MATCH(A87,Catalogo!$A$5:$A$905,0))))</f>
        <v/>
      </c>
      <c r="H87" s="13" t="e">
        <f t="shared" si="10"/>
        <v>#VALUE!</v>
      </c>
      <c r="I87" s="6" t="e">
        <f t="shared" si="11"/>
        <v>#VALUE!</v>
      </c>
      <c r="J87" s="6" t="e">
        <f t="shared" si="12"/>
        <v>#VALUE!</v>
      </c>
      <c r="K87" s="6" t="e">
        <f t="shared" si="13"/>
        <v>#VALUE!</v>
      </c>
      <c r="L87" t="str">
        <f t="shared" si="14"/>
        <v/>
      </c>
    </row>
    <row r="88" spans="1:12" ht="30" customHeight="1">
      <c r="A88" s="9"/>
      <c r="B88" s="5" t="str">
        <f>IF(A88="","",IF(COUNTIF(Catalogo!$A$5:$A$905,A88)=0,"SKU no encontrado",INDEX(Catalogo!$B$5:$B$905,MATCH(A88,Catalogo!$A$5:$A$905,0))))</f>
        <v/>
      </c>
      <c r="C88" t="str">
        <f>IF(OR(A88="",B88="SKU no encontrado"),"",INDEX(Catalogo!$C$5:$C$905,MATCH(A88,Catalogo!$A$5:$A$905,0)))</f>
        <v/>
      </c>
      <c r="D88" s="10"/>
      <c r="E88" s="11"/>
      <c r="F88" s="12"/>
      <c r="G88" s="6" t="str">
        <f>IF(OR(A88="",B88="SKU no encontrado"),"",IF(INDEX(Catalogo!$H$5:$H$905,MATCH(A88,Catalogo!$A$5:$A$905,0))=0,"",INDEX(Catalogo!$H$5:$H$905,MATCH(A88,Catalogo!$A$5:$A$905,0))))</f>
        <v/>
      </c>
      <c r="H88" s="13" t="e">
        <f t="shared" si="10"/>
        <v>#VALUE!</v>
      </c>
      <c r="I88" s="6" t="e">
        <f t="shared" si="11"/>
        <v>#VALUE!</v>
      </c>
      <c r="J88" s="6" t="e">
        <f t="shared" si="12"/>
        <v>#VALUE!</v>
      </c>
      <c r="K88" s="6" t="e">
        <f t="shared" si="13"/>
        <v>#VALUE!</v>
      </c>
      <c r="L88" t="str">
        <f t="shared" si="14"/>
        <v/>
      </c>
    </row>
    <row r="89" spans="1:12" ht="30" customHeight="1">
      <c r="A89" s="9"/>
      <c r="B89" s="5" t="str">
        <f>IF(A89="","",IF(COUNTIF(Catalogo!$A$5:$A$905,A89)=0,"SKU no encontrado",INDEX(Catalogo!$B$5:$B$905,MATCH(A89,Catalogo!$A$5:$A$905,0))))</f>
        <v/>
      </c>
      <c r="C89" t="str">
        <f>IF(OR(A89="",B89="SKU no encontrado"),"",INDEX(Catalogo!$C$5:$C$905,MATCH(A89,Catalogo!$A$5:$A$905,0)))</f>
        <v/>
      </c>
      <c r="D89" s="10"/>
      <c r="E89" s="11"/>
      <c r="F89" s="12"/>
      <c r="G89" s="6" t="str">
        <f>IF(OR(A89="",B89="SKU no encontrado"),"",IF(INDEX(Catalogo!$H$5:$H$905,MATCH(A89,Catalogo!$A$5:$A$905,0))=0,"",INDEX(Catalogo!$H$5:$H$905,MATCH(A89,Catalogo!$A$5:$A$905,0))))</f>
        <v/>
      </c>
      <c r="H89" s="13" t="e">
        <f t="shared" si="10"/>
        <v>#VALUE!</v>
      </c>
      <c r="I89" s="6" t="e">
        <f t="shared" si="11"/>
        <v>#VALUE!</v>
      </c>
      <c r="J89" s="6" t="e">
        <f t="shared" si="12"/>
        <v>#VALUE!</v>
      </c>
      <c r="K89" s="6" t="e">
        <f t="shared" si="13"/>
        <v>#VALUE!</v>
      </c>
      <c r="L89" t="str">
        <f t="shared" si="14"/>
        <v/>
      </c>
    </row>
    <row r="90" spans="1:12" ht="30" customHeight="1">
      <c r="A90" s="9"/>
      <c r="B90" s="5" t="str">
        <f>IF(A90="","",IF(COUNTIF(Catalogo!$A$5:$A$905,A90)=0,"SKU no encontrado",INDEX(Catalogo!$B$5:$B$905,MATCH(A90,Catalogo!$A$5:$A$905,0))))</f>
        <v/>
      </c>
      <c r="C90" t="str">
        <f>IF(OR(A90="",B90="SKU no encontrado"),"",INDEX(Catalogo!$C$5:$C$905,MATCH(A90,Catalogo!$A$5:$A$905,0)))</f>
        <v/>
      </c>
      <c r="D90" s="10"/>
      <c r="E90" s="11"/>
      <c r="F90" s="12"/>
      <c r="G90" s="6" t="str">
        <f>IF(OR(A90="",B90="SKU no encontrado"),"",IF(INDEX(Catalogo!$H$5:$H$905,MATCH(A90,Catalogo!$A$5:$A$905,0))=0,"",INDEX(Catalogo!$H$5:$H$905,MATCH(A90,Catalogo!$A$5:$A$905,0))))</f>
        <v/>
      </c>
      <c r="H90" s="13" t="e">
        <f t="shared" si="10"/>
        <v>#VALUE!</v>
      </c>
      <c r="I90" s="6" t="e">
        <f t="shared" si="11"/>
        <v>#VALUE!</v>
      </c>
      <c r="J90" s="6" t="e">
        <f t="shared" si="12"/>
        <v>#VALUE!</v>
      </c>
      <c r="K90" s="6" t="e">
        <f t="shared" si="13"/>
        <v>#VALUE!</v>
      </c>
      <c r="L90" t="str">
        <f t="shared" si="14"/>
        <v/>
      </c>
    </row>
    <row r="91" spans="1:12" ht="30" customHeight="1">
      <c r="A91" s="9"/>
      <c r="B91" s="5" t="str">
        <f>IF(A91="","",IF(COUNTIF(Catalogo!$A$5:$A$905,A91)=0,"SKU no encontrado",INDEX(Catalogo!$B$5:$B$905,MATCH(A91,Catalogo!$A$5:$A$905,0))))</f>
        <v/>
      </c>
      <c r="C91" t="str">
        <f>IF(OR(A91="",B91="SKU no encontrado"),"",INDEX(Catalogo!$C$5:$C$905,MATCH(A91,Catalogo!$A$5:$A$905,0)))</f>
        <v/>
      </c>
      <c r="D91" s="10"/>
      <c r="E91" s="11"/>
      <c r="F91" s="12"/>
      <c r="G91" s="6" t="str">
        <f>IF(OR(A91="",B91="SKU no encontrado"),"",IF(INDEX(Catalogo!$H$5:$H$905,MATCH(A91,Catalogo!$A$5:$A$905,0))=0,"",INDEX(Catalogo!$H$5:$H$905,MATCH(A91,Catalogo!$A$5:$A$905,0))))</f>
        <v/>
      </c>
      <c r="H91" s="13" t="e">
        <f t="shared" si="10"/>
        <v>#VALUE!</v>
      </c>
      <c r="I91" s="6" t="e">
        <f t="shared" si="11"/>
        <v>#VALUE!</v>
      </c>
      <c r="J91" s="6" t="e">
        <f t="shared" si="12"/>
        <v>#VALUE!</v>
      </c>
      <c r="K91" s="6" t="e">
        <f t="shared" si="13"/>
        <v>#VALUE!</v>
      </c>
      <c r="L91" t="str">
        <f t="shared" si="14"/>
        <v/>
      </c>
    </row>
    <row r="92" spans="1:12" ht="30" customHeight="1">
      <c r="A92" s="9"/>
      <c r="B92" s="5" t="str">
        <f>IF(A92="","",IF(COUNTIF(Catalogo!$A$5:$A$905,A92)=0,"SKU no encontrado",INDEX(Catalogo!$B$5:$B$905,MATCH(A92,Catalogo!$A$5:$A$905,0))))</f>
        <v/>
      </c>
      <c r="C92" t="str">
        <f>IF(OR(A92="",B92="SKU no encontrado"),"",INDEX(Catalogo!$C$5:$C$905,MATCH(A92,Catalogo!$A$5:$A$905,0)))</f>
        <v/>
      </c>
      <c r="D92" s="10"/>
      <c r="E92" s="11"/>
      <c r="F92" s="12"/>
      <c r="G92" s="6" t="str">
        <f>IF(OR(A92="",B92="SKU no encontrado"),"",IF(INDEX(Catalogo!$H$5:$H$905,MATCH(A92,Catalogo!$A$5:$A$905,0))=0,"",INDEX(Catalogo!$H$5:$H$905,MATCH(A92,Catalogo!$A$5:$A$905,0))))</f>
        <v/>
      </c>
      <c r="H92" s="13" t="e">
        <f t="shared" si="10"/>
        <v>#VALUE!</v>
      </c>
      <c r="I92" s="6" t="e">
        <f t="shared" si="11"/>
        <v>#VALUE!</v>
      </c>
      <c r="J92" s="6" t="e">
        <f t="shared" si="12"/>
        <v>#VALUE!</v>
      </c>
      <c r="K92" s="6" t="e">
        <f t="shared" si="13"/>
        <v>#VALUE!</v>
      </c>
      <c r="L92" t="str">
        <f t="shared" si="14"/>
        <v/>
      </c>
    </row>
    <row r="93" spans="1:12" ht="30" customHeight="1">
      <c r="A93" s="9"/>
      <c r="B93" s="5" t="str">
        <f>IF(A93="","",IF(COUNTIF(Catalogo!$A$5:$A$905,A93)=0,"SKU no encontrado",INDEX(Catalogo!$B$5:$B$905,MATCH(A93,Catalogo!$A$5:$A$905,0))))</f>
        <v/>
      </c>
      <c r="C93" t="str">
        <f>IF(OR(A93="",B93="SKU no encontrado"),"",INDEX(Catalogo!$C$5:$C$905,MATCH(A93,Catalogo!$A$5:$A$905,0)))</f>
        <v/>
      </c>
      <c r="D93" s="10"/>
      <c r="E93" s="11"/>
      <c r="F93" s="12"/>
      <c r="G93" s="6" t="str">
        <f>IF(OR(A93="",B93="SKU no encontrado"),"",IF(INDEX(Catalogo!$H$5:$H$905,MATCH(A93,Catalogo!$A$5:$A$905,0))=0,"",INDEX(Catalogo!$H$5:$H$905,MATCH(A93,Catalogo!$A$5:$A$905,0))))</f>
        <v/>
      </c>
      <c r="H93" s="13" t="e">
        <f t="shared" si="10"/>
        <v>#VALUE!</v>
      </c>
      <c r="I93" s="6" t="e">
        <f t="shared" si="11"/>
        <v>#VALUE!</v>
      </c>
      <c r="J93" s="6" t="e">
        <f t="shared" si="12"/>
        <v>#VALUE!</v>
      </c>
      <c r="K93" s="6" t="e">
        <f t="shared" si="13"/>
        <v>#VALUE!</v>
      </c>
      <c r="L93" t="str">
        <f t="shared" si="14"/>
        <v/>
      </c>
    </row>
    <row r="94" spans="1:12" ht="30" customHeight="1">
      <c r="A94" s="9"/>
      <c r="B94" s="5" t="str">
        <f>IF(A94="","",IF(COUNTIF(Catalogo!$A$5:$A$905,A94)=0,"SKU no encontrado",INDEX(Catalogo!$B$5:$B$905,MATCH(A94,Catalogo!$A$5:$A$905,0))))</f>
        <v/>
      </c>
      <c r="C94" t="str">
        <f>IF(OR(A94="",B94="SKU no encontrado"),"",INDEX(Catalogo!$C$5:$C$905,MATCH(A94,Catalogo!$A$5:$A$905,0)))</f>
        <v/>
      </c>
      <c r="D94" s="10"/>
      <c r="E94" s="11"/>
      <c r="F94" s="12"/>
      <c r="G94" s="6" t="str">
        <f>IF(OR(A94="",B94="SKU no encontrado"),"",IF(INDEX(Catalogo!$H$5:$H$905,MATCH(A94,Catalogo!$A$5:$A$905,0))=0,"",INDEX(Catalogo!$H$5:$H$905,MATCH(A94,Catalogo!$A$5:$A$905,0))))</f>
        <v/>
      </c>
      <c r="H94" s="13" t="e">
        <f t="shared" si="10"/>
        <v>#VALUE!</v>
      </c>
      <c r="I94" s="6" t="e">
        <f t="shared" si="11"/>
        <v>#VALUE!</v>
      </c>
      <c r="J94" s="6" t="e">
        <f t="shared" si="12"/>
        <v>#VALUE!</v>
      </c>
      <c r="K94" s="6" t="e">
        <f t="shared" si="13"/>
        <v>#VALUE!</v>
      </c>
      <c r="L94" t="str">
        <f t="shared" si="14"/>
        <v/>
      </c>
    </row>
    <row r="95" spans="1:12" ht="30" customHeight="1">
      <c r="A95" s="9"/>
      <c r="B95" s="5" t="str">
        <f>IF(A95="","",IF(COUNTIF(Catalogo!$A$5:$A$905,A95)=0,"SKU no encontrado",INDEX(Catalogo!$B$5:$B$905,MATCH(A95,Catalogo!$A$5:$A$905,0))))</f>
        <v/>
      </c>
      <c r="C95" t="str">
        <f>IF(OR(A95="",B95="SKU no encontrado"),"",INDEX(Catalogo!$C$5:$C$905,MATCH(A95,Catalogo!$A$5:$A$905,0)))</f>
        <v/>
      </c>
      <c r="D95" s="10"/>
      <c r="E95" s="11"/>
      <c r="F95" s="12"/>
      <c r="G95" s="6" t="str">
        <f>IF(OR(A95="",B95="SKU no encontrado"),"",IF(INDEX(Catalogo!$H$5:$H$905,MATCH(A95,Catalogo!$A$5:$A$905,0))=0,"",INDEX(Catalogo!$H$5:$H$905,MATCH(A95,Catalogo!$A$5:$A$905,0))))</f>
        <v/>
      </c>
      <c r="H95" s="13" t="e">
        <f t="shared" si="10"/>
        <v>#VALUE!</v>
      </c>
      <c r="I95" s="6" t="e">
        <f t="shared" si="11"/>
        <v>#VALUE!</v>
      </c>
      <c r="J95" s="6" t="e">
        <f t="shared" si="12"/>
        <v>#VALUE!</v>
      </c>
      <c r="K95" s="6" t="e">
        <f t="shared" si="13"/>
        <v>#VALUE!</v>
      </c>
      <c r="L95" t="str">
        <f t="shared" si="14"/>
        <v/>
      </c>
    </row>
    <row r="96" spans="1:12" ht="30" customHeight="1">
      <c r="A96" s="9"/>
      <c r="B96" s="5" t="str">
        <f>IF(A96="","",IF(COUNTIF(Catalogo!$A$5:$A$905,A96)=0,"SKU no encontrado",INDEX(Catalogo!$B$5:$B$905,MATCH(A96,Catalogo!$A$5:$A$905,0))))</f>
        <v/>
      </c>
      <c r="C96" t="str">
        <f>IF(OR(A96="",B96="SKU no encontrado"),"",INDEX(Catalogo!$C$5:$C$905,MATCH(A96,Catalogo!$A$5:$A$905,0)))</f>
        <v/>
      </c>
      <c r="D96" s="10"/>
      <c r="E96" s="11"/>
      <c r="F96" s="12"/>
      <c r="G96" s="6" t="str">
        <f>IF(OR(A96="",B96="SKU no encontrado"),"",IF(INDEX(Catalogo!$H$5:$H$905,MATCH(A96,Catalogo!$A$5:$A$905,0))=0,"",INDEX(Catalogo!$H$5:$H$905,MATCH(A96,Catalogo!$A$5:$A$905,0))))</f>
        <v/>
      </c>
      <c r="H96" s="13" t="e">
        <f t="shared" si="10"/>
        <v>#VALUE!</v>
      </c>
      <c r="I96" s="6" t="e">
        <f t="shared" si="11"/>
        <v>#VALUE!</v>
      </c>
      <c r="J96" s="6" t="e">
        <f t="shared" si="12"/>
        <v>#VALUE!</v>
      </c>
      <c r="K96" s="6" t="e">
        <f t="shared" si="13"/>
        <v>#VALUE!</v>
      </c>
      <c r="L96" t="str">
        <f t="shared" si="14"/>
        <v/>
      </c>
    </row>
    <row r="97" spans="1:12" ht="30" customHeight="1">
      <c r="A97" s="9"/>
      <c r="B97" s="5" t="str">
        <f>IF(A97="","",IF(COUNTIF(Catalogo!$A$5:$A$905,A97)=0,"SKU no encontrado",INDEX(Catalogo!$B$5:$B$905,MATCH(A97,Catalogo!$A$5:$A$905,0))))</f>
        <v/>
      </c>
      <c r="C97" t="str">
        <f>IF(OR(A97="",B97="SKU no encontrado"),"",INDEX(Catalogo!$C$5:$C$905,MATCH(A97,Catalogo!$A$5:$A$905,0)))</f>
        <v/>
      </c>
      <c r="D97" s="10"/>
      <c r="E97" s="11"/>
      <c r="F97" s="12"/>
      <c r="G97" s="6" t="str">
        <f>IF(OR(A97="",B97="SKU no encontrado"),"",IF(INDEX(Catalogo!$H$5:$H$905,MATCH(A97,Catalogo!$A$5:$A$905,0))=0,"",INDEX(Catalogo!$H$5:$H$905,MATCH(A97,Catalogo!$A$5:$A$905,0))))</f>
        <v/>
      </c>
      <c r="H97" s="13" t="e">
        <f t="shared" si="10"/>
        <v>#VALUE!</v>
      </c>
      <c r="I97" s="6" t="e">
        <f t="shared" si="11"/>
        <v>#VALUE!</v>
      </c>
      <c r="J97" s="6" t="e">
        <f t="shared" si="12"/>
        <v>#VALUE!</v>
      </c>
      <c r="K97" s="6" t="e">
        <f t="shared" si="13"/>
        <v>#VALUE!</v>
      </c>
      <c r="L97" t="str">
        <f t="shared" si="14"/>
        <v/>
      </c>
    </row>
    <row r="98" spans="1:12" ht="30" customHeight="1">
      <c r="A98" s="9"/>
      <c r="B98" s="5" t="str">
        <f>IF(A98="","",IF(COUNTIF(Catalogo!$A$5:$A$905,A98)=0,"SKU no encontrado",INDEX(Catalogo!$B$5:$B$905,MATCH(A98,Catalogo!$A$5:$A$905,0))))</f>
        <v/>
      </c>
      <c r="C98" t="str">
        <f>IF(OR(A98="",B98="SKU no encontrado"),"",INDEX(Catalogo!$C$5:$C$905,MATCH(A98,Catalogo!$A$5:$A$905,0)))</f>
        <v/>
      </c>
      <c r="D98" s="10"/>
      <c r="E98" s="11"/>
      <c r="F98" s="12"/>
      <c r="G98" s="6" t="str">
        <f>IF(OR(A98="",B98="SKU no encontrado"),"",IF(INDEX(Catalogo!$H$5:$H$905,MATCH(A98,Catalogo!$A$5:$A$905,0))=0,"",INDEX(Catalogo!$H$5:$H$905,MATCH(A98,Catalogo!$A$5:$A$905,0))))</f>
        <v/>
      </c>
      <c r="H98" s="13" t="e">
        <f t="shared" si="10"/>
        <v>#VALUE!</v>
      </c>
      <c r="I98" s="6" t="e">
        <f t="shared" si="11"/>
        <v>#VALUE!</v>
      </c>
      <c r="J98" s="6" t="e">
        <f t="shared" si="12"/>
        <v>#VALUE!</v>
      </c>
      <c r="K98" s="6" t="e">
        <f t="shared" si="13"/>
        <v>#VALUE!</v>
      </c>
      <c r="L98" t="str">
        <f t="shared" si="14"/>
        <v/>
      </c>
    </row>
    <row r="99" spans="1:12" ht="30" customHeight="1">
      <c r="A99" s="9"/>
      <c r="B99" s="5" t="str">
        <f>IF(A99="","",IF(COUNTIF(Catalogo!$A$5:$A$905,A99)=0,"SKU no encontrado",INDEX(Catalogo!$B$5:$B$905,MATCH(A99,Catalogo!$A$5:$A$905,0))))</f>
        <v/>
      </c>
      <c r="C99" t="str">
        <f>IF(OR(A99="",B99="SKU no encontrado"),"",INDEX(Catalogo!$C$5:$C$905,MATCH(A99,Catalogo!$A$5:$A$905,0)))</f>
        <v/>
      </c>
      <c r="D99" s="10"/>
      <c r="E99" s="11"/>
      <c r="F99" s="12"/>
      <c r="G99" s="6" t="str">
        <f>IF(OR(A99="",B99="SKU no encontrado"),"",IF(INDEX(Catalogo!$H$5:$H$905,MATCH(A99,Catalogo!$A$5:$A$905,0))=0,"",INDEX(Catalogo!$H$5:$H$905,MATCH(A99,Catalogo!$A$5:$A$905,0))))</f>
        <v/>
      </c>
      <c r="H99" s="13" t="e">
        <f t="shared" si="10"/>
        <v>#VALUE!</v>
      </c>
      <c r="I99" s="6" t="e">
        <f t="shared" si="11"/>
        <v>#VALUE!</v>
      </c>
      <c r="J99" s="6" t="e">
        <f t="shared" si="12"/>
        <v>#VALUE!</v>
      </c>
      <c r="K99" s="6" t="e">
        <f t="shared" si="13"/>
        <v>#VALUE!</v>
      </c>
      <c r="L99" t="str">
        <f t="shared" si="14"/>
        <v/>
      </c>
    </row>
    <row r="100" spans="1:12" ht="30" customHeight="1">
      <c r="A100" s="9"/>
      <c r="B100" s="5" t="str">
        <f>IF(A100="","",IF(COUNTIF(Catalogo!$A$5:$A$905,A100)=0,"SKU no encontrado",INDEX(Catalogo!$B$5:$B$905,MATCH(A100,Catalogo!$A$5:$A$905,0))))</f>
        <v/>
      </c>
      <c r="C100" t="str">
        <f>IF(OR(A100="",B100="SKU no encontrado"),"",INDEX(Catalogo!$C$5:$C$905,MATCH(A100,Catalogo!$A$5:$A$905,0)))</f>
        <v/>
      </c>
      <c r="D100" s="10"/>
      <c r="E100" s="11"/>
      <c r="F100" s="12"/>
      <c r="G100" s="6" t="str">
        <f>IF(OR(A100="",B100="SKU no encontrado"),"",IF(INDEX(Catalogo!$H$5:$H$905,MATCH(A100,Catalogo!$A$5:$A$905,0))=0,"",INDEX(Catalogo!$H$5:$H$905,MATCH(A100,Catalogo!$A$5:$A$905,0))))</f>
        <v/>
      </c>
      <c r="H100" s="13" t="e">
        <f t="shared" si="10"/>
        <v>#VALUE!</v>
      </c>
      <c r="I100" s="6" t="e">
        <f t="shared" si="11"/>
        <v>#VALUE!</v>
      </c>
      <c r="J100" s="6" t="e">
        <f t="shared" si="12"/>
        <v>#VALUE!</v>
      </c>
      <c r="K100" s="6" t="e">
        <f t="shared" si="13"/>
        <v>#VALUE!</v>
      </c>
      <c r="L100" t="str">
        <f t="shared" si="14"/>
        <v/>
      </c>
    </row>
    <row r="101" spans="1:12" ht="30" customHeight="1">
      <c r="A101" s="9"/>
      <c r="B101" s="5" t="str">
        <f>IF(A101="","",IF(COUNTIF(Catalogo!$A$5:$A$905,A101)=0,"SKU no encontrado",INDEX(Catalogo!$B$5:$B$905,MATCH(A101,Catalogo!$A$5:$A$905,0))))</f>
        <v/>
      </c>
      <c r="C101" t="str">
        <f>IF(OR(A101="",B101="SKU no encontrado"),"",INDEX(Catalogo!$C$5:$C$905,MATCH(A101,Catalogo!$A$5:$A$905,0)))</f>
        <v/>
      </c>
      <c r="D101" s="10"/>
      <c r="E101" s="11"/>
      <c r="F101" s="12"/>
      <c r="G101" s="6" t="str">
        <f>IF(OR(A101="",B101="SKU no encontrado"),"",IF(INDEX(Catalogo!$H$5:$H$905,MATCH(A101,Catalogo!$A$5:$A$905,0))=0,"",INDEX(Catalogo!$H$5:$H$905,MATCH(A101,Catalogo!$A$5:$A$905,0))))</f>
        <v/>
      </c>
      <c r="H101" s="13" t="e">
        <f t="shared" ref="H101:H132" si="15">IF(OR(G101="",F101="",F101&lt;0,C101&lt;=0,F101*C101&gt;G101),"",1-F101*C101/G101)</f>
        <v>#VALUE!</v>
      </c>
      <c r="I101" s="6" t="e">
        <f t="shared" ref="I101:I132" si="16">IF(H101="","",G101-F101*C101)</f>
        <v>#VALUE!</v>
      </c>
      <c r="J101" s="6" t="e">
        <f t="shared" ref="J101:J132" si="17">IF(OR(I101="",E101="",E101&lt;=0),"",I101*E101)</f>
        <v>#VALUE!</v>
      </c>
      <c r="K101" s="6" t="e">
        <f t="shared" ref="K101:K132" si="18">IF(OR(H101="",C101&lt;=0),"",F101*C101)</f>
        <v>#VALUE!</v>
      </c>
      <c r="L101" t="str">
        <f t="shared" ref="L101:L132" si="19">IF(A101="","",IF(B101="SKU no encontrado",B101,IF(G101="","Sin precio válido",IF(F101="","Completar precio deseado",IF(OR(F101&lt;0,C101&lt;=0,F101*C101&gt;G101),"Revisar precio deseado",IF(OR(E101="",E101&lt;=0),"Completar bultos","Estimado proporcional"))))))</f>
        <v/>
      </c>
    </row>
    <row r="102" spans="1:12" ht="30" customHeight="1">
      <c r="A102" s="9"/>
      <c r="B102" s="5" t="str">
        <f>IF(A102="","",IF(COUNTIF(Catalogo!$A$5:$A$905,A102)=0,"SKU no encontrado",INDEX(Catalogo!$B$5:$B$905,MATCH(A102,Catalogo!$A$5:$A$905,0))))</f>
        <v/>
      </c>
      <c r="C102" t="str">
        <f>IF(OR(A102="",B102="SKU no encontrado"),"",INDEX(Catalogo!$C$5:$C$905,MATCH(A102,Catalogo!$A$5:$A$905,0)))</f>
        <v/>
      </c>
      <c r="D102" s="10"/>
      <c r="E102" s="11"/>
      <c r="F102" s="12"/>
      <c r="G102" s="6" t="str">
        <f>IF(OR(A102="",B102="SKU no encontrado"),"",IF(INDEX(Catalogo!$H$5:$H$905,MATCH(A102,Catalogo!$A$5:$A$905,0))=0,"",INDEX(Catalogo!$H$5:$H$905,MATCH(A102,Catalogo!$A$5:$A$905,0))))</f>
        <v/>
      </c>
      <c r="H102" s="13" t="e">
        <f t="shared" si="15"/>
        <v>#VALUE!</v>
      </c>
      <c r="I102" s="6" t="e">
        <f t="shared" si="16"/>
        <v>#VALUE!</v>
      </c>
      <c r="J102" s="6" t="e">
        <f t="shared" si="17"/>
        <v>#VALUE!</v>
      </c>
      <c r="K102" s="6" t="e">
        <f t="shared" si="18"/>
        <v>#VALUE!</v>
      </c>
      <c r="L102" t="str">
        <f t="shared" si="19"/>
        <v/>
      </c>
    </row>
    <row r="103" spans="1:12" ht="30" customHeight="1">
      <c r="A103" s="9"/>
      <c r="B103" s="5" t="str">
        <f>IF(A103="","",IF(COUNTIF(Catalogo!$A$5:$A$905,A103)=0,"SKU no encontrado",INDEX(Catalogo!$B$5:$B$905,MATCH(A103,Catalogo!$A$5:$A$905,0))))</f>
        <v/>
      </c>
      <c r="C103" t="str">
        <f>IF(OR(A103="",B103="SKU no encontrado"),"",INDEX(Catalogo!$C$5:$C$905,MATCH(A103,Catalogo!$A$5:$A$905,0)))</f>
        <v/>
      </c>
      <c r="D103" s="10"/>
      <c r="E103" s="11"/>
      <c r="F103" s="12"/>
      <c r="G103" s="6" t="str">
        <f>IF(OR(A103="",B103="SKU no encontrado"),"",IF(INDEX(Catalogo!$H$5:$H$905,MATCH(A103,Catalogo!$A$5:$A$905,0))=0,"",INDEX(Catalogo!$H$5:$H$905,MATCH(A103,Catalogo!$A$5:$A$905,0))))</f>
        <v/>
      </c>
      <c r="H103" s="13" t="e">
        <f t="shared" si="15"/>
        <v>#VALUE!</v>
      </c>
      <c r="I103" s="6" t="e">
        <f t="shared" si="16"/>
        <v>#VALUE!</v>
      </c>
      <c r="J103" s="6" t="e">
        <f t="shared" si="17"/>
        <v>#VALUE!</v>
      </c>
      <c r="K103" s="6" t="e">
        <f t="shared" si="18"/>
        <v>#VALUE!</v>
      </c>
      <c r="L103" t="str">
        <f t="shared" si="19"/>
        <v/>
      </c>
    </row>
    <row r="104" spans="1:12" ht="30" customHeight="1">
      <c r="A104" s="9"/>
      <c r="B104" s="5" t="str">
        <f>IF(A104="","",IF(COUNTIF(Catalogo!$A$5:$A$905,A104)=0,"SKU no encontrado",INDEX(Catalogo!$B$5:$B$905,MATCH(A104,Catalogo!$A$5:$A$905,0))))</f>
        <v/>
      </c>
      <c r="C104" t="str">
        <f>IF(OR(A104="",B104="SKU no encontrado"),"",INDEX(Catalogo!$C$5:$C$905,MATCH(A104,Catalogo!$A$5:$A$905,0)))</f>
        <v/>
      </c>
      <c r="D104" s="10"/>
      <c r="E104" s="11"/>
      <c r="F104" s="12"/>
      <c r="G104" s="6" t="str">
        <f>IF(OR(A104="",B104="SKU no encontrado"),"",IF(INDEX(Catalogo!$H$5:$H$905,MATCH(A104,Catalogo!$A$5:$A$905,0))=0,"",INDEX(Catalogo!$H$5:$H$905,MATCH(A104,Catalogo!$A$5:$A$905,0))))</f>
        <v/>
      </c>
      <c r="H104" s="13" t="e">
        <f t="shared" si="15"/>
        <v>#VALUE!</v>
      </c>
      <c r="I104" s="6" t="e">
        <f t="shared" si="16"/>
        <v>#VALUE!</v>
      </c>
      <c r="J104" s="6" t="e">
        <f t="shared" si="17"/>
        <v>#VALUE!</v>
      </c>
      <c r="K104" s="6" t="e">
        <f t="shared" si="18"/>
        <v>#VALUE!</v>
      </c>
      <c r="L104" t="str">
        <f t="shared" si="19"/>
        <v/>
      </c>
    </row>
    <row r="105" spans="1:12" ht="30" customHeight="1">
      <c r="A105" s="9"/>
      <c r="B105" s="5" t="str">
        <f>IF(A105="","",IF(COUNTIF(Catalogo!$A$5:$A$905,A105)=0,"SKU no encontrado",INDEX(Catalogo!$B$5:$B$905,MATCH(A105,Catalogo!$A$5:$A$905,0))))</f>
        <v/>
      </c>
      <c r="C105" t="str">
        <f>IF(OR(A105="",B105="SKU no encontrado"),"",INDEX(Catalogo!$C$5:$C$905,MATCH(A105,Catalogo!$A$5:$A$905,0)))</f>
        <v/>
      </c>
      <c r="D105" s="10"/>
      <c r="E105" s="11"/>
      <c r="F105" s="12"/>
      <c r="G105" s="6" t="str">
        <f>IF(OR(A105="",B105="SKU no encontrado"),"",IF(INDEX(Catalogo!$H$5:$H$905,MATCH(A105,Catalogo!$A$5:$A$905,0))=0,"",INDEX(Catalogo!$H$5:$H$905,MATCH(A105,Catalogo!$A$5:$A$905,0))))</f>
        <v/>
      </c>
      <c r="H105" s="13" t="e">
        <f t="shared" si="15"/>
        <v>#VALUE!</v>
      </c>
      <c r="I105" s="6" t="e">
        <f t="shared" si="16"/>
        <v>#VALUE!</v>
      </c>
      <c r="J105" s="6" t="e">
        <f t="shared" si="17"/>
        <v>#VALUE!</v>
      </c>
      <c r="K105" s="6" t="e">
        <f t="shared" si="18"/>
        <v>#VALUE!</v>
      </c>
      <c r="L105" t="str">
        <f t="shared" si="19"/>
        <v/>
      </c>
    </row>
    <row r="106" spans="1:12" ht="30" customHeight="1">
      <c r="A106" s="9"/>
      <c r="B106" s="5" t="str">
        <f>IF(A106="","",IF(COUNTIF(Catalogo!$A$5:$A$905,A106)=0,"SKU no encontrado",INDEX(Catalogo!$B$5:$B$905,MATCH(A106,Catalogo!$A$5:$A$905,0))))</f>
        <v/>
      </c>
      <c r="C106" t="str">
        <f>IF(OR(A106="",B106="SKU no encontrado"),"",INDEX(Catalogo!$C$5:$C$905,MATCH(A106,Catalogo!$A$5:$A$905,0)))</f>
        <v/>
      </c>
      <c r="D106" s="10"/>
      <c r="E106" s="11"/>
      <c r="F106" s="12"/>
      <c r="G106" s="6" t="str">
        <f>IF(OR(A106="",B106="SKU no encontrado"),"",IF(INDEX(Catalogo!$H$5:$H$905,MATCH(A106,Catalogo!$A$5:$A$905,0))=0,"",INDEX(Catalogo!$H$5:$H$905,MATCH(A106,Catalogo!$A$5:$A$905,0))))</f>
        <v/>
      </c>
      <c r="H106" s="13" t="e">
        <f t="shared" si="15"/>
        <v>#VALUE!</v>
      </c>
      <c r="I106" s="6" t="e">
        <f t="shared" si="16"/>
        <v>#VALUE!</v>
      </c>
      <c r="J106" s="6" t="e">
        <f t="shared" si="17"/>
        <v>#VALUE!</v>
      </c>
      <c r="K106" s="6" t="e">
        <f t="shared" si="18"/>
        <v>#VALUE!</v>
      </c>
      <c r="L106" t="str">
        <f t="shared" si="19"/>
        <v/>
      </c>
    </row>
    <row r="107" spans="1:12" ht="30" customHeight="1">
      <c r="A107" s="9"/>
      <c r="B107" s="5" t="str">
        <f>IF(A107="","",IF(COUNTIF(Catalogo!$A$5:$A$905,A107)=0,"SKU no encontrado",INDEX(Catalogo!$B$5:$B$905,MATCH(A107,Catalogo!$A$5:$A$905,0))))</f>
        <v/>
      </c>
      <c r="C107" t="str">
        <f>IF(OR(A107="",B107="SKU no encontrado"),"",INDEX(Catalogo!$C$5:$C$905,MATCH(A107,Catalogo!$A$5:$A$905,0)))</f>
        <v/>
      </c>
      <c r="D107" s="10"/>
      <c r="E107" s="11"/>
      <c r="F107" s="12"/>
      <c r="G107" s="6" t="str">
        <f>IF(OR(A107="",B107="SKU no encontrado"),"",IF(INDEX(Catalogo!$H$5:$H$905,MATCH(A107,Catalogo!$A$5:$A$905,0))=0,"",INDEX(Catalogo!$H$5:$H$905,MATCH(A107,Catalogo!$A$5:$A$905,0))))</f>
        <v/>
      </c>
      <c r="H107" s="13" t="e">
        <f t="shared" si="15"/>
        <v>#VALUE!</v>
      </c>
      <c r="I107" s="6" t="e">
        <f t="shared" si="16"/>
        <v>#VALUE!</v>
      </c>
      <c r="J107" s="6" t="e">
        <f t="shared" si="17"/>
        <v>#VALUE!</v>
      </c>
      <c r="K107" s="6" t="e">
        <f t="shared" si="18"/>
        <v>#VALUE!</v>
      </c>
      <c r="L107" t="str">
        <f t="shared" si="19"/>
        <v/>
      </c>
    </row>
    <row r="108" spans="1:12" ht="30" customHeight="1">
      <c r="A108" s="9"/>
      <c r="B108" s="5" t="str">
        <f>IF(A108="","",IF(COUNTIF(Catalogo!$A$5:$A$905,A108)=0,"SKU no encontrado",INDEX(Catalogo!$B$5:$B$905,MATCH(A108,Catalogo!$A$5:$A$905,0))))</f>
        <v/>
      </c>
      <c r="C108" t="str">
        <f>IF(OR(A108="",B108="SKU no encontrado"),"",INDEX(Catalogo!$C$5:$C$905,MATCH(A108,Catalogo!$A$5:$A$905,0)))</f>
        <v/>
      </c>
      <c r="D108" s="10"/>
      <c r="E108" s="11"/>
      <c r="F108" s="12"/>
      <c r="G108" s="6" t="str">
        <f>IF(OR(A108="",B108="SKU no encontrado"),"",IF(INDEX(Catalogo!$H$5:$H$905,MATCH(A108,Catalogo!$A$5:$A$905,0))=0,"",INDEX(Catalogo!$H$5:$H$905,MATCH(A108,Catalogo!$A$5:$A$905,0))))</f>
        <v/>
      </c>
      <c r="H108" s="13" t="e">
        <f t="shared" si="15"/>
        <v>#VALUE!</v>
      </c>
      <c r="I108" s="6" t="e">
        <f t="shared" si="16"/>
        <v>#VALUE!</v>
      </c>
      <c r="J108" s="6" t="e">
        <f t="shared" si="17"/>
        <v>#VALUE!</v>
      </c>
      <c r="K108" s="6" t="e">
        <f t="shared" si="18"/>
        <v>#VALUE!</v>
      </c>
      <c r="L108" t="str">
        <f t="shared" si="19"/>
        <v/>
      </c>
    </row>
    <row r="109" spans="1:12" ht="30" customHeight="1">
      <c r="A109" s="9"/>
      <c r="B109" s="5" t="str">
        <f>IF(A109="","",IF(COUNTIF(Catalogo!$A$5:$A$905,A109)=0,"SKU no encontrado",INDEX(Catalogo!$B$5:$B$905,MATCH(A109,Catalogo!$A$5:$A$905,0))))</f>
        <v/>
      </c>
      <c r="C109" t="str">
        <f>IF(OR(A109="",B109="SKU no encontrado"),"",INDEX(Catalogo!$C$5:$C$905,MATCH(A109,Catalogo!$A$5:$A$905,0)))</f>
        <v/>
      </c>
      <c r="D109" s="10"/>
      <c r="E109" s="11"/>
      <c r="F109" s="12"/>
      <c r="G109" s="6" t="str">
        <f>IF(OR(A109="",B109="SKU no encontrado"),"",IF(INDEX(Catalogo!$H$5:$H$905,MATCH(A109,Catalogo!$A$5:$A$905,0))=0,"",INDEX(Catalogo!$H$5:$H$905,MATCH(A109,Catalogo!$A$5:$A$905,0))))</f>
        <v/>
      </c>
      <c r="H109" s="13" t="e">
        <f t="shared" si="15"/>
        <v>#VALUE!</v>
      </c>
      <c r="I109" s="6" t="e">
        <f t="shared" si="16"/>
        <v>#VALUE!</v>
      </c>
      <c r="J109" s="6" t="e">
        <f t="shared" si="17"/>
        <v>#VALUE!</v>
      </c>
      <c r="K109" s="6" t="e">
        <f t="shared" si="18"/>
        <v>#VALUE!</v>
      </c>
      <c r="L109" t="str">
        <f t="shared" si="19"/>
        <v/>
      </c>
    </row>
    <row r="110" spans="1:12" ht="30" customHeight="1">
      <c r="A110" s="9"/>
      <c r="B110" s="5" t="str">
        <f>IF(A110="","",IF(COUNTIF(Catalogo!$A$5:$A$905,A110)=0,"SKU no encontrado",INDEX(Catalogo!$B$5:$B$905,MATCH(A110,Catalogo!$A$5:$A$905,0))))</f>
        <v/>
      </c>
      <c r="C110" t="str">
        <f>IF(OR(A110="",B110="SKU no encontrado"),"",INDEX(Catalogo!$C$5:$C$905,MATCH(A110,Catalogo!$A$5:$A$905,0)))</f>
        <v/>
      </c>
      <c r="D110" s="10"/>
      <c r="E110" s="11"/>
      <c r="F110" s="12"/>
      <c r="G110" s="6" t="str">
        <f>IF(OR(A110="",B110="SKU no encontrado"),"",IF(INDEX(Catalogo!$H$5:$H$905,MATCH(A110,Catalogo!$A$5:$A$905,0))=0,"",INDEX(Catalogo!$H$5:$H$905,MATCH(A110,Catalogo!$A$5:$A$905,0))))</f>
        <v/>
      </c>
      <c r="H110" s="13" t="e">
        <f t="shared" si="15"/>
        <v>#VALUE!</v>
      </c>
      <c r="I110" s="6" t="e">
        <f t="shared" si="16"/>
        <v>#VALUE!</v>
      </c>
      <c r="J110" s="6" t="e">
        <f t="shared" si="17"/>
        <v>#VALUE!</v>
      </c>
      <c r="K110" s="6" t="e">
        <f t="shared" si="18"/>
        <v>#VALUE!</v>
      </c>
      <c r="L110" t="str">
        <f t="shared" si="19"/>
        <v/>
      </c>
    </row>
    <row r="111" spans="1:12" ht="30" customHeight="1">
      <c r="A111" s="9"/>
      <c r="B111" s="5" t="str">
        <f>IF(A111="","",IF(COUNTIF(Catalogo!$A$5:$A$905,A111)=0,"SKU no encontrado",INDEX(Catalogo!$B$5:$B$905,MATCH(A111,Catalogo!$A$5:$A$905,0))))</f>
        <v/>
      </c>
      <c r="C111" t="str">
        <f>IF(OR(A111="",B111="SKU no encontrado"),"",INDEX(Catalogo!$C$5:$C$905,MATCH(A111,Catalogo!$A$5:$A$905,0)))</f>
        <v/>
      </c>
      <c r="D111" s="10"/>
      <c r="E111" s="11"/>
      <c r="F111" s="12"/>
      <c r="G111" s="6" t="str">
        <f>IF(OR(A111="",B111="SKU no encontrado"),"",IF(INDEX(Catalogo!$H$5:$H$905,MATCH(A111,Catalogo!$A$5:$A$905,0))=0,"",INDEX(Catalogo!$H$5:$H$905,MATCH(A111,Catalogo!$A$5:$A$905,0))))</f>
        <v/>
      </c>
      <c r="H111" s="13" t="e">
        <f t="shared" si="15"/>
        <v>#VALUE!</v>
      </c>
      <c r="I111" s="6" t="e">
        <f t="shared" si="16"/>
        <v>#VALUE!</v>
      </c>
      <c r="J111" s="6" t="e">
        <f t="shared" si="17"/>
        <v>#VALUE!</v>
      </c>
      <c r="K111" s="6" t="e">
        <f t="shared" si="18"/>
        <v>#VALUE!</v>
      </c>
      <c r="L111" t="str">
        <f t="shared" si="19"/>
        <v/>
      </c>
    </row>
    <row r="112" spans="1:12" ht="30" customHeight="1">
      <c r="A112" s="9"/>
      <c r="B112" s="5" t="str">
        <f>IF(A112="","",IF(COUNTIF(Catalogo!$A$5:$A$905,A112)=0,"SKU no encontrado",INDEX(Catalogo!$B$5:$B$905,MATCH(A112,Catalogo!$A$5:$A$905,0))))</f>
        <v/>
      </c>
      <c r="C112" t="str">
        <f>IF(OR(A112="",B112="SKU no encontrado"),"",INDEX(Catalogo!$C$5:$C$905,MATCH(A112,Catalogo!$A$5:$A$905,0)))</f>
        <v/>
      </c>
      <c r="D112" s="10"/>
      <c r="E112" s="11"/>
      <c r="F112" s="12"/>
      <c r="G112" s="6" t="str">
        <f>IF(OR(A112="",B112="SKU no encontrado"),"",IF(INDEX(Catalogo!$H$5:$H$905,MATCH(A112,Catalogo!$A$5:$A$905,0))=0,"",INDEX(Catalogo!$H$5:$H$905,MATCH(A112,Catalogo!$A$5:$A$905,0))))</f>
        <v/>
      </c>
      <c r="H112" s="13" t="e">
        <f t="shared" si="15"/>
        <v>#VALUE!</v>
      </c>
      <c r="I112" s="6" t="e">
        <f t="shared" si="16"/>
        <v>#VALUE!</v>
      </c>
      <c r="J112" s="6" t="e">
        <f t="shared" si="17"/>
        <v>#VALUE!</v>
      </c>
      <c r="K112" s="6" t="e">
        <f t="shared" si="18"/>
        <v>#VALUE!</v>
      </c>
      <c r="L112" t="str">
        <f t="shared" si="19"/>
        <v/>
      </c>
    </row>
    <row r="113" spans="1:12" ht="30" customHeight="1">
      <c r="A113" s="9"/>
      <c r="B113" s="5" t="str">
        <f>IF(A113="","",IF(COUNTIF(Catalogo!$A$5:$A$905,A113)=0,"SKU no encontrado",INDEX(Catalogo!$B$5:$B$905,MATCH(A113,Catalogo!$A$5:$A$905,0))))</f>
        <v/>
      </c>
      <c r="C113" t="str">
        <f>IF(OR(A113="",B113="SKU no encontrado"),"",INDEX(Catalogo!$C$5:$C$905,MATCH(A113,Catalogo!$A$5:$A$905,0)))</f>
        <v/>
      </c>
      <c r="D113" s="10"/>
      <c r="E113" s="11"/>
      <c r="F113" s="12"/>
      <c r="G113" s="6" t="str">
        <f>IF(OR(A113="",B113="SKU no encontrado"),"",IF(INDEX(Catalogo!$H$5:$H$905,MATCH(A113,Catalogo!$A$5:$A$905,0))=0,"",INDEX(Catalogo!$H$5:$H$905,MATCH(A113,Catalogo!$A$5:$A$905,0))))</f>
        <v/>
      </c>
      <c r="H113" s="13" t="e">
        <f t="shared" si="15"/>
        <v>#VALUE!</v>
      </c>
      <c r="I113" s="6" t="e">
        <f t="shared" si="16"/>
        <v>#VALUE!</v>
      </c>
      <c r="J113" s="6" t="e">
        <f t="shared" si="17"/>
        <v>#VALUE!</v>
      </c>
      <c r="K113" s="6" t="e">
        <f t="shared" si="18"/>
        <v>#VALUE!</v>
      </c>
      <c r="L113" t="str">
        <f t="shared" si="19"/>
        <v/>
      </c>
    </row>
    <row r="114" spans="1:12" ht="30" customHeight="1">
      <c r="A114" s="9"/>
      <c r="B114" s="5" t="str">
        <f>IF(A114="","",IF(COUNTIF(Catalogo!$A$5:$A$905,A114)=0,"SKU no encontrado",INDEX(Catalogo!$B$5:$B$905,MATCH(A114,Catalogo!$A$5:$A$905,0))))</f>
        <v/>
      </c>
      <c r="C114" t="str">
        <f>IF(OR(A114="",B114="SKU no encontrado"),"",INDEX(Catalogo!$C$5:$C$905,MATCH(A114,Catalogo!$A$5:$A$905,0)))</f>
        <v/>
      </c>
      <c r="D114" s="10"/>
      <c r="E114" s="11"/>
      <c r="F114" s="12"/>
      <c r="G114" s="6" t="str">
        <f>IF(OR(A114="",B114="SKU no encontrado"),"",IF(INDEX(Catalogo!$H$5:$H$905,MATCH(A114,Catalogo!$A$5:$A$905,0))=0,"",INDEX(Catalogo!$H$5:$H$905,MATCH(A114,Catalogo!$A$5:$A$905,0))))</f>
        <v/>
      </c>
      <c r="H114" s="13" t="e">
        <f t="shared" si="15"/>
        <v>#VALUE!</v>
      </c>
      <c r="I114" s="6" t="e">
        <f t="shared" si="16"/>
        <v>#VALUE!</v>
      </c>
      <c r="J114" s="6" t="e">
        <f t="shared" si="17"/>
        <v>#VALUE!</v>
      </c>
      <c r="K114" s="6" t="e">
        <f t="shared" si="18"/>
        <v>#VALUE!</v>
      </c>
      <c r="L114" t="str">
        <f t="shared" si="19"/>
        <v/>
      </c>
    </row>
    <row r="115" spans="1:12" ht="30" customHeight="1">
      <c r="A115" s="9"/>
      <c r="B115" s="5" t="str">
        <f>IF(A115="","",IF(COUNTIF(Catalogo!$A$5:$A$905,A115)=0,"SKU no encontrado",INDEX(Catalogo!$B$5:$B$905,MATCH(A115,Catalogo!$A$5:$A$905,0))))</f>
        <v/>
      </c>
      <c r="C115" t="str">
        <f>IF(OR(A115="",B115="SKU no encontrado"),"",INDEX(Catalogo!$C$5:$C$905,MATCH(A115,Catalogo!$A$5:$A$905,0)))</f>
        <v/>
      </c>
      <c r="D115" s="10"/>
      <c r="E115" s="11"/>
      <c r="F115" s="12"/>
      <c r="G115" s="6" t="str">
        <f>IF(OR(A115="",B115="SKU no encontrado"),"",IF(INDEX(Catalogo!$H$5:$H$905,MATCH(A115,Catalogo!$A$5:$A$905,0))=0,"",INDEX(Catalogo!$H$5:$H$905,MATCH(A115,Catalogo!$A$5:$A$905,0))))</f>
        <v/>
      </c>
      <c r="H115" s="13" t="e">
        <f t="shared" si="15"/>
        <v>#VALUE!</v>
      </c>
      <c r="I115" s="6" t="e">
        <f t="shared" si="16"/>
        <v>#VALUE!</v>
      </c>
      <c r="J115" s="6" t="e">
        <f t="shared" si="17"/>
        <v>#VALUE!</v>
      </c>
      <c r="K115" s="6" t="e">
        <f t="shared" si="18"/>
        <v>#VALUE!</v>
      </c>
      <c r="L115" t="str">
        <f t="shared" si="19"/>
        <v/>
      </c>
    </row>
    <row r="116" spans="1:12" ht="30" customHeight="1">
      <c r="A116" s="9"/>
      <c r="B116" s="5" t="str">
        <f>IF(A116="","",IF(COUNTIF(Catalogo!$A$5:$A$905,A116)=0,"SKU no encontrado",INDEX(Catalogo!$B$5:$B$905,MATCH(A116,Catalogo!$A$5:$A$905,0))))</f>
        <v/>
      </c>
      <c r="C116" t="str">
        <f>IF(OR(A116="",B116="SKU no encontrado"),"",INDEX(Catalogo!$C$5:$C$905,MATCH(A116,Catalogo!$A$5:$A$905,0)))</f>
        <v/>
      </c>
      <c r="D116" s="10"/>
      <c r="E116" s="11"/>
      <c r="F116" s="12"/>
      <c r="G116" s="6" t="str">
        <f>IF(OR(A116="",B116="SKU no encontrado"),"",IF(INDEX(Catalogo!$H$5:$H$905,MATCH(A116,Catalogo!$A$5:$A$905,0))=0,"",INDEX(Catalogo!$H$5:$H$905,MATCH(A116,Catalogo!$A$5:$A$905,0))))</f>
        <v/>
      </c>
      <c r="H116" s="13" t="e">
        <f t="shared" si="15"/>
        <v>#VALUE!</v>
      </c>
      <c r="I116" s="6" t="e">
        <f t="shared" si="16"/>
        <v>#VALUE!</v>
      </c>
      <c r="J116" s="6" t="e">
        <f t="shared" si="17"/>
        <v>#VALUE!</v>
      </c>
      <c r="K116" s="6" t="e">
        <f t="shared" si="18"/>
        <v>#VALUE!</v>
      </c>
      <c r="L116" t="str">
        <f t="shared" si="19"/>
        <v/>
      </c>
    </row>
    <row r="117" spans="1:12" ht="30" customHeight="1">
      <c r="A117" s="9"/>
      <c r="B117" s="5" t="str">
        <f>IF(A117="","",IF(COUNTIF(Catalogo!$A$5:$A$905,A117)=0,"SKU no encontrado",INDEX(Catalogo!$B$5:$B$905,MATCH(A117,Catalogo!$A$5:$A$905,0))))</f>
        <v/>
      </c>
      <c r="C117" t="str">
        <f>IF(OR(A117="",B117="SKU no encontrado"),"",INDEX(Catalogo!$C$5:$C$905,MATCH(A117,Catalogo!$A$5:$A$905,0)))</f>
        <v/>
      </c>
      <c r="D117" s="10"/>
      <c r="E117" s="11"/>
      <c r="F117" s="12"/>
      <c r="G117" s="6" t="str">
        <f>IF(OR(A117="",B117="SKU no encontrado"),"",IF(INDEX(Catalogo!$H$5:$H$905,MATCH(A117,Catalogo!$A$5:$A$905,0))=0,"",INDEX(Catalogo!$H$5:$H$905,MATCH(A117,Catalogo!$A$5:$A$905,0))))</f>
        <v/>
      </c>
      <c r="H117" s="13" t="e">
        <f t="shared" si="15"/>
        <v>#VALUE!</v>
      </c>
      <c r="I117" s="6" t="e">
        <f t="shared" si="16"/>
        <v>#VALUE!</v>
      </c>
      <c r="J117" s="6" t="e">
        <f t="shared" si="17"/>
        <v>#VALUE!</v>
      </c>
      <c r="K117" s="6" t="e">
        <f t="shared" si="18"/>
        <v>#VALUE!</v>
      </c>
      <c r="L117" t="str">
        <f t="shared" si="19"/>
        <v/>
      </c>
    </row>
    <row r="118" spans="1:12" ht="30" customHeight="1">
      <c r="A118" s="9"/>
      <c r="B118" s="5" t="str">
        <f>IF(A118="","",IF(COUNTIF(Catalogo!$A$5:$A$905,A118)=0,"SKU no encontrado",INDEX(Catalogo!$B$5:$B$905,MATCH(A118,Catalogo!$A$5:$A$905,0))))</f>
        <v/>
      </c>
      <c r="C118" t="str">
        <f>IF(OR(A118="",B118="SKU no encontrado"),"",INDEX(Catalogo!$C$5:$C$905,MATCH(A118,Catalogo!$A$5:$A$905,0)))</f>
        <v/>
      </c>
      <c r="D118" s="10"/>
      <c r="E118" s="11"/>
      <c r="F118" s="12"/>
      <c r="G118" s="6" t="str">
        <f>IF(OR(A118="",B118="SKU no encontrado"),"",IF(INDEX(Catalogo!$H$5:$H$905,MATCH(A118,Catalogo!$A$5:$A$905,0))=0,"",INDEX(Catalogo!$H$5:$H$905,MATCH(A118,Catalogo!$A$5:$A$905,0))))</f>
        <v/>
      </c>
      <c r="H118" s="13" t="e">
        <f t="shared" si="15"/>
        <v>#VALUE!</v>
      </c>
      <c r="I118" s="6" t="e">
        <f t="shared" si="16"/>
        <v>#VALUE!</v>
      </c>
      <c r="J118" s="6" t="e">
        <f t="shared" si="17"/>
        <v>#VALUE!</v>
      </c>
      <c r="K118" s="6" t="e">
        <f t="shared" si="18"/>
        <v>#VALUE!</v>
      </c>
      <c r="L118" t="str">
        <f t="shared" si="19"/>
        <v/>
      </c>
    </row>
    <row r="119" spans="1:12" ht="30" customHeight="1">
      <c r="A119" s="9"/>
      <c r="B119" s="5" t="str">
        <f>IF(A119="","",IF(COUNTIF(Catalogo!$A$5:$A$905,A119)=0,"SKU no encontrado",INDEX(Catalogo!$B$5:$B$905,MATCH(A119,Catalogo!$A$5:$A$905,0))))</f>
        <v/>
      </c>
      <c r="C119" t="str">
        <f>IF(OR(A119="",B119="SKU no encontrado"),"",INDEX(Catalogo!$C$5:$C$905,MATCH(A119,Catalogo!$A$5:$A$905,0)))</f>
        <v/>
      </c>
      <c r="D119" s="10"/>
      <c r="E119" s="11"/>
      <c r="F119" s="12"/>
      <c r="G119" s="6" t="str">
        <f>IF(OR(A119="",B119="SKU no encontrado"),"",IF(INDEX(Catalogo!$H$5:$H$905,MATCH(A119,Catalogo!$A$5:$A$905,0))=0,"",INDEX(Catalogo!$H$5:$H$905,MATCH(A119,Catalogo!$A$5:$A$905,0))))</f>
        <v/>
      </c>
      <c r="H119" s="13" t="e">
        <f t="shared" si="15"/>
        <v>#VALUE!</v>
      </c>
      <c r="I119" s="6" t="e">
        <f t="shared" si="16"/>
        <v>#VALUE!</v>
      </c>
      <c r="J119" s="6" t="e">
        <f t="shared" si="17"/>
        <v>#VALUE!</v>
      </c>
      <c r="K119" s="6" t="e">
        <f t="shared" si="18"/>
        <v>#VALUE!</v>
      </c>
      <c r="L119" t="str">
        <f t="shared" si="19"/>
        <v/>
      </c>
    </row>
    <row r="120" spans="1:12" ht="30" customHeight="1">
      <c r="A120" s="9"/>
      <c r="B120" s="5" t="str">
        <f>IF(A120="","",IF(COUNTIF(Catalogo!$A$5:$A$905,A120)=0,"SKU no encontrado",INDEX(Catalogo!$B$5:$B$905,MATCH(A120,Catalogo!$A$5:$A$905,0))))</f>
        <v/>
      </c>
      <c r="C120" t="str">
        <f>IF(OR(A120="",B120="SKU no encontrado"),"",INDEX(Catalogo!$C$5:$C$905,MATCH(A120,Catalogo!$A$5:$A$905,0)))</f>
        <v/>
      </c>
      <c r="D120" s="10"/>
      <c r="E120" s="11"/>
      <c r="F120" s="12"/>
      <c r="G120" s="6" t="str">
        <f>IF(OR(A120="",B120="SKU no encontrado"),"",IF(INDEX(Catalogo!$H$5:$H$905,MATCH(A120,Catalogo!$A$5:$A$905,0))=0,"",INDEX(Catalogo!$H$5:$H$905,MATCH(A120,Catalogo!$A$5:$A$905,0))))</f>
        <v/>
      </c>
      <c r="H120" s="13" t="e">
        <f t="shared" si="15"/>
        <v>#VALUE!</v>
      </c>
      <c r="I120" s="6" t="e">
        <f t="shared" si="16"/>
        <v>#VALUE!</v>
      </c>
      <c r="J120" s="6" t="e">
        <f t="shared" si="17"/>
        <v>#VALUE!</v>
      </c>
      <c r="K120" s="6" t="e">
        <f t="shared" si="18"/>
        <v>#VALUE!</v>
      </c>
      <c r="L120" t="str">
        <f t="shared" si="19"/>
        <v/>
      </c>
    </row>
    <row r="121" spans="1:12" ht="30" customHeight="1">
      <c r="A121" s="9"/>
      <c r="B121" s="5" t="str">
        <f>IF(A121="","",IF(COUNTIF(Catalogo!$A$5:$A$905,A121)=0,"SKU no encontrado",INDEX(Catalogo!$B$5:$B$905,MATCH(A121,Catalogo!$A$5:$A$905,0))))</f>
        <v/>
      </c>
      <c r="C121" t="str">
        <f>IF(OR(A121="",B121="SKU no encontrado"),"",INDEX(Catalogo!$C$5:$C$905,MATCH(A121,Catalogo!$A$5:$A$905,0)))</f>
        <v/>
      </c>
      <c r="D121" s="10"/>
      <c r="E121" s="11"/>
      <c r="F121" s="12"/>
      <c r="G121" s="6" t="str">
        <f>IF(OR(A121="",B121="SKU no encontrado"),"",IF(INDEX(Catalogo!$H$5:$H$905,MATCH(A121,Catalogo!$A$5:$A$905,0))=0,"",INDEX(Catalogo!$H$5:$H$905,MATCH(A121,Catalogo!$A$5:$A$905,0))))</f>
        <v/>
      </c>
      <c r="H121" s="13" t="e">
        <f t="shared" si="15"/>
        <v>#VALUE!</v>
      </c>
      <c r="I121" s="6" t="e">
        <f t="shared" si="16"/>
        <v>#VALUE!</v>
      </c>
      <c r="J121" s="6" t="e">
        <f t="shared" si="17"/>
        <v>#VALUE!</v>
      </c>
      <c r="K121" s="6" t="e">
        <f t="shared" si="18"/>
        <v>#VALUE!</v>
      </c>
      <c r="L121" t="str">
        <f t="shared" si="19"/>
        <v/>
      </c>
    </row>
    <row r="122" spans="1:12" ht="30" customHeight="1">
      <c r="A122" s="9"/>
      <c r="B122" s="5" t="str">
        <f>IF(A122="","",IF(COUNTIF(Catalogo!$A$5:$A$905,A122)=0,"SKU no encontrado",INDEX(Catalogo!$B$5:$B$905,MATCH(A122,Catalogo!$A$5:$A$905,0))))</f>
        <v/>
      </c>
      <c r="C122" t="str">
        <f>IF(OR(A122="",B122="SKU no encontrado"),"",INDEX(Catalogo!$C$5:$C$905,MATCH(A122,Catalogo!$A$5:$A$905,0)))</f>
        <v/>
      </c>
      <c r="D122" s="10"/>
      <c r="E122" s="11"/>
      <c r="F122" s="12"/>
      <c r="G122" s="6" t="str">
        <f>IF(OR(A122="",B122="SKU no encontrado"),"",IF(INDEX(Catalogo!$H$5:$H$905,MATCH(A122,Catalogo!$A$5:$A$905,0))=0,"",INDEX(Catalogo!$H$5:$H$905,MATCH(A122,Catalogo!$A$5:$A$905,0))))</f>
        <v/>
      </c>
      <c r="H122" s="13" t="e">
        <f t="shared" si="15"/>
        <v>#VALUE!</v>
      </c>
      <c r="I122" s="6" t="e">
        <f t="shared" si="16"/>
        <v>#VALUE!</v>
      </c>
      <c r="J122" s="6" t="e">
        <f t="shared" si="17"/>
        <v>#VALUE!</v>
      </c>
      <c r="K122" s="6" t="e">
        <f t="shared" si="18"/>
        <v>#VALUE!</v>
      </c>
      <c r="L122" t="str">
        <f t="shared" si="19"/>
        <v/>
      </c>
    </row>
    <row r="123" spans="1:12" ht="30" customHeight="1">
      <c r="A123" s="9"/>
      <c r="B123" s="5" t="str">
        <f>IF(A123="","",IF(COUNTIF(Catalogo!$A$5:$A$905,A123)=0,"SKU no encontrado",INDEX(Catalogo!$B$5:$B$905,MATCH(A123,Catalogo!$A$5:$A$905,0))))</f>
        <v/>
      </c>
      <c r="C123" t="str">
        <f>IF(OR(A123="",B123="SKU no encontrado"),"",INDEX(Catalogo!$C$5:$C$905,MATCH(A123,Catalogo!$A$5:$A$905,0)))</f>
        <v/>
      </c>
      <c r="D123" s="10"/>
      <c r="E123" s="11"/>
      <c r="F123" s="12"/>
      <c r="G123" s="6" t="str">
        <f>IF(OR(A123="",B123="SKU no encontrado"),"",IF(INDEX(Catalogo!$H$5:$H$905,MATCH(A123,Catalogo!$A$5:$A$905,0))=0,"",INDEX(Catalogo!$H$5:$H$905,MATCH(A123,Catalogo!$A$5:$A$905,0))))</f>
        <v/>
      </c>
      <c r="H123" s="13" t="e">
        <f t="shared" si="15"/>
        <v>#VALUE!</v>
      </c>
      <c r="I123" s="6" t="e">
        <f t="shared" si="16"/>
        <v>#VALUE!</v>
      </c>
      <c r="J123" s="6" t="e">
        <f t="shared" si="17"/>
        <v>#VALUE!</v>
      </c>
      <c r="K123" s="6" t="e">
        <f t="shared" si="18"/>
        <v>#VALUE!</v>
      </c>
      <c r="L123" t="str">
        <f t="shared" si="19"/>
        <v/>
      </c>
    </row>
    <row r="124" spans="1:12" ht="30" customHeight="1">
      <c r="A124" s="9"/>
      <c r="B124" s="5" t="str">
        <f>IF(A124="","",IF(COUNTIF(Catalogo!$A$5:$A$905,A124)=0,"SKU no encontrado",INDEX(Catalogo!$B$5:$B$905,MATCH(A124,Catalogo!$A$5:$A$905,0))))</f>
        <v/>
      </c>
      <c r="C124" t="str">
        <f>IF(OR(A124="",B124="SKU no encontrado"),"",INDEX(Catalogo!$C$5:$C$905,MATCH(A124,Catalogo!$A$5:$A$905,0)))</f>
        <v/>
      </c>
      <c r="D124" s="10"/>
      <c r="E124" s="11"/>
      <c r="F124" s="12"/>
      <c r="G124" s="6" t="str">
        <f>IF(OR(A124="",B124="SKU no encontrado"),"",IF(INDEX(Catalogo!$H$5:$H$905,MATCH(A124,Catalogo!$A$5:$A$905,0))=0,"",INDEX(Catalogo!$H$5:$H$905,MATCH(A124,Catalogo!$A$5:$A$905,0))))</f>
        <v/>
      </c>
      <c r="H124" s="13" t="e">
        <f t="shared" si="15"/>
        <v>#VALUE!</v>
      </c>
      <c r="I124" s="6" t="e">
        <f t="shared" si="16"/>
        <v>#VALUE!</v>
      </c>
      <c r="J124" s="6" t="e">
        <f t="shared" si="17"/>
        <v>#VALUE!</v>
      </c>
      <c r="K124" s="6" t="e">
        <f t="shared" si="18"/>
        <v>#VALUE!</v>
      </c>
      <c r="L124" t="str">
        <f t="shared" si="19"/>
        <v/>
      </c>
    </row>
    <row r="125" spans="1:12" ht="30" customHeight="1">
      <c r="A125" s="9"/>
      <c r="B125" s="5" t="str">
        <f>IF(A125="","",IF(COUNTIF(Catalogo!$A$5:$A$905,A125)=0,"SKU no encontrado",INDEX(Catalogo!$B$5:$B$905,MATCH(A125,Catalogo!$A$5:$A$905,0))))</f>
        <v/>
      </c>
      <c r="C125" t="str">
        <f>IF(OR(A125="",B125="SKU no encontrado"),"",INDEX(Catalogo!$C$5:$C$905,MATCH(A125,Catalogo!$A$5:$A$905,0)))</f>
        <v/>
      </c>
      <c r="D125" s="10"/>
      <c r="E125" s="11"/>
      <c r="F125" s="12"/>
      <c r="G125" s="6" t="str">
        <f>IF(OR(A125="",B125="SKU no encontrado"),"",IF(INDEX(Catalogo!$H$5:$H$905,MATCH(A125,Catalogo!$A$5:$A$905,0))=0,"",INDEX(Catalogo!$H$5:$H$905,MATCH(A125,Catalogo!$A$5:$A$905,0))))</f>
        <v/>
      </c>
      <c r="H125" s="13" t="e">
        <f t="shared" si="15"/>
        <v>#VALUE!</v>
      </c>
      <c r="I125" s="6" t="e">
        <f t="shared" si="16"/>
        <v>#VALUE!</v>
      </c>
      <c r="J125" s="6" t="e">
        <f t="shared" si="17"/>
        <v>#VALUE!</v>
      </c>
      <c r="K125" s="6" t="e">
        <f t="shared" si="18"/>
        <v>#VALUE!</v>
      </c>
      <c r="L125" t="str">
        <f t="shared" si="19"/>
        <v/>
      </c>
    </row>
    <row r="126" spans="1:12" ht="30" customHeight="1">
      <c r="A126" s="9"/>
      <c r="B126" s="5" t="str">
        <f>IF(A126="","",IF(COUNTIF(Catalogo!$A$5:$A$905,A126)=0,"SKU no encontrado",INDEX(Catalogo!$B$5:$B$905,MATCH(A126,Catalogo!$A$5:$A$905,0))))</f>
        <v/>
      </c>
      <c r="C126" t="str">
        <f>IF(OR(A126="",B126="SKU no encontrado"),"",INDEX(Catalogo!$C$5:$C$905,MATCH(A126,Catalogo!$A$5:$A$905,0)))</f>
        <v/>
      </c>
      <c r="D126" s="10"/>
      <c r="E126" s="11"/>
      <c r="F126" s="12"/>
      <c r="G126" s="6" t="str">
        <f>IF(OR(A126="",B126="SKU no encontrado"),"",IF(INDEX(Catalogo!$H$5:$H$905,MATCH(A126,Catalogo!$A$5:$A$905,0))=0,"",INDEX(Catalogo!$H$5:$H$905,MATCH(A126,Catalogo!$A$5:$A$905,0))))</f>
        <v/>
      </c>
      <c r="H126" s="13" t="e">
        <f t="shared" si="15"/>
        <v>#VALUE!</v>
      </c>
      <c r="I126" s="6" t="e">
        <f t="shared" si="16"/>
        <v>#VALUE!</v>
      </c>
      <c r="J126" s="6" t="e">
        <f t="shared" si="17"/>
        <v>#VALUE!</v>
      </c>
      <c r="K126" s="6" t="e">
        <f t="shared" si="18"/>
        <v>#VALUE!</v>
      </c>
      <c r="L126" t="str">
        <f t="shared" si="19"/>
        <v/>
      </c>
    </row>
    <row r="127" spans="1:12" ht="30" customHeight="1">
      <c r="A127" s="9"/>
      <c r="B127" s="5" t="str">
        <f>IF(A127="","",IF(COUNTIF(Catalogo!$A$5:$A$905,A127)=0,"SKU no encontrado",INDEX(Catalogo!$B$5:$B$905,MATCH(A127,Catalogo!$A$5:$A$905,0))))</f>
        <v/>
      </c>
      <c r="C127" t="str">
        <f>IF(OR(A127="",B127="SKU no encontrado"),"",INDEX(Catalogo!$C$5:$C$905,MATCH(A127,Catalogo!$A$5:$A$905,0)))</f>
        <v/>
      </c>
      <c r="D127" s="10"/>
      <c r="E127" s="11"/>
      <c r="F127" s="12"/>
      <c r="G127" s="6" t="str">
        <f>IF(OR(A127="",B127="SKU no encontrado"),"",IF(INDEX(Catalogo!$H$5:$H$905,MATCH(A127,Catalogo!$A$5:$A$905,0))=0,"",INDEX(Catalogo!$H$5:$H$905,MATCH(A127,Catalogo!$A$5:$A$905,0))))</f>
        <v/>
      </c>
      <c r="H127" s="13" t="e">
        <f t="shared" si="15"/>
        <v>#VALUE!</v>
      </c>
      <c r="I127" s="6" t="e">
        <f t="shared" si="16"/>
        <v>#VALUE!</v>
      </c>
      <c r="J127" s="6" t="e">
        <f t="shared" si="17"/>
        <v>#VALUE!</v>
      </c>
      <c r="K127" s="6" t="e">
        <f t="shared" si="18"/>
        <v>#VALUE!</v>
      </c>
      <c r="L127" t="str">
        <f t="shared" si="19"/>
        <v/>
      </c>
    </row>
    <row r="128" spans="1:12" ht="30" customHeight="1">
      <c r="A128" s="9"/>
      <c r="B128" s="5" t="str">
        <f>IF(A128="","",IF(COUNTIF(Catalogo!$A$5:$A$905,A128)=0,"SKU no encontrado",INDEX(Catalogo!$B$5:$B$905,MATCH(A128,Catalogo!$A$5:$A$905,0))))</f>
        <v/>
      </c>
      <c r="C128" t="str">
        <f>IF(OR(A128="",B128="SKU no encontrado"),"",INDEX(Catalogo!$C$5:$C$905,MATCH(A128,Catalogo!$A$5:$A$905,0)))</f>
        <v/>
      </c>
      <c r="D128" s="10"/>
      <c r="E128" s="11"/>
      <c r="F128" s="12"/>
      <c r="G128" s="6" t="str">
        <f>IF(OR(A128="",B128="SKU no encontrado"),"",IF(INDEX(Catalogo!$H$5:$H$905,MATCH(A128,Catalogo!$A$5:$A$905,0))=0,"",INDEX(Catalogo!$H$5:$H$905,MATCH(A128,Catalogo!$A$5:$A$905,0))))</f>
        <v/>
      </c>
      <c r="H128" s="13" t="e">
        <f t="shared" si="15"/>
        <v>#VALUE!</v>
      </c>
      <c r="I128" s="6" t="e">
        <f t="shared" si="16"/>
        <v>#VALUE!</v>
      </c>
      <c r="J128" s="6" t="e">
        <f t="shared" si="17"/>
        <v>#VALUE!</v>
      </c>
      <c r="K128" s="6" t="e">
        <f t="shared" si="18"/>
        <v>#VALUE!</v>
      </c>
      <c r="L128" t="str">
        <f t="shared" si="19"/>
        <v/>
      </c>
    </row>
    <row r="129" spans="1:12" ht="30" customHeight="1">
      <c r="A129" s="9"/>
      <c r="B129" s="5" t="str">
        <f>IF(A129="","",IF(COUNTIF(Catalogo!$A$5:$A$905,A129)=0,"SKU no encontrado",INDEX(Catalogo!$B$5:$B$905,MATCH(A129,Catalogo!$A$5:$A$905,0))))</f>
        <v/>
      </c>
      <c r="C129" t="str">
        <f>IF(OR(A129="",B129="SKU no encontrado"),"",INDEX(Catalogo!$C$5:$C$905,MATCH(A129,Catalogo!$A$5:$A$905,0)))</f>
        <v/>
      </c>
      <c r="D129" s="10"/>
      <c r="E129" s="11"/>
      <c r="F129" s="12"/>
      <c r="G129" s="6" t="str">
        <f>IF(OR(A129="",B129="SKU no encontrado"),"",IF(INDEX(Catalogo!$H$5:$H$905,MATCH(A129,Catalogo!$A$5:$A$905,0))=0,"",INDEX(Catalogo!$H$5:$H$905,MATCH(A129,Catalogo!$A$5:$A$905,0))))</f>
        <v/>
      </c>
      <c r="H129" s="13" t="e">
        <f t="shared" si="15"/>
        <v>#VALUE!</v>
      </c>
      <c r="I129" s="6" t="e">
        <f t="shared" si="16"/>
        <v>#VALUE!</v>
      </c>
      <c r="J129" s="6" t="e">
        <f t="shared" si="17"/>
        <v>#VALUE!</v>
      </c>
      <c r="K129" s="6" t="e">
        <f t="shared" si="18"/>
        <v>#VALUE!</v>
      </c>
      <c r="L129" t="str">
        <f t="shared" si="19"/>
        <v/>
      </c>
    </row>
    <row r="130" spans="1:12" ht="30" customHeight="1">
      <c r="A130" s="9"/>
      <c r="B130" s="5" t="str">
        <f>IF(A130="","",IF(COUNTIF(Catalogo!$A$5:$A$905,A130)=0,"SKU no encontrado",INDEX(Catalogo!$B$5:$B$905,MATCH(A130,Catalogo!$A$5:$A$905,0))))</f>
        <v/>
      </c>
      <c r="C130" t="str">
        <f>IF(OR(A130="",B130="SKU no encontrado"),"",INDEX(Catalogo!$C$5:$C$905,MATCH(A130,Catalogo!$A$5:$A$905,0)))</f>
        <v/>
      </c>
      <c r="D130" s="10"/>
      <c r="E130" s="11"/>
      <c r="F130" s="12"/>
      <c r="G130" s="6" t="str">
        <f>IF(OR(A130="",B130="SKU no encontrado"),"",IF(INDEX(Catalogo!$H$5:$H$905,MATCH(A130,Catalogo!$A$5:$A$905,0))=0,"",INDEX(Catalogo!$H$5:$H$905,MATCH(A130,Catalogo!$A$5:$A$905,0))))</f>
        <v/>
      </c>
      <c r="H130" s="13" t="e">
        <f t="shared" si="15"/>
        <v>#VALUE!</v>
      </c>
      <c r="I130" s="6" t="e">
        <f t="shared" si="16"/>
        <v>#VALUE!</v>
      </c>
      <c r="J130" s="6" t="e">
        <f t="shared" si="17"/>
        <v>#VALUE!</v>
      </c>
      <c r="K130" s="6" t="e">
        <f t="shared" si="18"/>
        <v>#VALUE!</v>
      </c>
      <c r="L130" t="str">
        <f t="shared" si="19"/>
        <v/>
      </c>
    </row>
    <row r="131" spans="1:12" ht="30" customHeight="1">
      <c r="A131" s="9"/>
      <c r="B131" s="5" t="str">
        <f>IF(A131="","",IF(COUNTIF(Catalogo!$A$5:$A$905,A131)=0,"SKU no encontrado",INDEX(Catalogo!$B$5:$B$905,MATCH(A131,Catalogo!$A$5:$A$905,0))))</f>
        <v/>
      </c>
      <c r="C131" t="str">
        <f>IF(OR(A131="",B131="SKU no encontrado"),"",INDEX(Catalogo!$C$5:$C$905,MATCH(A131,Catalogo!$A$5:$A$905,0)))</f>
        <v/>
      </c>
      <c r="D131" s="10"/>
      <c r="E131" s="11"/>
      <c r="F131" s="12"/>
      <c r="G131" s="6" t="str">
        <f>IF(OR(A131="",B131="SKU no encontrado"),"",IF(INDEX(Catalogo!$H$5:$H$905,MATCH(A131,Catalogo!$A$5:$A$905,0))=0,"",INDEX(Catalogo!$H$5:$H$905,MATCH(A131,Catalogo!$A$5:$A$905,0))))</f>
        <v/>
      </c>
      <c r="H131" s="13" t="e">
        <f t="shared" si="15"/>
        <v>#VALUE!</v>
      </c>
      <c r="I131" s="6" t="e">
        <f t="shared" si="16"/>
        <v>#VALUE!</v>
      </c>
      <c r="J131" s="6" t="e">
        <f t="shared" si="17"/>
        <v>#VALUE!</v>
      </c>
      <c r="K131" s="6" t="e">
        <f t="shared" si="18"/>
        <v>#VALUE!</v>
      </c>
      <c r="L131" t="str">
        <f t="shared" si="19"/>
        <v/>
      </c>
    </row>
    <row r="132" spans="1:12" ht="30" customHeight="1">
      <c r="A132" s="9"/>
      <c r="B132" s="5" t="str">
        <f>IF(A132="","",IF(COUNTIF(Catalogo!$A$5:$A$905,A132)=0,"SKU no encontrado",INDEX(Catalogo!$B$5:$B$905,MATCH(A132,Catalogo!$A$5:$A$905,0))))</f>
        <v/>
      </c>
      <c r="C132" t="str">
        <f>IF(OR(A132="",B132="SKU no encontrado"),"",INDEX(Catalogo!$C$5:$C$905,MATCH(A132,Catalogo!$A$5:$A$905,0)))</f>
        <v/>
      </c>
      <c r="D132" s="10"/>
      <c r="E132" s="11"/>
      <c r="F132" s="12"/>
      <c r="G132" s="6" t="str">
        <f>IF(OR(A132="",B132="SKU no encontrado"),"",IF(INDEX(Catalogo!$H$5:$H$905,MATCH(A132,Catalogo!$A$5:$A$905,0))=0,"",INDEX(Catalogo!$H$5:$H$905,MATCH(A132,Catalogo!$A$5:$A$905,0))))</f>
        <v/>
      </c>
      <c r="H132" s="13" t="e">
        <f t="shared" si="15"/>
        <v>#VALUE!</v>
      </c>
      <c r="I132" s="6" t="e">
        <f t="shared" si="16"/>
        <v>#VALUE!</v>
      </c>
      <c r="J132" s="6" t="e">
        <f t="shared" si="17"/>
        <v>#VALUE!</v>
      </c>
      <c r="K132" s="6" t="e">
        <f t="shared" si="18"/>
        <v>#VALUE!</v>
      </c>
      <c r="L132" t="str">
        <f t="shared" si="19"/>
        <v/>
      </c>
    </row>
    <row r="133" spans="1:12" ht="30" customHeight="1">
      <c r="A133" s="9"/>
      <c r="B133" s="5" t="str">
        <f>IF(A133="","",IF(COUNTIF(Catalogo!$A$5:$A$905,A133)=0,"SKU no encontrado",INDEX(Catalogo!$B$5:$B$905,MATCH(A133,Catalogo!$A$5:$A$905,0))))</f>
        <v/>
      </c>
      <c r="C133" t="str">
        <f>IF(OR(A133="",B133="SKU no encontrado"),"",INDEX(Catalogo!$C$5:$C$905,MATCH(A133,Catalogo!$A$5:$A$905,0)))</f>
        <v/>
      </c>
      <c r="D133" s="10"/>
      <c r="E133" s="11"/>
      <c r="F133" s="12"/>
      <c r="G133" s="6" t="str">
        <f>IF(OR(A133="",B133="SKU no encontrado"),"",IF(INDEX(Catalogo!$H$5:$H$905,MATCH(A133,Catalogo!$A$5:$A$905,0))=0,"",INDEX(Catalogo!$H$5:$H$905,MATCH(A133,Catalogo!$A$5:$A$905,0))))</f>
        <v/>
      </c>
      <c r="H133" s="13" t="e">
        <f t="shared" ref="H133:H164" si="20">IF(OR(G133="",F133="",F133&lt;0,C133&lt;=0,F133*C133&gt;G133),"",1-F133*C133/G133)</f>
        <v>#VALUE!</v>
      </c>
      <c r="I133" s="6" t="e">
        <f t="shared" ref="I133:I164" si="21">IF(H133="","",G133-F133*C133)</f>
        <v>#VALUE!</v>
      </c>
      <c r="J133" s="6" t="e">
        <f t="shared" ref="J133:J164" si="22">IF(OR(I133="",E133="",E133&lt;=0),"",I133*E133)</f>
        <v>#VALUE!</v>
      </c>
      <c r="K133" s="6" t="e">
        <f t="shared" ref="K133:K164" si="23">IF(OR(H133="",C133&lt;=0),"",F133*C133)</f>
        <v>#VALUE!</v>
      </c>
      <c r="L133" t="str">
        <f t="shared" ref="L133:L164" si="24">IF(A133="","",IF(B133="SKU no encontrado",B133,IF(G133="","Sin precio válido",IF(F133="","Completar precio deseado",IF(OR(F133&lt;0,C133&lt;=0,F133*C133&gt;G133),"Revisar precio deseado",IF(OR(E133="",E133&lt;=0),"Completar bultos","Estimado proporcional"))))))</f>
        <v/>
      </c>
    </row>
    <row r="134" spans="1:12" ht="30" customHeight="1">
      <c r="A134" s="9"/>
      <c r="B134" s="5" t="str">
        <f>IF(A134="","",IF(COUNTIF(Catalogo!$A$5:$A$905,A134)=0,"SKU no encontrado",INDEX(Catalogo!$B$5:$B$905,MATCH(A134,Catalogo!$A$5:$A$905,0))))</f>
        <v/>
      </c>
      <c r="C134" t="str">
        <f>IF(OR(A134="",B134="SKU no encontrado"),"",INDEX(Catalogo!$C$5:$C$905,MATCH(A134,Catalogo!$A$5:$A$905,0)))</f>
        <v/>
      </c>
      <c r="D134" s="10"/>
      <c r="E134" s="11"/>
      <c r="F134" s="12"/>
      <c r="G134" s="6" t="str">
        <f>IF(OR(A134="",B134="SKU no encontrado"),"",IF(INDEX(Catalogo!$H$5:$H$905,MATCH(A134,Catalogo!$A$5:$A$905,0))=0,"",INDEX(Catalogo!$H$5:$H$905,MATCH(A134,Catalogo!$A$5:$A$905,0))))</f>
        <v/>
      </c>
      <c r="H134" s="13" t="e">
        <f t="shared" si="20"/>
        <v>#VALUE!</v>
      </c>
      <c r="I134" s="6" t="e">
        <f t="shared" si="21"/>
        <v>#VALUE!</v>
      </c>
      <c r="J134" s="6" t="e">
        <f t="shared" si="22"/>
        <v>#VALUE!</v>
      </c>
      <c r="K134" s="6" t="e">
        <f t="shared" si="23"/>
        <v>#VALUE!</v>
      </c>
      <c r="L134" t="str">
        <f t="shared" si="24"/>
        <v/>
      </c>
    </row>
    <row r="135" spans="1:12" ht="30" customHeight="1">
      <c r="A135" s="9"/>
      <c r="B135" s="5" t="str">
        <f>IF(A135="","",IF(COUNTIF(Catalogo!$A$5:$A$905,A135)=0,"SKU no encontrado",INDEX(Catalogo!$B$5:$B$905,MATCH(A135,Catalogo!$A$5:$A$905,0))))</f>
        <v/>
      </c>
      <c r="C135" t="str">
        <f>IF(OR(A135="",B135="SKU no encontrado"),"",INDEX(Catalogo!$C$5:$C$905,MATCH(A135,Catalogo!$A$5:$A$905,0)))</f>
        <v/>
      </c>
      <c r="D135" s="10"/>
      <c r="E135" s="11"/>
      <c r="F135" s="12"/>
      <c r="G135" s="6" t="str">
        <f>IF(OR(A135="",B135="SKU no encontrado"),"",IF(INDEX(Catalogo!$H$5:$H$905,MATCH(A135,Catalogo!$A$5:$A$905,0))=0,"",INDEX(Catalogo!$H$5:$H$905,MATCH(A135,Catalogo!$A$5:$A$905,0))))</f>
        <v/>
      </c>
      <c r="H135" s="13" t="e">
        <f t="shared" si="20"/>
        <v>#VALUE!</v>
      </c>
      <c r="I135" s="6" t="e">
        <f t="shared" si="21"/>
        <v>#VALUE!</v>
      </c>
      <c r="J135" s="6" t="e">
        <f t="shared" si="22"/>
        <v>#VALUE!</v>
      </c>
      <c r="K135" s="6" t="e">
        <f t="shared" si="23"/>
        <v>#VALUE!</v>
      </c>
      <c r="L135" t="str">
        <f t="shared" si="24"/>
        <v/>
      </c>
    </row>
    <row r="136" spans="1:12" ht="30" customHeight="1">
      <c r="A136" s="9"/>
      <c r="B136" s="5" t="str">
        <f>IF(A136="","",IF(COUNTIF(Catalogo!$A$5:$A$905,A136)=0,"SKU no encontrado",INDEX(Catalogo!$B$5:$B$905,MATCH(A136,Catalogo!$A$5:$A$905,0))))</f>
        <v/>
      </c>
      <c r="C136" t="str">
        <f>IF(OR(A136="",B136="SKU no encontrado"),"",INDEX(Catalogo!$C$5:$C$905,MATCH(A136,Catalogo!$A$5:$A$905,0)))</f>
        <v/>
      </c>
      <c r="D136" s="10"/>
      <c r="E136" s="11"/>
      <c r="F136" s="12"/>
      <c r="G136" s="6" t="str">
        <f>IF(OR(A136="",B136="SKU no encontrado"),"",IF(INDEX(Catalogo!$H$5:$H$905,MATCH(A136,Catalogo!$A$5:$A$905,0))=0,"",INDEX(Catalogo!$H$5:$H$905,MATCH(A136,Catalogo!$A$5:$A$905,0))))</f>
        <v/>
      </c>
      <c r="H136" s="13" t="e">
        <f t="shared" si="20"/>
        <v>#VALUE!</v>
      </c>
      <c r="I136" s="6" t="e">
        <f t="shared" si="21"/>
        <v>#VALUE!</v>
      </c>
      <c r="J136" s="6" t="e">
        <f t="shared" si="22"/>
        <v>#VALUE!</v>
      </c>
      <c r="K136" s="6" t="e">
        <f t="shared" si="23"/>
        <v>#VALUE!</v>
      </c>
      <c r="L136" t="str">
        <f t="shared" si="24"/>
        <v/>
      </c>
    </row>
    <row r="137" spans="1:12" ht="30" customHeight="1">
      <c r="A137" s="9"/>
      <c r="B137" s="5" t="str">
        <f>IF(A137="","",IF(COUNTIF(Catalogo!$A$5:$A$905,A137)=0,"SKU no encontrado",INDEX(Catalogo!$B$5:$B$905,MATCH(A137,Catalogo!$A$5:$A$905,0))))</f>
        <v/>
      </c>
      <c r="C137" t="str">
        <f>IF(OR(A137="",B137="SKU no encontrado"),"",INDEX(Catalogo!$C$5:$C$905,MATCH(A137,Catalogo!$A$5:$A$905,0)))</f>
        <v/>
      </c>
      <c r="D137" s="10"/>
      <c r="E137" s="11"/>
      <c r="F137" s="12"/>
      <c r="G137" s="6" t="str">
        <f>IF(OR(A137="",B137="SKU no encontrado"),"",IF(INDEX(Catalogo!$H$5:$H$905,MATCH(A137,Catalogo!$A$5:$A$905,0))=0,"",INDEX(Catalogo!$H$5:$H$905,MATCH(A137,Catalogo!$A$5:$A$905,0))))</f>
        <v/>
      </c>
      <c r="H137" s="13" t="e">
        <f t="shared" si="20"/>
        <v>#VALUE!</v>
      </c>
      <c r="I137" s="6" t="e">
        <f t="shared" si="21"/>
        <v>#VALUE!</v>
      </c>
      <c r="J137" s="6" t="e">
        <f t="shared" si="22"/>
        <v>#VALUE!</v>
      </c>
      <c r="K137" s="6" t="e">
        <f t="shared" si="23"/>
        <v>#VALUE!</v>
      </c>
      <c r="L137" t="str">
        <f t="shared" si="24"/>
        <v/>
      </c>
    </row>
    <row r="138" spans="1:12" ht="30" customHeight="1">
      <c r="A138" s="9"/>
      <c r="B138" s="5" t="str">
        <f>IF(A138="","",IF(COUNTIF(Catalogo!$A$5:$A$905,A138)=0,"SKU no encontrado",INDEX(Catalogo!$B$5:$B$905,MATCH(A138,Catalogo!$A$5:$A$905,0))))</f>
        <v/>
      </c>
      <c r="C138" t="str">
        <f>IF(OR(A138="",B138="SKU no encontrado"),"",INDEX(Catalogo!$C$5:$C$905,MATCH(A138,Catalogo!$A$5:$A$905,0)))</f>
        <v/>
      </c>
      <c r="D138" s="10"/>
      <c r="E138" s="11"/>
      <c r="F138" s="12"/>
      <c r="G138" s="6" t="str">
        <f>IF(OR(A138="",B138="SKU no encontrado"),"",IF(INDEX(Catalogo!$H$5:$H$905,MATCH(A138,Catalogo!$A$5:$A$905,0))=0,"",INDEX(Catalogo!$H$5:$H$905,MATCH(A138,Catalogo!$A$5:$A$905,0))))</f>
        <v/>
      </c>
      <c r="H138" s="13" t="e">
        <f t="shared" si="20"/>
        <v>#VALUE!</v>
      </c>
      <c r="I138" s="6" t="e">
        <f t="shared" si="21"/>
        <v>#VALUE!</v>
      </c>
      <c r="J138" s="6" t="e">
        <f t="shared" si="22"/>
        <v>#VALUE!</v>
      </c>
      <c r="K138" s="6" t="e">
        <f t="shared" si="23"/>
        <v>#VALUE!</v>
      </c>
      <c r="L138" t="str">
        <f t="shared" si="24"/>
        <v/>
      </c>
    </row>
    <row r="139" spans="1:12" ht="30" customHeight="1">
      <c r="A139" s="9"/>
      <c r="B139" s="5" t="str">
        <f>IF(A139="","",IF(COUNTIF(Catalogo!$A$5:$A$905,A139)=0,"SKU no encontrado",INDEX(Catalogo!$B$5:$B$905,MATCH(A139,Catalogo!$A$5:$A$905,0))))</f>
        <v/>
      </c>
      <c r="C139" t="str">
        <f>IF(OR(A139="",B139="SKU no encontrado"),"",INDEX(Catalogo!$C$5:$C$905,MATCH(A139,Catalogo!$A$5:$A$905,0)))</f>
        <v/>
      </c>
      <c r="D139" s="10"/>
      <c r="E139" s="11"/>
      <c r="F139" s="12"/>
      <c r="G139" s="6" t="str">
        <f>IF(OR(A139="",B139="SKU no encontrado"),"",IF(INDEX(Catalogo!$H$5:$H$905,MATCH(A139,Catalogo!$A$5:$A$905,0))=0,"",INDEX(Catalogo!$H$5:$H$905,MATCH(A139,Catalogo!$A$5:$A$905,0))))</f>
        <v/>
      </c>
      <c r="H139" s="13" t="e">
        <f t="shared" si="20"/>
        <v>#VALUE!</v>
      </c>
      <c r="I139" s="6" t="e">
        <f t="shared" si="21"/>
        <v>#VALUE!</v>
      </c>
      <c r="J139" s="6" t="e">
        <f t="shared" si="22"/>
        <v>#VALUE!</v>
      </c>
      <c r="K139" s="6" t="e">
        <f t="shared" si="23"/>
        <v>#VALUE!</v>
      </c>
      <c r="L139" t="str">
        <f t="shared" si="24"/>
        <v/>
      </c>
    </row>
    <row r="140" spans="1:12" ht="30" customHeight="1">
      <c r="A140" s="9"/>
      <c r="B140" s="5" t="str">
        <f>IF(A140="","",IF(COUNTIF(Catalogo!$A$5:$A$905,A140)=0,"SKU no encontrado",INDEX(Catalogo!$B$5:$B$905,MATCH(A140,Catalogo!$A$5:$A$905,0))))</f>
        <v/>
      </c>
      <c r="C140" t="str">
        <f>IF(OR(A140="",B140="SKU no encontrado"),"",INDEX(Catalogo!$C$5:$C$905,MATCH(A140,Catalogo!$A$5:$A$905,0)))</f>
        <v/>
      </c>
      <c r="D140" s="10"/>
      <c r="E140" s="11"/>
      <c r="F140" s="12"/>
      <c r="G140" s="6" t="str">
        <f>IF(OR(A140="",B140="SKU no encontrado"),"",IF(INDEX(Catalogo!$H$5:$H$905,MATCH(A140,Catalogo!$A$5:$A$905,0))=0,"",INDEX(Catalogo!$H$5:$H$905,MATCH(A140,Catalogo!$A$5:$A$905,0))))</f>
        <v/>
      </c>
      <c r="H140" s="13" t="e">
        <f t="shared" si="20"/>
        <v>#VALUE!</v>
      </c>
      <c r="I140" s="6" t="e">
        <f t="shared" si="21"/>
        <v>#VALUE!</v>
      </c>
      <c r="J140" s="6" t="e">
        <f t="shared" si="22"/>
        <v>#VALUE!</v>
      </c>
      <c r="K140" s="6" t="e">
        <f t="shared" si="23"/>
        <v>#VALUE!</v>
      </c>
      <c r="L140" t="str">
        <f t="shared" si="24"/>
        <v/>
      </c>
    </row>
    <row r="141" spans="1:12" ht="30" customHeight="1">
      <c r="A141" s="9"/>
      <c r="B141" s="5" t="str">
        <f>IF(A141="","",IF(COUNTIF(Catalogo!$A$5:$A$905,A141)=0,"SKU no encontrado",INDEX(Catalogo!$B$5:$B$905,MATCH(A141,Catalogo!$A$5:$A$905,0))))</f>
        <v/>
      </c>
      <c r="C141" t="str">
        <f>IF(OR(A141="",B141="SKU no encontrado"),"",INDEX(Catalogo!$C$5:$C$905,MATCH(A141,Catalogo!$A$5:$A$905,0)))</f>
        <v/>
      </c>
      <c r="D141" s="10"/>
      <c r="E141" s="11"/>
      <c r="F141" s="12"/>
      <c r="G141" s="6" t="str">
        <f>IF(OR(A141="",B141="SKU no encontrado"),"",IF(INDEX(Catalogo!$H$5:$H$905,MATCH(A141,Catalogo!$A$5:$A$905,0))=0,"",INDEX(Catalogo!$H$5:$H$905,MATCH(A141,Catalogo!$A$5:$A$905,0))))</f>
        <v/>
      </c>
      <c r="H141" s="13" t="e">
        <f t="shared" si="20"/>
        <v>#VALUE!</v>
      </c>
      <c r="I141" s="6" t="e">
        <f t="shared" si="21"/>
        <v>#VALUE!</v>
      </c>
      <c r="J141" s="6" t="e">
        <f t="shared" si="22"/>
        <v>#VALUE!</v>
      </c>
      <c r="K141" s="6" t="e">
        <f t="shared" si="23"/>
        <v>#VALUE!</v>
      </c>
      <c r="L141" t="str">
        <f t="shared" si="24"/>
        <v/>
      </c>
    </row>
    <row r="142" spans="1:12" ht="30" customHeight="1">
      <c r="A142" s="9"/>
      <c r="B142" s="5" t="str">
        <f>IF(A142="","",IF(COUNTIF(Catalogo!$A$5:$A$905,A142)=0,"SKU no encontrado",INDEX(Catalogo!$B$5:$B$905,MATCH(A142,Catalogo!$A$5:$A$905,0))))</f>
        <v/>
      </c>
      <c r="C142" t="str">
        <f>IF(OR(A142="",B142="SKU no encontrado"),"",INDEX(Catalogo!$C$5:$C$905,MATCH(A142,Catalogo!$A$5:$A$905,0)))</f>
        <v/>
      </c>
      <c r="D142" s="10"/>
      <c r="E142" s="11"/>
      <c r="F142" s="12"/>
      <c r="G142" s="6" t="str">
        <f>IF(OR(A142="",B142="SKU no encontrado"),"",IF(INDEX(Catalogo!$H$5:$H$905,MATCH(A142,Catalogo!$A$5:$A$905,0))=0,"",INDEX(Catalogo!$H$5:$H$905,MATCH(A142,Catalogo!$A$5:$A$905,0))))</f>
        <v/>
      </c>
      <c r="H142" s="13" t="e">
        <f t="shared" si="20"/>
        <v>#VALUE!</v>
      </c>
      <c r="I142" s="6" t="e">
        <f t="shared" si="21"/>
        <v>#VALUE!</v>
      </c>
      <c r="J142" s="6" t="e">
        <f t="shared" si="22"/>
        <v>#VALUE!</v>
      </c>
      <c r="K142" s="6" t="e">
        <f t="shared" si="23"/>
        <v>#VALUE!</v>
      </c>
      <c r="L142" t="str">
        <f t="shared" si="24"/>
        <v/>
      </c>
    </row>
    <row r="143" spans="1:12" ht="30" customHeight="1">
      <c r="A143" s="9"/>
      <c r="B143" s="5" t="str">
        <f>IF(A143="","",IF(COUNTIF(Catalogo!$A$5:$A$905,A143)=0,"SKU no encontrado",INDEX(Catalogo!$B$5:$B$905,MATCH(A143,Catalogo!$A$5:$A$905,0))))</f>
        <v/>
      </c>
      <c r="C143" t="str">
        <f>IF(OR(A143="",B143="SKU no encontrado"),"",INDEX(Catalogo!$C$5:$C$905,MATCH(A143,Catalogo!$A$5:$A$905,0)))</f>
        <v/>
      </c>
      <c r="D143" s="10"/>
      <c r="E143" s="11"/>
      <c r="F143" s="12"/>
      <c r="G143" s="6" t="str">
        <f>IF(OR(A143="",B143="SKU no encontrado"),"",IF(INDEX(Catalogo!$H$5:$H$905,MATCH(A143,Catalogo!$A$5:$A$905,0))=0,"",INDEX(Catalogo!$H$5:$H$905,MATCH(A143,Catalogo!$A$5:$A$905,0))))</f>
        <v/>
      </c>
      <c r="H143" s="13" t="e">
        <f t="shared" si="20"/>
        <v>#VALUE!</v>
      </c>
      <c r="I143" s="6" t="e">
        <f t="shared" si="21"/>
        <v>#VALUE!</v>
      </c>
      <c r="J143" s="6" t="e">
        <f t="shared" si="22"/>
        <v>#VALUE!</v>
      </c>
      <c r="K143" s="6" t="e">
        <f t="shared" si="23"/>
        <v>#VALUE!</v>
      </c>
      <c r="L143" t="str">
        <f t="shared" si="24"/>
        <v/>
      </c>
    </row>
    <row r="144" spans="1:12" ht="30" customHeight="1">
      <c r="A144" s="9"/>
      <c r="B144" s="5" t="str">
        <f>IF(A144="","",IF(COUNTIF(Catalogo!$A$5:$A$905,A144)=0,"SKU no encontrado",INDEX(Catalogo!$B$5:$B$905,MATCH(A144,Catalogo!$A$5:$A$905,0))))</f>
        <v/>
      </c>
      <c r="C144" t="str">
        <f>IF(OR(A144="",B144="SKU no encontrado"),"",INDEX(Catalogo!$C$5:$C$905,MATCH(A144,Catalogo!$A$5:$A$905,0)))</f>
        <v/>
      </c>
      <c r="D144" s="10"/>
      <c r="E144" s="11"/>
      <c r="F144" s="12"/>
      <c r="G144" s="6" t="str">
        <f>IF(OR(A144="",B144="SKU no encontrado"),"",IF(INDEX(Catalogo!$H$5:$H$905,MATCH(A144,Catalogo!$A$5:$A$905,0))=0,"",INDEX(Catalogo!$H$5:$H$905,MATCH(A144,Catalogo!$A$5:$A$905,0))))</f>
        <v/>
      </c>
      <c r="H144" s="13" t="e">
        <f t="shared" si="20"/>
        <v>#VALUE!</v>
      </c>
      <c r="I144" s="6" t="e">
        <f t="shared" si="21"/>
        <v>#VALUE!</v>
      </c>
      <c r="J144" s="6" t="e">
        <f t="shared" si="22"/>
        <v>#VALUE!</v>
      </c>
      <c r="K144" s="6" t="e">
        <f t="shared" si="23"/>
        <v>#VALUE!</v>
      </c>
      <c r="L144" t="str">
        <f t="shared" si="24"/>
        <v/>
      </c>
    </row>
    <row r="145" spans="1:12" ht="30" customHeight="1">
      <c r="A145" s="9"/>
      <c r="B145" s="5" t="str">
        <f>IF(A145="","",IF(COUNTIF(Catalogo!$A$5:$A$905,A145)=0,"SKU no encontrado",INDEX(Catalogo!$B$5:$B$905,MATCH(A145,Catalogo!$A$5:$A$905,0))))</f>
        <v/>
      </c>
      <c r="C145" t="str">
        <f>IF(OR(A145="",B145="SKU no encontrado"),"",INDEX(Catalogo!$C$5:$C$905,MATCH(A145,Catalogo!$A$5:$A$905,0)))</f>
        <v/>
      </c>
      <c r="D145" s="10"/>
      <c r="E145" s="11"/>
      <c r="F145" s="12"/>
      <c r="G145" s="6" t="str">
        <f>IF(OR(A145="",B145="SKU no encontrado"),"",IF(INDEX(Catalogo!$H$5:$H$905,MATCH(A145,Catalogo!$A$5:$A$905,0))=0,"",INDEX(Catalogo!$H$5:$H$905,MATCH(A145,Catalogo!$A$5:$A$905,0))))</f>
        <v/>
      </c>
      <c r="H145" s="13" t="e">
        <f t="shared" si="20"/>
        <v>#VALUE!</v>
      </c>
      <c r="I145" s="6" t="e">
        <f t="shared" si="21"/>
        <v>#VALUE!</v>
      </c>
      <c r="J145" s="6" t="e">
        <f t="shared" si="22"/>
        <v>#VALUE!</v>
      </c>
      <c r="K145" s="6" t="e">
        <f t="shared" si="23"/>
        <v>#VALUE!</v>
      </c>
      <c r="L145" t="str">
        <f t="shared" si="24"/>
        <v/>
      </c>
    </row>
    <row r="146" spans="1:12" ht="30" customHeight="1">
      <c r="A146" s="9"/>
      <c r="B146" s="5" t="str">
        <f>IF(A146="","",IF(COUNTIF(Catalogo!$A$5:$A$905,A146)=0,"SKU no encontrado",INDEX(Catalogo!$B$5:$B$905,MATCH(A146,Catalogo!$A$5:$A$905,0))))</f>
        <v/>
      </c>
      <c r="C146" t="str">
        <f>IF(OR(A146="",B146="SKU no encontrado"),"",INDEX(Catalogo!$C$5:$C$905,MATCH(A146,Catalogo!$A$5:$A$905,0)))</f>
        <v/>
      </c>
      <c r="D146" s="10"/>
      <c r="E146" s="11"/>
      <c r="F146" s="12"/>
      <c r="G146" s="6" t="str">
        <f>IF(OR(A146="",B146="SKU no encontrado"),"",IF(INDEX(Catalogo!$H$5:$H$905,MATCH(A146,Catalogo!$A$5:$A$905,0))=0,"",INDEX(Catalogo!$H$5:$H$905,MATCH(A146,Catalogo!$A$5:$A$905,0))))</f>
        <v/>
      </c>
      <c r="H146" s="13" t="e">
        <f t="shared" si="20"/>
        <v>#VALUE!</v>
      </c>
      <c r="I146" s="6" t="e">
        <f t="shared" si="21"/>
        <v>#VALUE!</v>
      </c>
      <c r="J146" s="6" t="e">
        <f t="shared" si="22"/>
        <v>#VALUE!</v>
      </c>
      <c r="K146" s="6" t="e">
        <f t="shared" si="23"/>
        <v>#VALUE!</v>
      </c>
      <c r="L146" t="str">
        <f t="shared" si="24"/>
        <v/>
      </c>
    </row>
    <row r="147" spans="1:12" ht="30" customHeight="1">
      <c r="A147" s="9"/>
      <c r="B147" s="5" t="str">
        <f>IF(A147="","",IF(COUNTIF(Catalogo!$A$5:$A$905,A147)=0,"SKU no encontrado",INDEX(Catalogo!$B$5:$B$905,MATCH(A147,Catalogo!$A$5:$A$905,0))))</f>
        <v/>
      </c>
      <c r="C147" t="str">
        <f>IF(OR(A147="",B147="SKU no encontrado"),"",INDEX(Catalogo!$C$5:$C$905,MATCH(A147,Catalogo!$A$5:$A$905,0)))</f>
        <v/>
      </c>
      <c r="D147" s="10"/>
      <c r="E147" s="11"/>
      <c r="F147" s="12"/>
      <c r="G147" s="6" t="str">
        <f>IF(OR(A147="",B147="SKU no encontrado"),"",IF(INDEX(Catalogo!$H$5:$H$905,MATCH(A147,Catalogo!$A$5:$A$905,0))=0,"",INDEX(Catalogo!$H$5:$H$905,MATCH(A147,Catalogo!$A$5:$A$905,0))))</f>
        <v/>
      </c>
      <c r="H147" s="13" t="e">
        <f t="shared" si="20"/>
        <v>#VALUE!</v>
      </c>
      <c r="I147" s="6" t="e">
        <f t="shared" si="21"/>
        <v>#VALUE!</v>
      </c>
      <c r="J147" s="6" t="e">
        <f t="shared" si="22"/>
        <v>#VALUE!</v>
      </c>
      <c r="K147" s="6" t="e">
        <f t="shared" si="23"/>
        <v>#VALUE!</v>
      </c>
      <c r="L147" t="str">
        <f t="shared" si="24"/>
        <v/>
      </c>
    </row>
    <row r="148" spans="1:12" ht="30" customHeight="1">
      <c r="A148" s="9"/>
      <c r="B148" s="5" t="str">
        <f>IF(A148="","",IF(COUNTIF(Catalogo!$A$5:$A$905,A148)=0,"SKU no encontrado",INDEX(Catalogo!$B$5:$B$905,MATCH(A148,Catalogo!$A$5:$A$905,0))))</f>
        <v/>
      </c>
      <c r="C148" t="str">
        <f>IF(OR(A148="",B148="SKU no encontrado"),"",INDEX(Catalogo!$C$5:$C$905,MATCH(A148,Catalogo!$A$5:$A$905,0)))</f>
        <v/>
      </c>
      <c r="D148" s="10"/>
      <c r="E148" s="11"/>
      <c r="F148" s="12"/>
      <c r="G148" s="6" t="str">
        <f>IF(OR(A148="",B148="SKU no encontrado"),"",IF(INDEX(Catalogo!$H$5:$H$905,MATCH(A148,Catalogo!$A$5:$A$905,0))=0,"",INDEX(Catalogo!$H$5:$H$905,MATCH(A148,Catalogo!$A$5:$A$905,0))))</f>
        <v/>
      </c>
      <c r="H148" s="13" t="e">
        <f t="shared" si="20"/>
        <v>#VALUE!</v>
      </c>
      <c r="I148" s="6" t="e">
        <f t="shared" si="21"/>
        <v>#VALUE!</v>
      </c>
      <c r="J148" s="6" t="e">
        <f t="shared" si="22"/>
        <v>#VALUE!</v>
      </c>
      <c r="K148" s="6" t="e">
        <f t="shared" si="23"/>
        <v>#VALUE!</v>
      </c>
      <c r="L148" t="str">
        <f t="shared" si="24"/>
        <v/>
      </c>
    </row>
    <row r="149" spans="1:12" ht="30" customHeight="1">
      <c r="A149" s="9"/>
      <c r="B149" s="5" t="str">
        <f>IF(A149="","",IF(COUNTIF(Catalogo!$A$5:$A$905,A149)=0,"SKU no encontrado",INDEX(Catalogo!$B$5:$B$905,MATCH(A149,Catalogo!$A$5:$A$905,0))))</f>
        <v/>
      </c>
      <c r="C149" t="str">
        <f>IF(OR(A149="",B149="SKU no encontrado"),"",INDEX(Catalogo!$C$5:$C$905,MATCH(A149,Catalogo!$A$5:$A$905,0)))</f>
        <v/>
      </c>
      <c r="D149" s="10"/>
      <c r="E149" s="11"/>
      <c r="F149" s="12"/>
      <c r="G149" s="6" t="str">
        <f>IF(OR(A149="",B149="SKU no encontrado"),"",IF(INDEX(Catalogo!$H$5:$H$905,MATCH(A149,Catalogo!$A$5:$A$905,0))=0,"",INDEX(Catalogo!$H$5:$H$905,MATCH(A149,Catalogo!$A$5:$A$905,0))))</f>
        <v/>
      </c>
      <c r="H149" s="13" t="e">
        <f t="shared" si="20"/>
        <v>#VALUE!</v>
      </c>
      <c r="I149" s="6" t="e">
        <f t="shared" si="21"/>
        <v>#VALUE!</v>
      </c>
      <c r="J149" s="6" t="e">
        <f t="shared" si="22"/>
        <v>#VALUE!</v>
      </c>
      <c r="K149" s="6" t="e">
        <f t="shared" si="23"/>
        <v>#VALUE!</v>
      </c>
      <c r="L149" t="str">
        <f t="shared" si="24"/>
        <v/>
      </c>
    </row>
    <row r="150" spans="1:12" ht="30" customHeight="1">
      <c r="A150" s="9"/>
      <c r="B150" s="5" t="str">
        <f>IF(A150="","",IF(COUNTIF(Catalogo!$A$5:$A$905,A150)=0,"SKU no encontrado",INDEX(Catalogo!$B$5:$B$905,MATCH(A150,Catalogo!$A$5:$A$905,0))))</f>
        <v/>
      </c>
      <c r="C150" t="str">
        <f>IF(OR(A150="",B150="SKU no encontrado"),"",INDEX(Catalogo!$C$5:$C$905,MATCH(A150,Catalogo!$A$5:$A$905,0)))</f>
        <v/>
      </c>
      <c r="D150" s="10"/>
      <c r="E150" s="11"/>
      <c r="F150" s="12"/>
      <c r="G150" s="6" t="str">
        <f>IF(OR(A150="",B150="SKU no encontrado"),"",IF(INDEX(Catalogo!$H$5:$H$905,MATCH(A150,Catalogo!$A$5:$A$905,0))=0,"",INDEX(Catalogo!$H$5:$H$905,MATCH(A150,Catalogo!$A$5:$A$905,0))))</f>
        <v/>
      </c>
      <c r="H150" s="13" t="e">
        <f t="shared" si="20"/>
        <v>#VALUE!</v>
      </c>
      <c r="I150" s="6" t="e">
        <f t="shared" si="21"/>
        <v>#VALUE!</v>
      </c>
      <c r="J150" s="6" t="e">
        <f t="shared" si="22"/>
        <v>#VALUE!</v>
      </c>
      <c r="K150" s="6" t="e">
        <f t="shared" si="23"/>
        <v>#VALUE!</v>
      </c>
      <c r="L150" t="str">
        <f t="shared" si="24"/>
        <v/>
      </c>
    </row>
    <row r="151" spans="1:12" ht="30" customHeight="1">
      <c r="A151" s="9"/>
      <c r="B151" s="5" t="str">
        <f>IF(A151="","",IF(COUNTIF(Catalogo!$A$5:$A$905,A151)=0,"SKU no encontrado",INDEX(Catalogo!$B$5:$B$905,MATCH(A151,Catalogo!$A$5:$A$905,0))))</f>
        <v/>
      </c>
      <c r="C151" t="str">
        <f>IF(OR(A151="",B151="SKU no encontrado"),"",INDEX(Catalogo!$C$5:$C$905,MATCH(A151,Catalogo!$A$5:$A$905,0)))</f>
        <v/>
      </c>
      <c r="D151" s="10"/>
      <c r="E151" s="11"/>
      <c r="F151" s="12"/>
      <c r="G151" s="6" t="str">
        <f>IF(OR(A151="",B151="SKU no encontrado"),"",IF(INDEX(Catalogo!$H$5:$H$905,MATCH(A151,Catalogo!$A$5:$A$905,0))=0,"",INDEX(Catalogo!$H$5:$H$905,MATCH(A151,Catalogo!$A$5:$A$905,0))))</f>
        <v/>
      </c>
      <c r="H151" s="13" t="e">
        <f t="shared" si="20"/>
        <v>#VALUE!</v>
      </c>
      <c r="I151" s="6" t="e">
        <f t="shared" si="21"/>
        <v>#VALUE!</v>
      </c>
      <c r="J151" s="6" t="e">
        <f t="shared" si="22"/>
        <v>#VALUE!</v>
      </c>
      <c r="K151" s="6" t="e">
        <f t="shared" si="23"/>
        <v>#VALUE!</v>
      </c>
      <c r="L151" t="str">
        <f t="shared" si="24"/>
        <v/>
      </c>
    </row>
    <row r="152" spans="1:12" ht="30" customHeight="1">
      <c r="A152" s="9"/>
      <c r="B152" s="5" t="str">
        <f>IF(A152="","",IF(COUNTIF(Catalogo!$A$5:$A$905,A152)=0,"SKU no encontrado",INDEX(Catalogo!$B$5:$B$905,MATCH(A152,Catalogo!$A$5:$A$905,0))))</f>
        <v/>
      </c>
      <c r="C152" t="str">
        <f>IF(OR(A152="",B152="SKU no encontrado"),"",INDEX(Catalogo!$C$5:$C$905,MATCH(A152,Catalogo!$A$5:$A$905,0)))</f>
        <v/>
      </c>
      <c r="D152" s="10"/>
      <c r="E152" s="11"/>
      <c r="F152" s="12"/>
      <c r="G152" s="6" t="str">
        <f>IF(OR(A152="",B152="SKU no encontrado"),"",IF(INDEX(Catalogo!$H$5:$H$905,MATCH(A152,Catalogo!$A$5:$A$905,0))=0,"",INDEX(Catalogo!$H$5:$H$905,MATCH(A152,Catalogo!$A$5:$A$905,0))))</f>
        <v/>
      </c>
      <c r="H152" s="13" t="e">
        <f t="shared" si="20"/>
        <v>#VALUE!</v>
      </c>
      <c r="I152" s="6" t="e">
        <f t="shared" si="21"/>
        <v>#VALUE!</v>
      </c>
      <c r="J152" s="6" t="e">
        <f t="shared" si="22"/>
        <v>#VALUE!</v>
      </c>
      <c r="K152" s="6" t="e">
        <f t="shared" si="23"/>
        <v>#VALUE!</v>
      </c>
      <c r="L152" t="str">
        <f t="shared" si="24"/>
        <v/>
      </c>
    </row>
    <row r="153" spans="1:12" ht="30" customHeight="1">
      <c r="A153" s="9"/>
      <c r="B153" s="5" t="str">
        <f>IF(A153="","",IF(COUNTIF(Catalogo!$A$5:$A$905,A153)=0,"SKU no encontrado",INDEX(Catalogo!$B$5:$B$905,MATCH(A153,Catalogo!$A$5:$A$905,0))))</f>
        <v/>
      </c>
      <c r="C153" t="str">
        <f>IF(OR(A153="",B153="SKU no encontrado"),"",INDEX(Catalogo!$C$5:$C$905,MATCH(A153,Catalogo!$A$5:$A$905,0)))</f>
        <v/>
      </c>
      <c r="D153" s="10"/>
      <c r="E153" s="11"/>
      <c r="F153" s="12"/>
      <c r="G153" s="6" t="str">
        <f>IF(OR(A153="",B153="SKU no encontrado"),"",IF(INDEX(Catalogo!$H$5:$H$905,MATCH(A153,Catalogo!$A$5:$A$905,0))=0,"",INDEX(Catalogo!$H$5:$H$905,MATCH(A153,Catalogo!$A$5:$A$905,0))))</f>
        <v/>
      </c>
      <c r="H153" s="13" t="e">
        <f t="shared" si="20"/>
        <v>#VALUE!</v>
      </c>
      <c r="I153" s="6" t="e">
        <f t="shared" si="21"/>
        <v>#VALUE!</v>
      </c>
      <c r="J153" s="6" t="e">
        <f t="shared" si="22"/>
        <v>#VALUE!</v>
      </c>
      <c r="K153" s="6" t="e">
        <f t="shared" si="23"/>
        <v>#VALUE!</v>
      </c>
      <c r="L153" t="str">
        <f t="shared" si="24"/>
        <v/>
      </c>
    </row>
    <row r="154" spans="1:12" ht="30" customHeight="1">
      <c r="A154" s="9"/>
      <c r="B154" s="5" t="str">
        <f>IF(A154="","",IF(COUNTIF(Catalogo!$A$5:$A$905,A154)=0,"SKU no encontrado",INDEX(Catalogo!$B$5:$B$905,MATCH(A154,Catalogo!$A$5:$A$905,0))))</f>
        <v/>
      </c>
      <c r="C154" t="str">
        <f>IF(OR(A154="",B154="SKU no encontrado"),"",INDEX(Catalogo!$C$5:$C$905,MATCH(A154,Catalogo!$A$5:$A$905,0)))</f>
        <v/>
      </c>
      <c r="D154" s="10"/>
      <c r="E154" s="11"/>
      <c r="F154" s="12"/>
      <c r="G154" s="6" t="str">
        <f>IF(OR(A154="",B154="SKU no encontrado"),"",IF(INDEX(Catalogo!$H$5:$H$905,MATCH(A154,Catalogo!$A$5:$A$905,0))=0,"",INDEX(Catalogo!$H$5:$H$905,MATCH(A154,Catalogo!$A$5:$A$905,0))))</f>
        <v/>
      </c>
      <c r="H154" s="13" t="e">
        <f t="shared" si="20"/>
        <v>#VALUE!</v>
      </c>
      <c r="I154" s="6" t="e">
        <f t="shared" si="21"/>
        <v>#VALUE!</v>
      </c>
      <c r="J154" s="6" t="e">
        <f t="shared" si="22"/>
        <v>#VALUE!</v>
      </c>
      <c r="K154" s="6" t="e">
        <f t="shared" si="23"/>
        <v>#VALUE!</v>
      </c>
      <c r="L154" t="str">
        <f t="shared" si="24"/>
        <v/>
      </c>
    </row>
    <row r="155" spans="1:12" ht="30" customHeight="1">
      <c r="A155" s="9"/>
      <c r="B155" s="5" t="str">
        <f>IF(A155="","",IF(COUNTIF(Catalogo!$A$5:$A$905,A155)=0,"SKU no encontrado",INDEX(Catalogo!$B$5:$B$905,MATCH(A155,Catalogo!$A$5:$A$905,0))))</f>
        <v/>
      </c>
      <c r="C155" t="str">
        <f>IF(OR(A155="",B155="SKU no encontrado"),"",INDEX(Catalogo!$C$5:$C$905,MATCH(A155,Catalogo!$A$5:$A$905,0)))</f>
        <v/>
      </c>
      <c r="D155" s="10"/>
      <c r="E155" s="11"/>
      <c r="F155" s="12"/>
      <c r="G155" s="6" t="str">
        <f>IF(OR(A155="",B155="SKU no encontrado"),"",IF(INDEX(Catalogo!$H$5:$H$905,MATCH(A155,Catalogo!$A$5:$A$905,0))=0,"",INDEX(Catalogo!$H$5:$H$905,MATCH(A155,Catalogo!$A$5:$A$905,0))))</f>
        <v/>
      </c>
      <c r="H155" s="13" t="e">
        <f t="shared" si="20"/>
        <v>#VALUE!</v>
      </c>
      <c r="I155" s="6" t="e">
        <f t="shared" si="21"/>
        <v>#VALUE!</v>
      </c>
      <c r="J155" s="6" t="e">
        <f t="shared" si="22"/>
        <v>#VALUE!</v>
      </c>
      <c r="K155" s="6" t="e">
        <f t="shared" si="23"/>
        <v>#VALUE!</v>
      </c>
      <c r="L155" t="str">
        <f t="shared" si="24"/>
        <v/>
      </c>
    </row>
    <row r="156" spans="1:12" ht="30" customHeight="1">
      <c r="A156" s="9"/>
      <c r="B156" s="5" t="str">
        <f>IF(A156="","",IF(COUNTIF(Catalogo!$A$5:$A$905,A156)=0,"SKU no encontrado",INDEX(Catalogo!$B$5:$B$905,MATCH(A156,Catalogo!$A$5:$A$905,0))))</f>
        <v/>
      </c>
      <c r="C156" t="str">
        <f>IF(OR(A156="",B156="SKU no encontrado"),"",INDEX(Catalogo!$C$5:$C$905,MATCH(A156,Catalogo!$A$5:$A$905,0)))</f>
        <v/>
      </c>
      <c r="D156" s="10"/>
      <c r="E156" s="11"/>
      <c r="F156" s="12"/>
      <c r="G156" s="6" t="str">
        <f>IF(OR(A156="",B156="SKU no encontrado"),"",IF(INDEX(Catalogo!$H$5:$H$905,MATCH(A156,Catalogo!$A$5:$A$905,0))=0,"",INDEX(Catalogo!$H$5:$H$905,MATCH(A156,Catalogo!$A$5:$A$905,0))))</f>
        <v/>
      </c>
      <c r="H156" s="13" t="e">
        <f t="shared" si="20"/>
        <v>#VALUE!</v>
      </c>
      <c r="I156" s="6" t="e">
        <f t="shared" si="21"/>
        <v>#VALUE!</v>
      </c>
      <c r="J156" s="6" t="e">
        <f t="shared" si="22"/>
        <v>#VALUE!</v>
      </c>
      <c r="K156" s="6" t="e">
        <f t="shared" si="23"/>
        <v>#VALUE!</v>
      </c>
      <c r="L156" t="str">
        <f t="shared" si="24"/>
        <v/>
      </c>
    </row>
    <row r="157" spans="1:12" ht="30" customHeight="1">
      <c r="A157" s="9"/>
      <c r="B157" s="5" t="str">
        <f>IF(A157="","",IF(COUNTIF(Catalogo!$A$5:$A$905,A157)=0,"SKU no encontrado",INDEX(Catalogo!$B$5:$B$905,MATCH(A157,Catalogo!$A$5:$A$905,0))))</f>
        <v/>
      </c>
      <c r="C157" t="str">
        <f>IF(OR(A157="",B157="SKU no encontrado"),"",INDEX(Catalogo!$C$5:$C$905,MATCH(A157,Catalogo!$A$5:$A$905,0)))</f>
        <v/>
      </c>
      <c r="D157" s="10"/>
      <c r="E157" s="11"/>
      <c r="F157" s="12"/>
      <c r="G157" s="6" t="str">
        <f>IF(OR(A157="",B157="SKU no encontrado"),"",IF(INDEX(Catalogo!$H$5:$H$905,MATCH(A157,Catalogo!$A$5:$A$905,0))=0,"",INDEX(Catalogo!$H$5:$H$905,MATCH(A157,Catalogo!$A$5:$A$905,0))))</f>
        <v/>
      </c>
      <c r="H157" s="13" t="e">
        <f t="shared" si="20"/>
        <v>#VALUE!</v>
      </c>
      <c r="I157" s="6" t="e">
        <f t="shared" si="21"/>
        <v>#VALUE!</v>
      </c>
      <c r="J157" s="6" t="e">
        <f t="shared" si="22"/>
        <v>#VALUE!</v>
      </c>
      <c r="K157" s="6" t="e">
        <f t="shared" si="23"/>
        <v>#VALUE!</v>
      </c>
      <c r="L157" t="str">
        <f t="shared" si="24"/>
        <v/>
      </c>
    </row>
    <row r="158" spans="1:12" ht="30" customHeight="1">
      <c r="A158" s="9"/>
      <c r="B158" s="5" t="str">
        <f>IF(A158="","",IF(COUNTIF(Catalogo!$A$5:$A$905,A158)=0,"SKU no encontrado",INDEX(Catalogo!$B$5:$B$905,MATCH(A158,Catalogo!$A$5:$A$905,0))))</f>
        <v/>
      </c>
      <c r="C158" t="str">
        <f>IF(OR(A158="",B158="SKU no encontrado"),"",INDEX(Catalogo!$C$5:$C$905,MATCH(A158,Catalogo!$A$5:$A$905,0)))</f>
        <v/>
      </c>
      <c r="D158" s="10"/>
      <c r="E158" s="11"/>
      <c r="F158" s="12"/>
      <c r="G158" s="6" t="str">
        <f>IF(OR(A158="",B158="SKU no encontrado"),"",IF(INDEX(Catalogo!$H$5:$H$905,MATCH(A158,Catalogo!$A$5:$A$905,0))=0,"",INDEX(Catalogo!$H$5:$H$905,MATCH(A158,Catalogo!$A$5:$A$905,0))))</f>
        <v/>
      </c>
      <c r="H158" s="13" t="e">
        <f t="shared" si="20"/>
        <v>#VALUE!</v>
      </c>
      <c r="I158" s="6" t="e">
        <f t="shared" si="21"/>
        <v>#VALUE!</v>
      </c>
      <c r="J158" s="6" t="e">
        <f t="shared" si="22"/>
        <v>#VALUE!</v>
      </c>
      <c r="K158" s="6" t="e">
        <f t="shared" si="23"/>
        <v>#VALUE!</v>
      </c>
      <c r="L158" t="str">
        <f t="shared" si="24"/>
        <v/>
      </c>
    </row>
    <row r="159" spans="1:12" ht="30" customHeight="1">
      <c r="A159" s="9"/>
      <c r="B159" s="5" t="str">
        <f>IF(A159="","",IF(COUNTIF(Catalogo!$A$5:$A$905,A159)=0,"SKU no encontrado",INDEX(Catalogo!$B$5:$B$905,MATCH(A159,Catalogo!$A$5:$A$905,0))))</f>
        <v/>
      </c>
      <c r="C159" t="str">
        <f>IF(OR(A159="",B159="SKU no encontrado"),"",INDEX(Catalogo!$C$5:$C$905,MATCH(A159,Catalogo!$A$5:$A$905,0)))</f>
        <v/>
      </c>
      <c r="D159" s="10"/>
      <c r="E159" s="11"/>
      <c r="F159" s="12"/>
      <c r="G159" s="6" t="str">
        <f>IF(OR(A159="",B159="SKU no encontrado"),"",IF(INDEX(Catalogo!$H$5:$H$905,MATCH(A159,Catalogo!$A$5:$A$905,0))=0,"",INDEX(Catalogo!$H$5:$H$905,MATCH(A159,Catalogo!$A$5:$A$905,0))))</f>
        <v/>
      </c>
      <c r="H159" s="13" t="e">
        <f t="shared" si="20"/>
        <v>#VALUE!</v>
      </c>
      <c r="I159" s="6" t="e">
        <f t="shared" si="21"/>
        <v>#VALUE!</v>
      </c>
      <c r="J159" s="6" t="e">
        <f t="shared" si="22"/>
        <v>#VALUE!</v>
      </c>
      <c r="K159" s="6" t="e">
        <f t="shared" si="23"/>
        <v>#VALUE!</v>
      </c>
      <c r="L159" t="str">
        <f t="shared" si="24"/>
        <v/>
      </c>
    </row>
    <row r="160" spans="1:12" ht="30" customHeight="1">
      <c r="A160" s="9"/>
      <c r="B160" s="5" t="str">
        <f>IF(A160="","",IF(COUNTIF(Catalogo!$A$5:$A$905,A160)=0,"SKU no encontrado",INDEX(Catalogo!$B$5:$B$905,MATCH(A160,Catalogo!$A$5:$A$905,0))))</f>
        <v/>
      </c>
      <c r="C160" t="str">
        <f>IF(OR(A160="",B160="SKU no encontrado"),"",INDEX(Catalogo!$C$5:$C$905,MATCH(A160,Catalogo!$A$5:$A$905,0)))</f>
        <v/>
      </c>
      <c r="D160" s="10"/>
      <c r="E160" s="11"/>
      <c r="F160" s="12"/>
      <c r="G160" s="6" t="str">
        <f>IF(OR(A160="",B160="SKU no encontrado"),"",IF(INDEX(Catalogo!$H$5:$H$905,MATCH(A160,Catalogo!$A$5:$A$905,0))=0,"",INDEX(Catalogo!$H$5:$H$905,MATCH(A160,Catalogo!$A$5:$A$905,0))))</f>
        <v/>
      </c>
      <c r="H160" s="13" t="e">
        <f t="shared" si="20"/>
        <v>#VALUE!</v>
      </c>
      <c r="I160" s="6" t="e">
        <f t="shared" si="21"/>
        <v>#VALUE!</v>
      </c>
      <c r="J160" s="6" t="e">
        <f t="shared" si="22"/>
        <v>#VALUE!</v>
      </c>
      <c r="K160" s="6" t="e">
        <f t="shared" si="23"/>
        <v>#VALUE!</v>
      </c>
      <c r="L160" t="str">
        <f t="shared" si="24"/>
        <v/>
      </c>
    </row>
    <row r="161" spans="1:12" ht="30" customHeight="1">
      <c r="A161" s="9"/>
      <c r="B161" s="5" t="str">
        <f>IF(A161="","",IF(COUNTIF(Catalogo!$A$5:$A$905,A161)=0,"SKU no encontrado",INDEX(Catalogo!$B$5:$B$905,MATCH(A161,Catalogo!$A$5:$A$905,0))))</f>
        <v/>
      </c>
      <c r="C161" t="str">
        <f>IF(OR(A161="",B161="SKU no encontrado"),"",INDEX(Catalogo!$C$5:$C$905,MATCH(A161,Catalogo!$A$5:$A$905,0)))</f>
        <v/>
      </c>
      <c r="D161" s="10"/>
      <c r="E161" s="11"/>
      <c r="F161" s="12"/>
      <c r="G161" s="6" t="str">
        <f>IF(OR(A161="",B161="SKU no encontrado"),"",IF(INDEX(Catalogo!$H$5:$H$905,MATCH(A161,Catalogo!$A$5:$A$905,0))=0,"",INDEX(Catalogo!$H$5:$H$905,MATCH(A161,Catalogo!$A$5:$A$905,0))))</f>
        <v/>
      </c>
      <c r="H161" s="13" t="e">
        <f t="shared" si="20"/>
        <v>#VALUE!</v>
      </c>
      <c r="I161" s="6" t="e">
        <f t="shared" si="21"/>
        <v>#VALUE!</v>
      </c>
      <c r="J161" s="6" t="e">
        <f t="shared" si="22"/>
        <v>#VALUE!</v>
      </c>
      <c r="K161" s="6" t="e">
        <f t="shared" si="23"/>
        <v>#VALUE!</v>
      </c>
      <c r="L161" t="str">
        <f t="shared" si="24"/>
        <v/>
      </c>
    </row>
    <row r="162" spans="1:12" ht="30" customHeight="1">
      <c r="A162" s="9"/>
      <c r="B162" s="5" t="str">
        <f>IF(A162="","",IF(COUNTIF(Catalogo!$A$5:$A$905,A162)=0,"SKU no encontrado",INDEX(Catalogo!$B$5:$B$905,MATCH(A162,Catalogo!$A$5:$A$905,0))))</f>
        <v/>
      </c>
      <c r="C162" t="str">
        <f>IF(OR(A162="",B162="SKU no encontrado"),"",INDEX(Catalogo!$C$5:$C$905,MATCH(A162,Catalogo!$A$5:$A$905,0)))</f>
        <v/>
      </c>
      <c r="D162" s="10"/>
      <c r="E162" s="11"/>
      <c r="F162" s="12"/>
      <c r="G162" s="6" t="str">
        <f>IF(OR(A162="",B162="SKU no encontrado"),"",IF(INDEX(Catalogo!$H$5:$H$905,MATCH(A162,Catalogo!$A$5:$A$905,0))=0,"",INDEX(Catalogo!$H$5:$H$905,MATCH(A162,Catalogo!$A$5:$A$905,0))))</f>
        <v/>
      </c>
      <c r="H162" s="13" t="e">
        <f t="shared" si="20"/>
        <v>#VALUE!</v>
      </c>
      <c r="I162" s="6" t="e">
        <f t="shared" si="21"/>
        <v>#VALUE!</v>
      </c>
      <c r="J162" s="6" t="e">
        <f t="shared" si="22"/>
        <v>#VALUE!</v>
      </c>
      <c r="K162" s="6" t="e">
        <f t="shared" si="23"/>
        <v>#VALUE!</v>
      </c>
      <c r="L162" t="str">
        <f t="shared" si="24"/>
        <v/>
      </c>
    </row>
    <row r="163" spans="1:12" ht="30" customHeight="1">
      <c r="A163" s="9"/>
      <c r="B163" s="5" t="str">
        <f>IF(A163="","",IF(COUNTIF(Catalogo!$A$5:$A$905,A163)=0,"SKU no encontrado",INDEX(Catalogo!$B$5:$B$905,MATCH(A163,Catalogo!$A$5:$A$905,0))))</f>
        <v/>
      </c>
      <c r="C163" t="str">
        <f>IF(OR(A163="",B163="SKU no encontrado"),"",INDEX(Catalogo!$C$5:$C$905,MATCH(A163,Catalogo!$A$5:$A$905,0)))</f>
        <v/>
      </c>
      <c r="D163" s="10"/>
      <c r="E163" s="11"/>
      <c r="F163" s="12"/>
      <c r="G163" s="6" t="str">
        <f>IF(OR(A163="",B163="SKU no encontrado"),"",IF(INDEX(Catalogo!$H$5:$H$905,MATCH(A163,Catalogo!$A$5:$A$905,0))=0,"",INDEX(Catalogo!$H$5:$H$905,MATCH(A163,Catalogo!$A$5:$A$905,0))))</f>
        <v/>
      </c>
      <c r="H163" s="13" t="e">
        <f t="shared" si="20"/>
        <v>#VALUE!</v>
      </c>
      <c r="I163" s="6" t="e">
        <f t="shared" si="21"/>
        <v>#VALUE!</v>
      </c>
      <c r="J163" s="6" t="e">
        <f t="shared" si="22"/>
        <v>#VALUE!</v>
      </c>
      <c r="K163" s="6" t="e">
        <f t="shared" si="23"/>
        <v>#VALUE!</v>
      </c>
      <c r="L163" t="str">
        <f t="shared" si="24"/>
        <v/>
      </c>
    </row>
    <row r="164" spans="1:12" ht="30" customHeight="1">
      <c r="A164" s="9"/>
      <c r="B164" s="5" t="str">
        <f>IF(A164="","",IF(COUNTIF(Catalogo!$A$5:$A$905,A164)=0,"SKU no encontrado",INDEX(Catalogo!$B$5:$B$905,MATCH(A164,Catalogo!$A$5:$A$905,0))))</f>
        <v/>
      </c>
      <c r="C164" t="str">
        <f>IF(OR(A164="",B164="SKU no encontrado"),"",INDEX(Catalogo!$C$5:$C$905,MATCH(A164,Catalogo!$A$5:$A$905,0)))</f>
        <v/>
      </c>
      <c r="D164" s="10"/>
      <c r="E164" s="11"/>
      <c r="F164" s="12"/>
      <c r="G164" s="6" t="str">
        <f>IF(OR(A164="",B164="SKU no encontrado"),"",IF(INDEX(Catalogo!$H$5:$H$905,MATCH(A164,Catalogo!$A$5:$A$905,0))=0,"",INDEX(Catalogo!$H$5:$H$905,MATCH(A164,Catalogo!$A$5:$A$905,0))))</f>
        <v/>
      </c>
      <c r="H164" s="13" t="e">
        <f t="shared" si="20"/>
        <v>#VALUE!</v>
      </c>
      <c r="I164" s="6" t="e">
        <f t="shared" si="21"/>
        <v>#VALUE!</v>
      </c>
      <c r="J164" s="6" t="e">
        <f t="shared" si="22"/>
        <v>#VALUE!</v>
      </c>
      <c r="K164" s="6" t="e">
        <f t="shared" si="23"/>
        <v>#VALUE!</v>
      </c>
      <c r="L164" t="str">
        <f t="shared" si="24"/>
        <v/>
      </c>
    </row>
    <row r="165" spans="1:12" ht="30" customHeight="1">
      <c r="A165" s="9"/>
      <c r="B165" s="5" t="str">
        <f>IF(A165="","",IF(COUNTIF(Catalogo!$A$5:$A$905,A165)=0,"SKU no encontrado",INDEX(Catalogo!$B$5:$B$905,MATCH(A165,Catalogo!$A$5:$A$905,0))))</f>
        <v/>
      </c>
      <c r="C165" t="str">
        <f>IF(OR(A165="",B165="SKU no encontrado"),"",INDEX(Catalogo!$C$5:$C$905,MATCH(A165,Catalogo!$A$5:$A$905,0)))</f>
        <v/>
      </c>
      <c r="D165" s="10"/>
      <c r="E165" s="11"/>
      <c r="F165" s="12"/>
      <c r="G165" s="6" t="str">
        <f>IF(OR(A165="",B165="SKU no encontrado"),"",IF(INDEX(Catalogo!$H$5:$H$905,MATCH(A165,Catalogo!$A$5:$A$905,0))=0,"",INDEX(Catalogo!$H$5:$H$905,MATCH(A165,Catalogo!$A$5:$A$905,0))))</f>
        <v/>
      </c>
      <c r="H165" s="13" t="e">
        <f t="shared" ref="H165:H196" si="25">IF(OR(G165="",F165="",F165&lt;0,C165&lt;=0,F165*C165&gt;G165),"",1-F165*C165/G165)</f>
        <v>#VALUE!</v>
      </c>
      <c r="I165" s="6" t="e">
        <f t="shared" ref="I165:I196" si="26">IF(H165="","",G165-F165*C165)</f>
        <v>#VALUE!</v>
      </c>
      <c r="J165" s="6" t="e">
        <f t="shared" ref="J165:J196" si="27">IF(OR(I165="",E165="",E165&lt;=0),"",I165*E165)</f>
        <v>#VALUE!</v>
      </c>
      <c r="K165" s="6" t="e">
        <f t="shared" ref="K165:K196" si="28">IF(OR(H165="",C165&lt;=0),"",F165*C165)</f>
        <v>#VALUE!</v>
      </c>
      <c r="L165" t="str">
        <f t="shared" ref="L165:L196" si="29">IF(A165="","",IF(B165="SKU no encontrado",B165,IF(G165="","Sin precio válido",IF(F165="","Completar precio deseado",IF(OR(F165&lt;0,C165&lt;=0,F165*C165&gt;G165),"Revisar precio deseado",IF(OR(E165="",E165&lt;=0),"Completar bultos","Estimado proporcional"))))))</f>
        <v/>
      </c>
    </row>
    <row r="166" spans="1:12" ht="30" customHeight="1">
      <c r="A166" s="9"/>
      <c r="B166" s="5" t="str">
        <f>IF(A166="","",IF(COUNTIF(Catalogo!$A$5:$A$905,A166)=0,"SKU no encontrado",INDEX(Catalogo!$B$5:$B$905,MATCH(A166,Catalogo!$A$5:$A$905,0))))</f>
        <v/>
      </c>
      <c r="C166" t="str">
        <f>IF(OR(A166="",B166="SKU no encontrado"),"",INDEX(Catalogo!$C$5:$C$905,MATCH(A166,Catalogo!$A$5:$A$905,0)))</f>
        <v/>
      </c>
      <c r="D166" s="10"/>
      <c r="E166" s="11"/>
      <c r="F166" s="12"/>
      <c r="G166" s="6" t="str">
        <f>IF(OR(A166="",B166="SKU no encontrado"),"",IF(INDEX(Catalogo!$H$5:$H$905,MATCH(A166,Catalogo!$A$5:$A$905,0))=0,"",INDEX(Catalogo!$H$5:$H$905,MATCH(A166,Catalogo!$A$5:$A$905,0))))</f>
        <v/>
      </c>
      <c r="H166" s="13" t="e">
        <f t="shared" si="25"/>
        <v>#VALUE!</v>
      </c>
      <c r="I166" s="6" t="e">
        <f t="shared" si="26"/>
        <v>#VALUE!</v>
      </c>
      <c r="J166" s="6" t="e">
        <f t="shared" si="27"/>
        <v>#VALUE!</v>
      </c>
      <c r="K166" s="6" t="e">
        <f t="shared" si="28"/>
        <v>#VALUE!</v>
      </c>
      <c r="L166" t="str">
        <f t="shared" si="29"/>
        <v/>
      </c>
    </row>
    <row r="167" spans="1:12" ht="30" customHeight="1">
      <c r="A167" s="9"/>
      <c r="B167" s="5" t="str">
        <f>IF(A167="","",IF(COUNTIF(Catalogo!$A$5:$A$905,A167)=0,"SKU no encontrado",INDEX(Catalogo!$B$5:$B$905,MATCH(A167,Catalogo!$A$5:$A$905,0))))</f>
        <v/>
      </c>
      <c r="C167" t="str">
        <f>IF(OR(A167="",B167="SKU no encontrado"),"",INDEX(Catalogo!$C$5:$C$905,MATCH(A167,Catalogo!$A$5:$A$905,0)))</f>
        <v/>
      </c>
      <c r="D167" s="10"/>
      <c r="E167" s="11"/>
      <c r="F167" s="12"/>
      <c r="G167" s="6" t="str">
        <f>IF(OR(A167="",B167="SKU no encontrado"),"",IF(INDEX(Catalogo!$H$5:$H$905,MATCH(A167,Catalogo!$A$5:$A$905,0))=0,"",INDEX(Catalogo!$H$5:$H$905,MATCH(A167,Catalogo!$A$5:$A$905,0))))</f>
        <v/>
      </c>
      <c r="H167" s="13" t="e">
        <f t="shared" si="25"/>
        <v>#VALUE!</v>
      </c>
      <c r="I167" s="6" t="e">
        <f t="shared" si="26"/>
        <v>#VALUE!</v>
      </c>
      <c r="J167" s="6" t="e">
        <f t="shared" si="27"/>
        <v>#VALUE!</v>
      </c>
      <c r="K167" s="6" t="e">
        <f t="shared" si="28"/>
        <v>#VALUE!</v>
      </c>
      <c r="L167" t="str">
        <f t="shared" si="29"/>
        <v/>
      </c>
    </row>
    <row r="168" spans="1:12" ht="30" customHeight="1">
      <c r="A168" s="9"/>
      <c r="B168" s="5" t="str">
        <f>IF(A168="","",IF(COUNTIF(Catalogo!$A$5:$A$905,A168)=0,"SKU no encontrado",INDEX(Catalogo!$B$5:$B$905,MATCH(A168,Catalogo!$A$5:$A$905,0))))</f>
        <v/>
      </c>
      <c r="C168" t="str">
        <f>IF(OR(A168="",B168="SKU no encontrado"),"",INDEX(Catalogo!$C$5:$C$905,MATCH(A168,Catalogo!$A$5:$A$905,0)))</f>
        <v/>
      </c>
      <c r="D168" s="10"/>
      <c r="E168" s="11"/>
      <c r="F168" s="12"/>
      <c r="G168" s="6" t="str">
        <f>IF(OR(A168="",B168="SKU no encontrado"),"",IF(INDEX(Catalogo!$H$5:$H$905,MATCH(A168,Catalogo!$A$5:$A$905,0))=0,"",INDEX(Catalogo!$H$5:$H$905,MATCH(A168,Catalogo!$A$5:$A$905,0))))</f>
        <v/>
      </c>
      <c r="H168" s="13" t="e">
        <f t="shared" si="25"/>
        <v>#VALUE!</v>
      </c>
      <c r="I168" s="6" t="e">
        <f t="shared" si="26"/>
        <v>#VALUE!</v>
      </c>
      <c r="J168" s="6" t="e">
        <f t="shared" si="27"/>
        <v>#VALUE!</v>
      </c>
      <c r="K168" s="6" t="e">
        <f t="shared" si="28"/>
        <v>#VALUE!</v>
      </c>
      <c r="L168" t="str">
        <f t="shared" si="29"/>
        <v/>
      </c>
    </row>
    <row r="169" spans="1:12" ht="30" customHeight="1">
      <c r="A169" s="9"/>
      <c r="B169" s="5" t="str">
        <f>IF(A169="","",IF(COUNTIF(Catalogo!$A$5:$A$905,A169)=0,"SKU no encontrado",INDEX(Catalogo!$B$5:$B$905,MATCH(A169,Catalogo!$A$5:$A$905,0))))</f>
        <v/>
      </c>
      <c r="C169" t="str">
        <f>IF(OR(A169="",B169="SKU no encontrado"),"",INDEX(Catalogo!$C$5:$C$905,MATCH(A169,Catalogo!$A$5:$A$905,0)))</f>
        <v/>
      </c>
      <c r="D169" s="10"/>
      <c r="E169" s="11"/>
      <c r="F169" s="12"/>
      <c r="G169" s="6" t="str">
        <f>IF(OR(A169="",B169="SKU no encontrado"),"",IF(INDEX(Catalogo!$H$5:$H$905,MATCH(A169,Catalogo!$A$5:$A$905,0))=0,"",INDEX(Catalogo!$H$5:$H$905,MATCH(A169,Catalogo!$A$5:$A$905,0))))</f>
        <v/>
      </c>
      <c r="H169" s="13" t="e">
        <f t="shared" si="25"/>
        <v>#VALUE!</v>
      </c>
      <c r="I169" s="6" t="e">
        <f t="shared" si="26"/>
        <v>#VALUE!</v>
      </c>
      <c r="J169" s="6" t="e">
        <f t="shared" si="27"/>
        <v>#VALUE!</v>
      </c>
      <c r="K169" s="6" t="e">
        <f t="shared" si="28"/>
        <v>#VALUE!</v>
      </c>
      <c r="L169" t="str">
        <f t="shared" si="29"/>
        <v/>
      </c>
    </row>
    <row r="170" spans="1:12" ht="30" customHeight="1">
      <c r="A170" s="9"/>
      <c r="B170" s="5" t="str">
        <f>IF(A170="","",IF(COUNTIF(Catalogo!$A$5:$A$905,A170)=0,"SKU no encontrado",INDEX(Catalogo!$B$5:$B$905,MATCH(A170,Catalogo!$A$5:$A$905,0))))</f>
        <v/>
      </c>
      <c r="C170" t="str">
        <f>IF(OR(A170="",B170="SKU no encontrado"),"",INDEX(Catalogo!$C$5:$C$905,MATCH(A170,Catalogo!$A$5:$A$905,0)))</f>
        <v/>
      </c>
      <c r="D170" s="10"/>
      <c r="E170" s="11"/>
      <c r="F170" s="12"/>
      <c r="G170" s="6" t="str">
        <f>IF(OR(A170="",B170="SKU no encontrado"),"",IF(INDEX(Catalogo!$H$5:$H$905,MATCH(A170,Catalogo!$A$5:$A$905,0))=0,"",INDEX(Catalogo!$H$5:$H$905,MATCH(A170,Catalogo!$A$5:$A$905,0))))</f>
        <v/>
      </c>
      <c r="H170" s="13" t="e">
        <f t="shared" si="25"/>
        <v>#VALUE!</v>
      </c>
      <c r="I170" s="6" t="e">
        <f t="shared" si="26"/>
        <v>#VALUE!</v>
      </c>
      <c r="J170" s="6" t="e">
        <f t="shared" si="27"/>
        <v>#VALUE!</v>
      </c>
      <c r="K170" s="6" t="e">
        <f t="shared" si="28"/>
        <v>#VALUE!</v>
      </c>
      <c r="L170" t="str">
        <f t="shared" si="29"/>
        <v/>
      </c>
    </row>
    <row r="171" spans="1:12" ht="30" customHeight="1">
      <c r="A171" s="9"/>
      <c r="B171" s="5" t="str">
        <f>IF(A171="","",IF(COUNTIF(Catalogo!$A$5:$A$905,A171)=0,"SKU no encontrado",INDEX(Catalogo!$B$5:$B$905,MATCH(A171,Catalogo!$A$5:$A$905,0))))</f>
        <v/>
      </c>
      <c r="C171" t="str">
        <f>IF(OR(A171="",B171="SKU no encontrado"),"",INDEX(Catalogo!$C$5:$C$905,MATCH(A171,Catalogo!$A$5:$A$905,0)))</f>
        <v/>
      </c>
      <c r="D171" s="10"/>
      <c r="E171" s="11"/>
      <c r="F171" s="12"/>
      <c r="G171" s="6" t="str">
        <f>IF(OR(A171="",B171="SKU no encontrado"),"",IF(INDEX(Catalogo!$H$5:$H$905,MATCH(A171,Catalogo!$A$5:$A$905,0))=0,"",INDEX(Catalogo!$H$5:$H$905,MATCH(A171,Catalogo!$A$5:$A$905,0))))</f>
        <v/>
      </c>
      <c r="H171" s="13" t="e">
        <f t="shared" si="25"/>
        <v>#VALUE!</v>
      </c>
      <c r="I171" s="6" t="e">
        <f t="shared" si="26"/>
        <v>#VALUE!</v>
      </c>
      <c r="J171" s="6" t="e">
        <f t="shared" si="27"/>
        <v>#VALUE!</v>
      </c>
      <c r="K171" s="6" t="e">
        <f t="shared" si="28"/>
        <v>#VALUE!</v>
      </c>
      <c r="L171" t="str">
        <f t="shared" si="29"/>
        <v/>
      </c>
    </row>
    <row r="172" spans="1:12" ht="30" customHeight="1">
      <c r="A172" s="9"/>
      <c r="B172" s="5" t="str">
        <f>IF(A172="","",IF(COUNTIF(Catalogo!$A$5:$A$905,A172)=0,"SKU no encontrado",INDEX(Catalogo!$B$5:$B$905,MATCH(A172,Catalogo!$A$5:$A$905,0))))</f>
        <v/>
      </c>
      <c r="C172" t="str">
        <f>IF(OR(A172="",B172="SKU no encontrado"),"",INDEX(Catalogo!$C$5:$C$905,MATCH(A172,Catalogo!$A$5:$A$905,0)))</f>
        <v/>
      </c>
      <c r="D172" s="10"/>
      <c r="E172" s="11"/>
      <c r="F172" s="12"/>
      <c r="G172" s="6" t="str">
        <f>IF(OR(A172="",B172="SKU no encontrado"),"",IF(INDEX(Catalogo!$H$5:$H$905,MATCH(A172,Catalogo!$A$5:$A$905,0))=0,"",INDEX(Catalogo!$H$5:$H$905,MATCH(A172,Catalogo!$A$5:$A$905,0))))</f>
        <v/>
      </c>
      <c r="H172" s="13" t="e">
        <f t="shared" si="25"/>
        <v>#VALUE!</v>
      </c>
      <c r="I172" s="6" t="e">
        <f t="shared" si="26"/>
        <v>#VALUE!</v>
      </c>
      <c r="J172" s="6" t="e">
        <f t="shared" si="27"/>
        <v>#VALUE!</v>
      </c>
      <c r="K172" s="6" t="e">
        <f t="shared" si="28"/>
        <v>#VALUE!</v>
      </c>
      <c r="L172" t="str">
        <f t="shared" si="29"/>
        <v/>
      </c>
    </row>
    <row r="173" spans="1:12" ht="30" customHeight="1">
      <c r="A173" s="9"/>
      <c r="B173" s="5" t="str">
        <f>IF(A173="","",IF(COUNTIF(Catalogo!$A$5:$A$905,A173)=0,"SKU no encontrado",INDEX(Catalogo!$B$5:$B$905,MATCH(A173,Catalogo!$A$5:$A$905,0))))</f>
        <v/>
      </c>
      <c r="C173" t="str">
        <f>IF(OR(A173="",B173="SKU no encontrado"),"",INDEX(Catalogo!$C$5:$C$905,MATCH(A173,Catalogo!$A$5:$A$905,0)))</f>
        <v/>
      </c>
      <c r="D173" s="10"/>
      <c r="E173" s="11"/>
      <c r="F173" s="12"/>
      <c r="G173" s="6" t="str">
        <f>IF(OR(A173="",B173="SKU no encontrado"),"",IF(INDEX(Catalogo!$H$5:$H$905,MATCH(A173,Catalogo!$A$5:$A$905,0))=0,"",INDEX(Catalogo!$H$5:$H$905,MATCH(A173,Catalogo!$A$5:$A$905,0))))</f>
        <v/>
      </c>
      <c r="H173" s="13" t="e">
        <f t="shared" si="25"/>
        <v>#VALUE!</v>
      </c>
      <c r="I173" s="6" t="e">
        <f t="shared" si="26"/>
        <v>#VALUE!</v>
      </c>
      <c r="J173" s="6" t="e">
        <f t="shared" si="27"/>
        <v>#VALUE!</v>
      </c>
      <c r="K173" s="6" t="e">
        <f t="shared" si="28"/>
        <v>#VALUE!</v>
      </c>
      <c r="L173" t="str">
        <f t="shared" si="29"/>
        <v/>
      </c>
    </row>
    <row r="174" spans="1:12" ht="30" customHeight="1">
      <c r="A174" s="9"/>
      <c r="B174" s="5" t="str">
        <f>IF(A174="","",IF(COUNTIF(Catalogo!$A$5:$A$905,A174)=0,"SKU no encontrado",INDEX(Catalogo!$B$5:$B$905,MATCH(A174,Catalogo!$A$5:$A$905,0))))</f>
        <v/>
      </c>
      <c r="C174" t="str">
        <f>IF(OR(A174="",B174="SKU no encontrado"),"",INDEX(Catalogo!$C$5:$C$905,MATCH(A174,Catalogo!$A$5:$A$905,0)))</f>
        <v/>
      </c>
      <c r="D174" s="10"/>
      <c r="E174" s="11"/>
      <c r="F174" s="12"/>
      <c r="G174" s="6" t="str">
        <f>IF(OR(A174="",B174="SKU no encontrado"),"",IF(INDEX(Catalogo!$H$5:$H$905,MATCH(A174,Catalogo!$A$5:$A$905,0))=0,"",INDEX(Catalogo!$H$5:$H$905,MATCH(A174,Catalogo!$A$5:$A$905,0))))</f>
        <v/>
      </c>
      <c r="H174" s="13" t="e">
        <f t="shared" si="25"/>
        <v>#VALUE!</v>
      </c>
      <c r="I174" s="6" t="e">
        <f t="shared" si="26"/>
        <v>#VALUE!</v>
      </c>
      <c r="J174" s="6" t="e">
        <f t="shared" si="27"/>
        <v>#VALUE!</v>
      </c>
      <c r="K174" s="6" t="e">
        <f t="shared" si="28"/>
        <v>#VALUE!</v>
      </c>
      <c r="L174" t="str">
        <f t="shared" si="29"/>
        <v/>
      </c>
    </row>
    <row r="175" spans="1:12" ht="30" customHeight="1">
      <c r="A175" s="9"/>
      <c r="B175" s="5" t="str">
        <f>IF(A175="","",IF(COUNTIF(Catalogo!$A$5:$A$905,A175)=0,"SKU no encontrado",INDEX(Catalogo!$B$5:$B$905,MATCH(A175,Catalogo!$A$5:$A$905,0))))</f>
        <v/>
      </c>
      <c r="C175" t="str">
        <f>IF(OR(A175="",B175="SKU no encontrado"),"",INDEX(Catalogo!$C$5:$C$905,MATCH(A175,Catalogo!$A$5:$A$905,0)))</f>
        <v/>
      </c>
      <c r="D175" s="10"/>
      <c r="E175" s="11"/>
      <c r="F175" s="12"/>
      <c r="G175" s="6" t="str">
        <f>IF(OR(A175="",B175="SKU no encontrado"),"",IF(INDEX(Catalogo!$H$5:$H$905,MATCH(A175,Catalogo!$A$5:$A$905,0))=0,"",INDEX(Catalogo!$H$5:$H$905,MATCH(A175,Catalogo!$A$5:$A$905,0))))</f>
        <v/>
      </c>
      <c r="H175" s="13" t="e">
        <f t="shared" si="25"/>
        <v>#VALUE!</v>
      </c>
      <c r="I175" s="6" t="e">
        <f t="shared" si="26"/>
        <v>#VALUE!</v>
      </c>
      <c r="J175" s="6" t="e">
        <f t="shared" si="27"/>
        <v>#VALUE!</v>
      </c>
      <c r="K175" s="6" t="e">
        <f t="shared" si="28"/>
        <v>#VALUE!</v>
      </c>
      <c r="L175" t="str">
        <f t="shared" si="29"/>
        <v/>
      </c>
    </row>
    <row r="176" spans="1:12" ht="30" customHeight="1">
      <c r="A176" s="9"/>
      <c r="B176" s="5" t="str">
        <f>IF(A176="","",IF(COUNTIF(Catalogo!$A$5:$A$905,A176)=0,"SKU no encontrado",INDEX(Catalogo!$B$5:$B$905,MATCH(A176,Catalogo!$A$5:$A$905,0))))</f>
        <v/>
      </c>
      <c r="C176" t="str">
        <f>IF(OR(A176="",B176="SKU no encontrado"),"",INDEX(Catalogo!$C$5:$C$905,MATCH(A176,Catalogo!$A$5:$A$905,0)))</f>
        <v/>
      </c>
      <c r="D176" s="10"/>
      <c r="E176" s="11"/>
      <c r="F176" s="12"/>
      <c r="G176" s="6" t="str">
        <f>IF(OR(A176="",B176="SKU no encontrado"),"",IF(INDEX(Catalogo!$H$5:$H$905,MATCH(A176,Catalogo!$A$5:$A$905,0))=0,"",INDEX(Catalogo!$H$5:$H$905,MATCH(A176,Catalogo!$A$5:$A$905,0))))</f>
        <v/>
      </c>
      <c r="H176" s="13" t="e">
        <f t="shared" si="25"/>
        <v>#VALUE!</v>
      </c>
      <c r="I176" s="6" t="e">
        <f t="shared" si="26"/>
        <v>#VALUE!</v>
      </c>
      <c r="J176" s="6" t="e">
        <f t="shared" si="27"/>
        <v>#VALUE!</v>
      </c>
      <c r="K176" s="6" t="e">
        <f t="shared" si="28"/>
        <v>#VALUE!</v>
      </c>
      <c r="L176" t="str">
        <f t="shared" si="29"/>
        <v/>
      </c>
    </row>
    <row r="177" spans="1:12" ht="30" customHeight="1">
      <c r="A177" s="9"/>
      <c r="B177" s="5" t="str">
        <f>IF(A177="","",IF(COUNTIF(Catalogo!$A$5:$A$905,A177)=0,"SKU no encontrado",INDEX(Catalogo!$B$5:$B$905,MATCH(A177,Catalogo!$A$5:$A$905,0))))</f>
        <v/>
      </c>
      <c r="C177" t="str">
        <f>IF(OR(A177="",B177="SKU no encontrado"),"",INDEX(Catalogo!$C$5:$C$905,MATCH(A177,Catalogo!$A$5:$A$905,0)))</f>
        <v/>
      </c>
      <c r="D177" s="10"/>
      <c r="E177" s="11"/>
      <c r="F177" s="12"/>
      <c r="G177" s="6" t="str">
        <f>IF(OR(A177="",B177="SKU no encontrado"),"",IF(INDEX(Catalogo!$H$5:$H$905,MATCH(A177,Catalogo!$A$5:$A$905,0))=0,"",INDEX(Catalogo!$H$5:$H$905,MATCH(A177,Catalogo!$A$5:$A$905,0))))</f>
        <v/>
      </c>
      <c r="H177" s="13" t="e">
        <f t="shared" si="25"/>
        <v>#VALUE!</v>
      </c>
      <c r="I177" s="6" t="e">
        <f t="shared" si="26"/>
        <v>#VALUE!</v>
      </c>
      <c r="J177" s="6" t="e">
        <f t="shared" si="27"/>
        <v>#VALUE!</v>
      </c>
      <c r="K177" s="6" t="e">
        <f t="shared" si="28"/>
        <v>#VALUE!</v>
      </c>
      <c r="L177" t="str">
        <f t="shared" si="29"/>
        <v/>
      </c>
    </row>
    <row r="178" spans="1:12" ht="30" customHeight="1">
      <c r="A178" s="9"/>
      <c r="B178" s="5" t="str">
        <f>IF(A178="","",IF(COUNTIF(Catalogo!$A$5:$A$905,A178)=0,"SKU no encontrado",INDEX(Catalogo!$B$5:$B$905,MATCH(A178,Catalogo!$A$5:$A$905,0))))</f>
        <v/>
      </c>
      <c r="C178" t="str">
        <f>IF(OR(A178="",B178="SKU no encontrado"),"",INDEX(Catalogo!$C$5:$C$905,MATCH(A178,Catalogo!$A$5:$A$905,0)))</f>
        <v/>
      </c>
      <c r="D178" s="10"/>
      <c r="E178" s="11"/>
      <c r="F178" s="12"/>
      <c r="G178" s="6" t="str">
        <f>IF(OR(A178="",B178="SKU no encontrado"),"",IF(INDEX(Catalogo!$H$5:$H$905,MATCH(A178,Catalogo!$A$5:$A$905,0))=0,"",INDEX(Catalogo!$H$5:$H$905,MATCH(A178,Catalogo!$A$5:$A$905,0))))</f>
        <v/>
      </c>
      <c r="H178" s="13" t="e">
        <f t="shared" si="25"/>
        <v>#VALUE!</v>
      </c>
      <c r="I178" s="6" t="e">
        <f t="shared" si="26"/>
        <v>#VALUE!</v>
      </c>
      <c r="J178" s="6" t="e">
        <f t="shared" si="27"/>
        <v>#VALUE!</v>
      </c>
      <c r="K178" s="6" t="e">
        <f t="shared" si="28"/>
        <v>#VALUE!</v>
      </c>
      <c r="L178" t="str">
        <f t="shared" si="29"/>
        <v/>
      </c>
    </row>
    <row r="179" spans="1:12" ht="30" customHeight="1">
      <c r="A179" s="9"/>
      <c r="B179" s="5" t="str">
        <f>IF(A179="","",IF(COUNTIF(Catalogo!$A$5:$A$905,A179)=0,"SKU no encontrado",INDEX(Catalogo!$B$5:$B$905,MATCH(A179,Catalogo!$A$5:$A$905,0))))</f>
        <v/>
      </c>
      <c r="C179" t="str">
        <f>IF(OR(A179="",B179="SKU no encontrado"),"",INDEX(Catalogo!$C$5:$C$905,MATCH(A179,Catalogo!$A$5:$A$905,0)))</f>
        <v/>
      </c>
      <c r="D179" s="10"/>
      <c r="E179" s="11"/>
      <c r="F179" s="12"/>
      <c r="G179" s="6" t="str">
        <f>IF(OR(A179="",B179="SKU no encontrado"),"",IF(INDEX(Catalogo!$H$5:$H$905,MATCH(A179,Catalogo!$A$5:$A$905,0))=0,"",INDEX(Catalogo!$H$5:$H$905,MATCH(A179,Catalogo!$A$5:$A$905,0))))</f>
        <v/>
      </c>
      <c r="H179" s="13" t="e">
        <f t="shared" si="25"/>
        <v>#VALUE!</v>
      </c>
      <c r="I179" s="6" t="e">
        <f t="shared" si="26"/>
        <v>#VALUE!</v>
      </c>
      <c r="J179" s="6" t="e">
        <f t="shared" si="27"/>
        <v>#VALUE!</v>
      </c>
      <c r="K179" s="6" t="e">
        <f t="shared" si="28"/>
        <v>#VALUE!</v>
      </c>
      <c r="L179" t="str">
        <f t="shared" si="29"/>
        <v/>
      </c>
    </row>
    <row r="180" spans="1:12" ht="30" customHeight="1">
      <c r="A180" s="9"/>
      <c r="B180" s="5" t="str">
        <f>IF(A180="","",IF(COUNTIF(Catalogo!$A$5:$A$905,A180)=0,"SKU no encontrado",INDEX(Catalogo!$B$5:$B$905,MATCH(A180,Catalogo!$A$5:$A$905,0))))</f>
        <v/>
      </c>
      <c r="C180" t="str">
        <f>IF(OR(A180="",B180="SKU no encontrado"),"",INDEX(Catalogo!$C$5:$C$905,MATCH(A180,Catalogo!$A$5:$A$905,0)))</f>
        <v/>
      </c>
      <c r="D180" s="10"/>
      <c r="E180" s="11"/>
      <c r="F180" s="12"/>
      <c r="G180" s="6" t="str">
        <f>IF(OR(A180="",B180="SKU no encontrado"),"",IF(INDEX(Catalogo!$H$5:$H$905,MATCH(A180,Catalogo!$A$5:$A$905,0))=0,"",INDEX(Catalogo!$H$5:$H$905,MATCH(A180,Catalogo!$A$5:$A$905,0))))</f>
        <v/>
      </c>
      <c r="H180" s="13" t="e">
        <f t="shared" si="25"/>
        <v>#VALUE!</v>
      </c>
      <c r="I180" s="6" t="e">
        <f t="shared" si="26"/>
        <v>#VALUE!</v>
      </c>
      <c r="J180" s="6" t="e">
        <f t="shared" si="27"/>
        <v>#VALUE!</v>
      </c>
      <c r="K180" s="6" t="e">
        <f t="shared" si="28"/>
        <v>#VALUE!</v>
      </c>
      <c r="L180" t="str">
        <f t="shared" si="29"/>
        <v/>
      </c>
    </row>
    <row r="181" spans="1:12" ht="30" customHeight="1">
      <c r="A181" s="9"/>
      <c r="B181" s="5" t="str">
        <f>IF(A181="","",IF(COUNTIF(Catalogo!$A$5:$A$905,A181)=0,"SKU no encontrado",INDEX(Catalogo!$B$5:$B$905,MATCH(A181,Catalogo!$A$5:$A$905,0))))</f>
        <v/>
      </c>
      <c r="C181" t="str">
        <f>IF(OR(A181="",B181="SKU no encontrado"),"",INDEX(Catalogo!$C$5:$C$905,MATCH(A181,Catalogo!$A$5:$A$905,0)))</f>
        <v/>
      </c>
      <c r="D181" s="10"/>
      <c r="E181" s="11"/>
      <c r="F181" s="12"/>
      <c r="G181" s="6" t="str">
        <f>IF(OR(A181="",B181="SKU no encontrado"),"",IF(INDEX(Catalogo!$H$5:$H$905,MATCH(A181,Catalogo!$A$5:$A$905,0))=0,"",INDEX(Catalogo!$H$5:$H$905,MATCH(A181,Catalogo!$A$5:$A$905,0))))</f>
        <v/>
      </c>
      <c r="H181" s="13" t="e">
        <f t="shared" si="25"/>
        <v>#VALUE!</v>
      </c>
      <c r="I181" s="6" t="e">
        <f t="shared" si="26"/>
        <v>#VALUE!</v>
      </c>
      <c r="J181" s="6" t="e">
        <f t="shared" si="27"/>
        <v>#VALUE!</v>
      </c>
      <c r="K181" s="6" t="e">
        <f t="shared" si="28"/>
        <v>#VALUE!</v>
      </c>
      <c r="L181" t="str">
        <f t="shared" si="29"/>
        <v/>
      </c>
    </row>
    <row r="182" spans="1:12" ht="30" customHeight="1">
      <c r="A182" s="9"/>
      <c r="B182" s="5" t="str">
        <f>IF(A182="","",IF(COUNTIF(Catalogo!$A$5:$A$905,A182)=0,"SKU no encontrado",INDEX(Catalogo!$B$5:$B$905,MATCH(A182,Catalogo!$A$5:$A$905,0))))</f>
        <v/>
      </c>
      <c r="C182" t="str">
        <f>IF(OR(A182="",B182="SKU no encontrado"),"",INDEX(Catalogo!$C$5:$C$905,MATCH(A182,Catalogo!$A$5:$A$905,0)))</f>
        <v/>
      </c>
      <c r="D182" s="10"/>
      <c r="E182" s="11"/>
      <c r="F182" s="12"/>
      <c r="G182" s="6" t="str">
        <f>IF(OR(A182="",B182="SKU no encontrado"),"",IF(INDEX(Catalogo!$H$5:$H$905,MATCH(A182,Catalogo!$A$5:$A$905,0))=0,"",INDEX(Catalogo!$H$5:$H$905,MATCH(A182,Catalogo!$A$5:$A$905,0))))</f>
        <v/>
      </c>
      <c r="H182" s="13" t="e">
        <f t="shared" si="25"/>
        <v>#VALUE!</v>
      </c>
      <c r="I182" s="6" t="e">
        <f t="shared" si="26"/>
        <v>#VALUE!</v>
      </c>
      <c r="J182" s="6" t="e">
        <f t="shared" si="27"/>
        <v>#VALUE!</v>
      </c>
      <c r="K182" s="6" t="e">
        <f t="shared" si="28"/>
        <v>#VALUE!</v>
      </c>
      <c r="L182" t="str">
        <f t="shared" si="29"/>
        <v/>
      </c>
    </row>
    <row r="183" spans="1:12" ht="30" customHeight="1">
      <c r="A183" s="9"/>
      <c r="B183" s="5" t="str">
        <f>IF(A183="","",IF(COUNTIF(Catalogo!$A$5:$A$905,A183)=0,"SKU no encontrado",INDEX(Catalogo!$B$5:$B$905,MATCH(A183,Catalogo!$A$5:$A$905,0))))</f>
        <v/>
      </c>
      <c r="C183" t="str">
        <f>IF(OR(A183="",B183="SKU no encontrado"),"",INDEX(Catalogo!$C$5:$C$905,MATCH(A183,Catalogo!$A$5:$A$905,0)))</f>
        <v/>
      </c>
      <c r="D183" s="10"/>
      <c r="E183" s="11"/>
      <c r="F183" s="12"/>
      <c r="G183" s="6" t="str">
        <f>IF(OR(A183="",B183="SKU no encontrado"),"",IF(INDEX(Catalogo!$H$5:$H$905,MATCH(A183,Catalogo!$A$5:$A$905,0))=0,"",INDEX(Catalogo!$H$5:$H$905,MATCH(A183,Catalogo!$A$5:$A$905,0))))</f>
        <v/>
      </c>
      <c r="H183" s="13" t="e">
        <f t="shared" si="25"/>
        <v>#VALUE!</v>
      </c>
      <c r="I183" s="6" t="e">
        <f t="shared" si="26"/>
        <v>#VALUE!</v>
      </c>
      <c r="J183" s="6" t="e">
        <f t="shared" si="27"/>
        <v>#VALUE!</v>
      </c>
      <c r="K183" s="6" t="e">
        <f t="shared" si="28"/>
        <v>#VALUE!</v>
      </c>
      <c r="L183" t="str">
        <f t="shared" si="29"/>
        <v/>
      </c>
    </row>
    <row r="184" spans="1:12" ht="30" customHeight="1">
      <c r="A184" s="9"/>
      <c r="B184" s="5" t="str">
        <f>IF(A184="","",IF(COUNTIF(Catalogo!$A$5:$A$905,A184)=0,"SKU no encontrado",INDEX(Catalogo!$B$5:$B$905,MATCH(A184,Catalogo!$A$5:$A$905,0))))</f>
        <v/>
      </c>
      <c r="C184" t="str">
        <f>IF(OR(A184="",B184="SKU no encontrado"),"",INDEX(Catalogo!$C$5:$C$905,MATCH(A184,Catalogo!$A$5:$A$905,0)))</f>
        <v/>
      </c>
      <c r="D184" s="10"/>
      <c r="E184" s="11"/>
      <c r="F184" s="12"/>
      <c r="G184" s="6" t="str">
        <f>IF(OR(A184="",B184="SKU no encontrado"),"",IF(INDEX(Catalogo!$H$5:$H$905,MATCH(A184,Catalogo!$A$5:$A$905,0))=0,"",INDEX(Catalogo!$H$5:$H$905,MATCH(A184,Catalogo!$A$5:$A$905,0))))</f>
        <v/>
      </c>
      <c r="H184" s="13" t="e">
        <f t="shared" si="25"/>
        <v>#VALUE!</v>
      </c>
      <c r="I184" s="6" t="e">
        <f t="shared" si="26"/>
        <v>#VALUE!</v>
      </c>
      <c r="J184" s="6" t="e">
        <f t="shared" si="27"/>
        <v>#VALUE!</v>
      </c>
      <c r="K184" s="6" t="e">
        <f t="shared" si="28"/>
        <v>#VALUE!</v>
      </c>
      <c r="L184" t="str">
        <f t="shared" si="29"/>
        <v/>
      </c>
    </row>
    <row r="185" spans="1:12" ht="30" customHeight="1">
      <c r="A185" s="9"/>
      <c r="B185" s="5" t="str">
        <f>IF(A185="","",IF(COUNTIF(Catalogo!$A$5:$A$905,A185)=0,"SKU no encontrado",INDEX(Catalogo!$B$5:$B$905,MATCH(A185,Catalogo!$A$5:$A$905,0))))</f>
        <v/>
      </c>
      <c r="C185" t="str">
        <f>IF(OR(A185="",B185="SKU no encontrado"),"",INDEX(Catalogo!$C$5:$C$905,MATCH(A185,Catalogo!$A$5:$A$905,0)))</f>
        <v/>
      </c>
      <c r="D185" s="10"/>
      <c r="E185" s="11"/>
      <c r="F185" s="12"/>
      <c r="G185" s="6" t="str">
        <f>IF(OR(A185="",B185="SKU no encontrado"),"",IF(INDEX(Catalogo!$H$5:$H$905,MATCH(A185,Catalogo!$A$5:$A$905,0))=0,"",INDEX(Catalogo!$H$5:$H$905,MATCH(A185,Catalogo!$A$5:$A$905,0))))</f>
        <v/>
      </c>
      <c r="H185" s="13" t="e">
        <f t="shared" si="25"/>
        <v>#VALUE!</v>
      </c>
      <c r="I185" s="6" t="e">
        <f t="shared" si="26"/>
        <v>#VALUE!</v>
      </c>
      <c r="J185" s="6" t="e">
        <f t="shared" si="27"/>
        <v>#VALUE!</v>
      </c>
      <c r="K185" s="6" t="e">
        <f t="shared" si="28"/>
        <v>#VALUE!</v>
      </c>
      <c r="L185" t="str">
        <f t="shared" si="29"/>
        <v/>
      </c>
    </row>
    <row r="186" spans="1:12" ht="30" customHeight="1">
      <c r="A186" s="9"/>
      <c r="B186" s="5" t="str">
        <f>IF(A186="","",IF(COUNTIF(Catalogo!$A$5:$A$905,A186)=0,"SKU no encontrado",INDEX(Catalogo!$B$5:$B$905,MATCH(A186,Catalogo!$A$5:$A$905,0))))</f>
        <v/>
      </c>
      <c r="C186" t="str">
        <f>IF(OR(A186="",B186="SKU no encontrado"),"",INDEX(Catalogo!$C$5:$C$905,MATCH(A186,Catalogo!$A$5:$A$905,0)))</f>
        <v/>
      </c>
      <c r="D186" s="10"/>
      <c r="E186" s="11"/>
      <c r="F186" s="12"/>
      <c r="G186" s="6" t="str">
        <f>IF(OR(A186="",B186="SKU no encontrado"),"",IF(INDEX(Catalogo!$H$5:$H$905,MATCH(A186,Catalogo!$A$5:$A$905,0))=0,"",INDEX(Catalogo!$H$5:$H$905,MATCH(A186,Catalogo!$A$5:$A$905,0))))</f>
        <v/>
      </c>
      <c r="H186" s="13" t="e">
        <f t="shared" si="25"/>
        <v>#VALUE!</v>
      </c>
      <c r="I186" s="6" t="e">
        <f t="shared" si="26"/>
        <v>#VALUE!</v>
      </c>
      <c r="J186" s="6" t="e">
        <f t="shared" si="27"/>
        <v>#VALUE!</v>
      </c>
      <c r="K186" s="6" t="e">
        <f t="shared" si="28"/>
        <v>#VALUE!</v>
      </c>
      <c r="L186" t="str">
        <f t="shared" si="29"/>
        <v/>
      </c>
    </row>
    <row r="187" spans="1:12" ht="30" customHeight="1">
      <c r="A187" s="9"/>
      <c r="B187" s="5" t="str">
        <f>IF(A187="","",IF(COUNTIF(Catalogo!$A$5:$A$905,A187)=0,"SKU no encontrado",INDEX(Catalogo!$B$5:$B$905,MATCH(A187,Catalogo!$A$5:$A$905,0))))</f>
        <v/>
      </c>
      <c r="C187" t="str">
        <f>IF(OR(A187="",B187="SKU no encontrado"),"",INDEX(Catalogo!$C$5:$C$905,MATCH(A187,Catalogo!$A$5:$A$905,0)))</f>
        <v/>
      </c>
      <c r="D187" s="10"/>
      <c r="E187" s="11"/>
      <c r="F187" s="12"/>
      <c r="G187" s="6" t="str">
        <f>IF(OR(A187="",B187="SKU no encontrado"),"",IF(INDEX(Catalogo!$H$5:$H$905,MATCH(A187,Catalogo!$A$5:$A$905,0))=0,"",INDEX(Catalogo!$H$5:$H$905,MATCH(A187,Catalogo!$A$5:$A$905,0))))</f>
        <v/>
      </c>
      <c r="H187" s="13" t="e">
        <f t="shared" si="25"/>
        <v>#VALUE!</v>
      </c>
      <c r="I187" s="6" t="e">
        <f t="shared" si="26"/>
        <v>#VALUE!</v>
      </c>
      <c r="J187" s="6" t="e">
        <f t="shared" si="27"/>
        <v>#VALUE!</v>
      </c>
      <c r="K187" s="6" t="e">
        <f t="shared" si="28"/>
        <v>#VALUE!</v>
      </c>
      <c r="L187" t="str">
        <f t="shared" si="29"/>
        <v/>
      </c>
    </row>
    <row r="188" spans="1:12" ht="30" customHeight="1">
      <c r="A188" s="9"/>
      <c r="B188" s="5" t="str">
        <f>IF(A188="","",IF(COUNTIF(Catalogo!$A$5:$A$905,A188)=0,"SKU no encontrado",INDEX(Catalogo!$B$5:$B$905,MATCH(A188,Catalogo!$A$5:$A$905,0))))</f>
        <v/>
      </c>
      <c r="C188" t="str">
        <f>IF(OR(A188="",B188="SKU no encontrado"),"",INDEX(Catalogo!$C$5:$C$905,MATCH(A188,Catalogo!$A$5:$A$905,0)))</f>
        <v/>
      </c>
      <c r="D188" s="10"/>
      <c r="E188" s="11"/>
      <c r="F188" s="12"/>
      <c r="G188" s="6" t="str">
        <f>IF(OR(A188="",B188="SKU no encontrado"),"",IF(INDEX(Catalogo!$H$5:$H$905,MATCH(A188,Catalogo!$A$5:$A$905,0))=0,"",INDEX(Catalogo!$H$5:$H$905,MATCH(A188,Catalogo!$A$5:$A$905,0))))</f>
        <v/>
      </c>
      <c r="H188" s="13" t="e">
        <f t="shared" si="25"/>
        <v>#VALUE!</v>
      </c>
      <c r="I188" s="6" t="e">
        <f t="shared" si="26"/>
        <v>#VALUE!</v>
      </c>
      <c r="J188" s="6" t="e">
        <f t="shared" si="27"/>
        <v>#VALUE!</v>
      </c>
      <c r="K188" s="6" t="e">
        <f t="shared" si="28"/>
        <v>#VALUE!</v>
      </c>
      <c r="L188" t="str">
        <f t="shared" si="29"/>
        <v/>
      </c>
    </row>
    <row r="189" spans="1:12" ht="30" customHeight="1">
      <c r="A189" s="9"/>
      <c r="B189" s="5" t="str">
        <f>IF(A189="","",IF(COUNTIF(Catalogo!$A$5:$A$905,A189)=0,"SKU no encontrado",INDEX(Catalogo!$B$5:$B$905,MATCH(A189,Catalogo!$A$5:$A$905,0))))</f>
        <v/>
      </c>
      <c r="C189" t="str">
        <f>IF(OR(A189="",B189="SKU no encontrado"),"",INDEX(Catalogo!$C$5:$C$905,MATCH(A189,Catalogo!$A$5:$A$905,0)))</f>
        <v/>
      </c>
      <c r="D189" s="10"/>
      <c r="E189" s="11"/>
      <c r="F189" s="12"/>
      <c r="G189" s="6" t="str">
        <f>IF(OR(A189="",B189="SKU no encontrado"),"",IF(INDEX(Catalogo!$H$5:$H$905,MATCH(A189,Catalogo!$A$5:$A$905,0))=0,"",INDEX(Catalogo!$H$5:$H$905,MATCH(A189,Catalogo!$A$5:$A$905,0))))</f>
        <v/>
      </c>
      <c r="H189" s="13" t="e">
        <f t="shared" si="25"/>
        <v>#VALUE!</v>
      </c>
      <c r="I189" s="6" t="e">
        <f t="shared" si="26"/>
        <v>#VALUE!</v>
      </c>
      <c r="J189" s="6" t="e">
        <f t="shared" si="27"/>
        <v>#VALUE!</v>
      </c>
      <c r="K189" s="6" t="e">
        <f t="shared" si="28"/>
        <v>#VALUE!</v>
      </c>
      <c r="L189" t="str">
        <f t="shared" si="29"/>
        <v/>
      </c>
    </row>
    <row r="190" spans="1:12" ht="30" customHeight="1">
      <c r="A190" s="9"/>
      <c r="B190" s="5" t="str">
        <f>IF(A190="","",IF(COUNTIF(Catalogo!$A$5:$A$905,A190)=0,"SKU no encontrado",INDEX(Catalogo!$B$5:$B$905,MATCH(A190,Catalogo!$A$5:$A$905,0))))</f>
        <v/>
      </c>
      <c r="C190" t="str">
        <f>IF(OR(A190="",B190="SKU no encontrado"),"",INDEX(Catalogo!$C$5:$C$905,MATCH(A190,Catalogo!$A$5:$A$905,0)))</f>
        <v/>
      </c>
      <c r="D190" s="10"/>
      <c r="E190" s="11"/>
      <c r="F190" s="12"/>
      <c r="G190" s="6" t="str">
        <f>IF(OR(A190="",B190="SKU no encontrado"),"",IF(INDEX(Catalogo!$H$5:$H$905,MATCH(A190,Catalogo!$A$5:$A$905,0))=0,"",INDEX(Catalogo!$H$5:$H$905,MATCH(A190,Catalogo!$A$5:$A$905,0))))</f>
        <v/>
      </c>
      <c r="H190" s="13" t="e">
        <f t="shared" si="25"/>
        <v>#VALUE!</v>
      </c>
      <c r="I190" s="6" t="e">
        <f t="shared" si="26"/>
        <v>#VALUE!</v>
      </c>
      <c r="J190" s="6" t="e">
        <f t="shared" si="27"/>
        <v>#VALUE!</v>
      </c>
      <c r="K190" s="6" t="e">
        <f t="shared" si="28"/>
        <v>#VALUE!</v>
      </c>
      <c r="L190" t="str">
        <f t="shared" si="29"/>
        <v/>
      </c>
    </row>
    <row r="191" spans="1:12" ht="30" customHeight="1">
      <c r="A191" s="9"/>
      <c r="B191" s="5" t="str">
        <f>IF(A191="","",IF(COUNTIF(Catalogo!$A$5:$A$905,A191)=0,"SKU no encontrado",INDEX(Catalogo!$B$5:$B$905,MATCH(A191,Catalogo!$A$5:$A$905,0))))</f>
        <v/>
      </c>
      <c r="C191" t="str">
        <f>IF(OR(A191="",B191="SKU no encontrado"),"",INDEX(Catalogo!$C$5:$C$905,MATCH(A191,Catalogo!$A$5:$A$905,0)))</f>
        <v/>
      </c>
      <c r="D191" s="10"/>
      <c r="E191" s="11"/>
      <c r="F191" s="12"/>
      <c r="G191" s="6" t="str">
        <f>IF(OR(A191="",B191="SKU no encontrado"),"",IF(INDEX(Catalogo!$H$5:$H$905,MATCH(A191,Catalogo!$A$5:$A$905,0))=0,"",INDEX(Catalogo!$H$5:$H$905,MATCH(A191,Catalogo!$A$5:$A$905,0))))</f>
        <v/>
      </c>
      <c r="H191" s="13" t="e">
        <f t="shared" si="25"/>
        <v>#VALUE!</v>
      </c>
      <c r="I191" s="6" t="e">
        <f t="shared" si="26"/>
        <v>#VALUE!</v>
      </c>
      <c r="J191" s="6" t="e">
        <f t="shared" si="27"/>
        <v>#VALUE!</v>
      </c>
      <c r="K191" s="6" t="e">
        <f t="shared" si="28"/>
        <v>#VALUE!</v>
      </c>
      <c r="L191" t="str">
        <f t="shared" si="29"/>
        <v/>
      </c>
    </row>
    <row r="192" spans="1:12" ht="30" customHeight="1">
      <c r="A192" s="9"/>
      <c r="B192" s="5" t="str">
        <f>IF(A192="","",IF(COUNTIF(Catalogo!$A$5:$A$905,A192)=0,"SKU no encontrado",INDEX(Catalogo!$B$5:$B$905,MATCH(A192,Catalogo!$A$5:$A$905,0))))</f>
        <v/>
      </c>
      <c r="C192" t="str">
        <f>IF(OR(A192="",B192="SKU no encontrado"),"",INDEX(Catalogo!$C$5:$C$905,MATCH(A192,Catalogo!$A$5:$A$905,0)))</f>
        <v/>
      </c>
      <c r="D192" s="10"/>
      <c r="E192" s="11"/>
      <c r="F192" s="12"/>
      <c r="G192" s="6" t="str">
        <f>IF(OR(A192="",B192="SKU no encontrado"),"",IF(INDEX(Catalogo!$H$5:$H$905,MATCH(A192,Catalogo!$A$5:$A$905,0))=0,"",INDEX(Catalogo!$H$5:$H$905,MATCH(A192,Catalogo!$A$5:$A$905,0))))</f>
        <v/>
      </c>
      <c r="H192" s="13" t="e">
        <f t="shared" si="25"/>
        <v>#VALUE!</v>
      </c>
      <c r="I192" s="6" t="e">
        <f t="shared" si="26"/>
        <v>#VALUE!</v>
      </c>
      <c r="J192" s="6" t="e">
        <f t="shared" si="27"/>
        <v>#VALUE!</v>
      </c>
      <c r="K192" s="6" t="e">
        <f t="shared" si="28"/>
        <v>#VALUE!</v>
      </c>
      <c r="L192" t="str">
        <f t="shared" si="29"/>
        <v/>
      </c>
    </row>
    <row r="193" spans="1:12" ht="30" customHeight="1">
      <c r="A193" s="9"/>
      <c r="B193" s="5" t="str">
        <f>IF(A193="","",IF(COUNTIF(Catalogo!$A$5:$A$905,A193)=0,"SKU no encontrado",INDEX(Catalogo!$B$5:$B$905,MATCH(A193,Catalogo!$A$5:$A$905,0))))</f>
        <v/>
      </c>
      <c r="C193" t="str">
        <f>IF(OR(A193="",B193="SKU no encontrado"),"",INDEX(Catalogo!$C$5:$C$905,MATCH(A193,Catalogo!$A$5:$A$905,0)))</f>
        <v/>
      </c>
      <c r="D193" s="10"/>
      <c r="E193" s="11"/>
      <c r="F193" s="12"/>
      <c r="G193" s="6" t="str">
        <f>IF(OR(A193="",B193="SKU no encontrado"),"",IF(INDEX(Catalogo!$H$5:$H$905,MATCH(A193,Catalogo!$A$5:$A$905,0))=0,"",INDEX(Catalogo!$H$5:$H$905,MATCH(A193,Catalogo!$A$5:$A$905,0))))</f>
        <v/>
      </c>
      <c r="H193" s="13" t="e">
        <f t="shared" si="25"/>
        <v>#VALUE!</v>
      </c>
      <c r="I193" s="6" t="e">
        <f t="shared" si="26"/>
        <v>#VALUE!</v>
      </c>
      <c r="J193" s="6" t="e">
        <f t="shared" si="27"/>
        <v>#VALUE!</v>
      </c>
      <c r="K193" s="6" t="e">
        <f t="shared" si="28"/>
        <v>#VALUE!</v>
      </c>
      <c r="L193" t="str">
        <f t="shared" si="29"/>
        <v/>
      </c>
    </row>
    <row r="194" spans="1:12" ht="30" customHeight="1">
      <c r="A194" s="9"/>
      <c r="B194" s="5" t="str">
        <f>IF(A194="","",IF(COUNTIF(Catalogo!$A$5:$A$905,A194)=0,"SKU no encontrado",INDEX(Catalogo!$B$5:$B$905,MATCH(A194,Catalogo!$A$5:$A$905,0))))</f>
        <v/>
      </c>
      <c r="C194" t="str">
        <f>IF(OR(A194="",B194="SKU no encontrado"),"",INDEX(Catalogo!$C$5:$C$905,MATCH(A194,Catalogo!$A$5:$A$905,0)))</f>
        <v/>
      </c>
      <c r="D194" s="10"/>
      <c r="E194" s="11"/>
      <c r="F194" s="12"/>
      <c r="G194" s="6" t="str">
        <f>IF(OR(A194="",B194="SKU no encontrado"),"",IF(INDEX(Catalogo!$H$5:$H$905,MATCH(A194,Catalogo!$A$5:$A$905,0))=0,"",INDEX(Catalogo!$H$5:$H$905,MATCH(A194,Catalogo!$A$5:$A$905,0))))</f>
        <v/>
      </c>
      <c r="H194" s="13" t="e">
        <f t="shared" si="25"/>
        <v>#VALUE!</v>
      </c>
      <c r="I194" s="6" t="e">
        <f t="shared" si="26"/>
        <v>#VALUE!</v>
      </c>
      <c r="J194" s="6" t="e">
        <f t="shared" si="27"/>
        <v>#VALUE!</v>
      </c>
      <c r="K194" s="6" t="e">
        <f t="shared" si="28"/>
        <v>#VALUE!</v>
      </c>
      <c r="L194" t="str">
        <f t="shared" si="29"/>
        <v/>
      </c>
    </row>
    <row r="195" spans="1:12" ht="30" customHeight="1">
      <c r="A195" s="9"/>
      <c r="B195" s="5" t="str">
        <f>IF(A195="","",IF(COUNTIF(Catalogo!$A$5:$A$905,A195)=0,"SKU no encontrado",INDEX(Catalogo!$B$5:$B$905,MATCH(A195,Catalogo!$A$5:$A$905,0))))</f>
        <v/>
      </c>
      <c r="C195" t="str">
        <f>IF(OR(A195="",B195="SKU no encontrado"),"",INDEX(Catalogo!$C$5:$C$905,MATCH(A195,Catalogo!$A$5:$A$905,0)))</f>
        <v/>
      </c>
      <c r="D195" s="10"/>
      <c r="E195" s="11"/>
      <c r="F195" s="12"/>
      <c r="G195" s="6" t="str">
        <f>IF(OR(A195="",B195="SKU no encontrado"),"",IF(INDEX(Catalogo!$H$5:$H$905,MATCH(A195,Catalogo!$A$5:$A$905,0))=0,"",INDEX(Catalogo!$H$5:$H$905,MATCH(A195,Catalogo!$A$5:$A$905,0))))</f>
        <v/>
      </c>
      <c r="H195" s="13" t="e">
        <f t="shared" si="25"/>
        <v>#VALUE!</v>
      </c>
      <c r="I195" s="6" t="e">
        <f t="shared" si="26"/>
        <v>#VALUE!</v>
      </c>
      <c r="J195" s="6" t="e">
        <f t="shared" si="27"/>
        <v>#VALUE!</v>
      </c>
      <c r="K195" s="6" t="e">
        <f t="shared" si="28"/>
        <v>#VALUE!</v>
      </c>
      <c r="L195" t="str">
        <f t="shared" si="29"/>
        <v/>
      </c>
    </row>
    <row r="196" spans="1:12" ht="30" customHeight="1">
      <c r="A196" s="9"/>
      <c r="B196" s="5" t="str">
        <f>IF(A196="","",IF(COUNTIF(Catalogo!$A$5:$A$905,A196)=0,"SKU no encontrado",INDEX(Catalogo!$B$5:$B$905,MATCH(A196,Catalogo!$A$5:$A$905,0))))</f>
        <v/>
      </c>
      <c r="C196" t="str">
        <f>IF(OR(A196="",B196="SKU no encontrado"),"",INDEX(Catalogo!$C$5:$C$905,MATCH(A196,Catalogo!$A$5:$A$905,0)))</f>
        <v/>
      </c>
      <c r="D196" s="10"/>
      <c r="E196" s="11"/>
      <c r="F196" s="12"/>
      <c r="G196" s="6" t="str">
        <f>IF(OR(A196="",B196="SKU no encontrado"),"",IF(INDEX(Catalogo!$H$5:$H$905,MATCH(A196,Catalogo!$A$5:$A$905,0))=0,"",INDEX(Catalogo!$H$5:$H$905,MATCH(A196,Catalogo!$A$5:$A$905,0))))</f>
        <v/>
      </c>
      <c r="H196" s="13" t="e">
        <f t="shared" si="25"/>
        <v>#VALUE!</v>
      </c>
      <c r="I196" s="6" t="e">
        <f t="shared" si="26"/>
        <v>#VALUE!</v>
      </c>
      <c r="J196" s="6" t="e">
        <f t="shared" si="27"/>
        <v>#VALUE!</v>
      </c>
      <c r="K196" s="6" t="e">
        <f t="shared" si="28"/>
        <v>#VALUE!</v>
      </c>
      <c r="L196" t="str">
        <f t="shared" si="29"/>
        <v/>
      </c>
    </row>
    <row r="197" spans="1:12" ht="30" customHeight="1">
      <c r="A197" s="9"/>
      <c r="B197" s="5" t="str">
        <f>IF(A197="","",IF(COUNTIF(Catalogo!$A$5:$A$905,A197)=0,"SKU no encontrado",INDEX(Catalogo!$B$5:$B$905,MATCH(A197,Catalogo!$A$5:$A$905,0))))</f>
        <v/>
      </c>
      <c r="C197" t="str">
        <f>IF(OR(A197="",B197="SKU no encontrado"),"",INDEX(Catalogo!$C$5:$C$905,MATCH(A197,Catalogo!$A$5:$A$905,0)))</f>
        <v/>
      </c>
      <c r="D197" s="10"/>
      <c r="E197" s="11"/>
      <c r="F197" s="12"/>
      <c r="G197" s="6" t="str">
        <f>IF(OR(A197="",B197="SKU no encontrado"),"",IF(INDEX(Catalogo!$H$5:$H$905,MATCH(A197,Catalogo!$A$5:$A$905,0))=0,"",INDEX(Catalogo!$H$5:$H$905,MATCH(A197,Catalogo!$A$5:$A$905,0))))</f>
        <v/>
      </c>
      <c r="H197" s="13" t="e">
        <f t="shared" ref="H197:H228" si="30">IF(OR(G197="",F197="",F197&lt;0,C197&lt;=0,F197*C197&gt;G197),"",1-F197*C197/G197)</f>
        <v>#VALUE!</v>
      </c>
      <c r="I197" s="6" t="e">
        <f t="shared" ref="I197:I228" si="31">IF(H197="","",G197-F197*C197)</f>
        <v>#VALUE!</v>
      </c>
      <c r="J197" s="6" t="e">
        <f t="shared" ref="J197:J228" si="32">IF(OR(I197="",E197="",E197&lt;=0),"",I197*E197)</f>
        <v>#VALUE!</v>
      </c>
      <c r="K197" s="6" t="e">
        <f t="shared" ref="K197:K204" si="33">IF(OR(H197="",C197&lt;=0),"",F197*C197)</f>
        <v>#VALUE!</v>
      </c>
      <c r="L197" t="str">
        <f t="shared" ref="L197:L204" si="34">IF(A197="","",IF(B197="SKU no encontrado",B197,IF(G197="","Sin precio válido",IF(F197="","Completar precio deseado",IF(OR(F197&lt;0,C197&lt;=0,F197*C197&gt;G197),"Revisar precio deseado",IF(OR(E197="",E197&lt;=0),"Completar bultos","Estimado proporcional"))))))</f>
        <v/>
      </c>
    </row>
    <row r="198" spans="1:12" ht="30" customHeight="1">
      <c r="A198" s="9"/>
      <c r="B198" s="5" t="str">
        <f>IF(A198="","",IF(COUNTIF(Catalogo!$A$5:$A$905,A198)=0,"SKU no encontrado",INDEX(Catalogo!$B$5:$B$905,MATCH(A198,Catalogo!$A$5:$A$905,0))))</f>
        <v/>
      </c>
      <c r="C198" t="str">
        <f>IF(OR(A198="",B198="SKU no encontrado"),"",INDEX(Catalogo!$C$5:$C$905,MATCH(A198,Catalogo!$A$5:$A$905,0)))</f>
        <v/>
      </c>
      <c r="D198" s="10"/>
      <c r="E198" s="11"/>
      <c r="F198" s="12"/>
      <c r="G198" s="6" t="str">
        <f>IF(OR(A198="",B198="SKU no encontrado"),"",IF(INDEX(Catalogo!$H$5:$H$905,MATCH(A198,Catalogo!$A$5:$A$905,0))=0,"",INDEX(Catalogo!$H$5:$H$905,MATCH(A198,Catalogo!$A$5:$A$905,0))))</f>
        <v/>
      </c>
      <c r="H198" s="13" t="e">
        <f t="shared" si="30"/>
        <v>#VALUE!</v>
      </c>
      <c r="I198" s="6" t="e">
        <f t="shared" si="31"/>
        <v>#VALUE!</v>
      </c>
      <c r="J198" s="6" t="e">
        <f t="shared" si="32"/>
        <v>#VALUE!</v>
      </c>
      <c r="K198" s="6" t="e">
        <f t="shared" si="33"/>
        <v>#VALUE!</v>
      </c>
      <c r="L198" t="str">
        <f t="shared" si="34"/>
        <v/>
      </c>
    </row>
    <row r="199" spans="1:12" ht="30" customHeight="1">
      <c r="A199" s="9"/>
      <c r="B199" s="5" t="str">
        <f>IF(A199="","",IF(COUNTIF(Catalogo!$A$5:$A$905,A199)=0,"SKU no encontrado",INDEX(Catalogo!$B$5:$B$905,MATCH(A199,Catalogo!$A$5:$A$905,0))))</f>
        <v/>
      </c>
      <c r="C199" t="str">
        <f>IF(OR(A199="",B199="SKU no encontrado"),"",INDEX(Catalogo!$C$5:$C$905,MATCH(A199,Catalogo!$A$5:$A$905,0)))</f>
        <v/>
      </c>
      <c r="D199" s="10"/>
      <c r="E199" s="11"/>
      <c r="F199" s="12"/>
      <c r="G199" s="6" t="str">
        <f>IF(OR(A199="",B199="SKU no encontrado"),"",IF(INDEX(Catalogo!$H$5:$H$905,MATCH(A199,Catalogo!$A$5:$A$905,0))=0,"",INDEX(Catalogo!$H$5:$H$905,MATCH(A199,Catalogo!$A$5:$A$905,0))))</f>
        <v/>
      </c>
      <c r="H199" s="13" t="e">
        <f t="shared" si="30"/>
        <v>#VALUE!</v>
      </c>
      <c r="I199" s="6" t="e">
        <f t="shared" si="31"/>
        <v>#VALUE!</v>
      </c>
      <c r="J199" s="6" t="e">
        <f t="shared" si="32"/>
        <v>#VALUE!</v>
      </c>
      <c r="K199" s="6" t="e">
        <f t="shared" si="33"/>
        <v>#VALUE!</v>
      </c>
      <c r="L199" t="str">
        <f t="shared" si="34"/>
        <v/>
      </c>
    </row>
    <row r="200" spans="1:12" ht="30" customHeight="1">
      <c r="A200" s="9"/>
      <c r="B200" s="5" t="str">
        <f>IF(A200="","",IF(COUNTIF(Catalogo!$A$5:$A$905,A200)=0,"SKU no encontrado",INDEX(Catalogo!$B$5:$B$905,MATCH(A200,Catalogo!$A$5:$A$905,0))))</f>
        <v/>
      </c>
      <c r="C200" t="str">
        <f>IF(OR(A200="",B200="SKU no encontrado"),"",INDEX(Catalogo!$C$5:$C$905,MATCH(A200,Catalogo!$A$5:$A$905,0)))</f>
        <v/>
      </c>
      <c r="D200" s="10"/>
      <c r="E200" s="11"/>
      <c r="F200" s="12"/>
      <c r="G200" s="6" t="str">
        <f>IF(OR(A200="",B200="SKU no encontrado"),"",IF(INDEX(Catalogo!$H$5:$H$905,MATCH(A200,Catalogo!$A$5:$A$905,0))=0,"",INDEX(Catalogo!$H$5:$H$905,MATCH(A200,Catalogo!$A$5:$A$905,0))))</f>
        <v/>
      </c>
      <c r="H200" s="13" t="e">
        <f t="shared" si="30"/>
        <v>#VALUE!</v>
      </c>
      <c r="I200" s="6" t="e">
        <f t="shared" si="31"/>
        <v>#VALUE!</v>
      </c>
      <c r="J200" s="6" t="e">
        <f t="shared" si="32"/>
        <v>#VALUE!</v>
      </c>
      <c r="K200" s="6" t="e">
        <f t="shared" si="33"/>
        <v>#VALUE!</v>
      </c>
      <c r="L200" t="str">
        <f t="shared" si="34"/>
        <v/>
      </c>
    </row>
    <row r="201" spans="1:12" ht="30" customHeight="1">
      <c r="A201" s="9"/>
      <c r="B201" s="5" t="str">
        <f>IF(A201="","",IF(COUNTIF(Catalogo!$A$5:$A$905,A201)=0,"SKU no encontrado",INDEX(Catalogo!$B$5:$B$905,MATCH(A201,Catalogo!$A$5:$A$905,0))))</f>
        <v/>
      </c>
      <c r="C201" t="str">
        <f>IF(OR(A201="",B201="SKU no encontrado"),"",INDEX(Catalogo!$C$5:$C$905,MATCH(A201,Catalogo!$A$5:$A$905,0)))</f>
        <v/>
      </c>
      <c r="D201" s="10"/>
      <c r="E201" s="11"/>
      <c r="F201" s="12"/>
      <c r="G201" s="6" t="str">
        <f>IF(OR(A201="",B201="SKU no encontrado"),"",IF(INDEX(Catalogo!$H$5:$H$905,MATCH(A201,Catalogo!$A$5:$A$905,0))=0,"",INDEX(Catalogo!$H$5:$H$905,MATCH(A201,Catalogo!$A$5:$A$905,0))))</f>
        <v/>
      </c>
      <c r="H201" s="13" t="e">
        <f t="shared" si="30"/>
        <v>#VALUE!</v>
      </c>
      <c r="I201" s="6" t="e">
        <f t="shared" si="31"/>
        <v>#VALUE!</v>
      </c>
      <c r="J201" s="6" t="e">
        <f t="shared" si="32"/>
        <v>#VALUE!</v>
      </c>
      <c r="K201" s="6" t="e">
        <f t="shared" si="33"/>
        <v>#VALUE!</v>
      </c>
      <c r="L201" t="str">
        <f t="shared" si="34"/>
        <v/>
      </c>
    </row>
    <row r="202" spans="1:12" ht="30" customHeight="1">
      <c r="A202" s="9"/>
      <c r="B202" s="5" t="str">
        <f>IF(A202="","",IF(COUNTIF(Catalogo!$A$5:$A$905,A202)=0,"SKU no encontrado",INDEX(Catalogo!$B$5:$B$905,MATCH(A202,Catalogo!$A$5:$A$905,0))))</f>
        <v/>
      </c>
      <c r="C202" t="str">
        <f>IF(OR(A202="",B202="SKU no encontrado"),"",INDEX(Catalogo!$C$5:$C$905,MATCH(A202,Catalogo!$A$5:$A$905,0)))</f>
        <v/>
      </c>
      <c r="D202" s="10"/>
      <c r="E202" s="11"/>
      <c r="F202" s="12"/>
      <c r="G202" s="6" t="str">
        <f>IF(OR(A202="",B202="SKU no encontrado"),"",IF(INDEX(Catalogo!$H$5:$H$905,MATCH(A202,Catalogo!$A$5:$A$905,0))=0,"",INDEX(Catalogo!$H$5:$H$905,MATCH(A202,Catalogo!$A$5:$A$905,0))))</f>
        <v/>
      </c>
      <c r="H202" s="13" t="e">
        <f t="shared" si="30"/>
        <v>#VALUE!</v>
      </c>
      <c r="I202" s="6" t="e">
        <f t="shared" si="31"/>
        <v>#VALUE!</v>
      </c>
      <c r="J202" s="6" t="e">
        <f t="shared" si="32"/>
        <v>#VALUE!</v>
      </c>
      <c r="K202" s="6" t="e">
        <f t="shared" si="33"/>
        <v>#VALUE!</v>
      </c>
      <c r="L202" t="str">
        <f t="shared" si="34"/>
        <v/>
      </c>
    </row>
    <row r="203" spans="1:12" ht="30" customHeight="1">
      <c r="A203" s="9"/>
      <c r="B203" s="5" t="str">
        <f>IF(A203="","",IF(COUNTIF(Catalogo!$A$5:$A$905,A203)=0,"SKU no encontrado",INDEX(Catalogo!$B$5:$B$905,MATCH(A203,Catalogo!$A$5:$A$905,0))))</f>
        <v/>
      </c>
      <c r="C203" t="str">
        <f>IF(OR(A203="",B203="SKU no encontrado"),"",INDEX(Catalogo!$C$5:$C$905,MATCH(A203,Catalogo!$A$5:$A$905,0)))</f>
        <v/>
      </c>
      <c r="D203" s="10"/>
      <c r="E203" s="11"/>
      <c r="F203" s="12"/>
      <c r="G203" s="6" t="str">
        <f>IF(OR(A203="",B203="SKU no encontrado"),"",IF(INDEX(Catalogo!$H$5:$H$905,MATCH(A203,Catalogo!$A$5:$A$905,0))=0,"",INDEX(Catalogo!$H$5:$H$905,MATCH(A203,Catalogo!$A$5:$A$905,0))))</f>
        <v/>
      </c>
      <c r="H203" s="13" t="e">
        <f t="shared" si="30"/>
        <v>#VALUE!</v>
      </c>
      <c r="I203" s="6" t="e">
        <f t="shared" si="31"/>
        <v>#VALUE!</v>
      </c>
      <c r="J203" s="6" t="e">
        <f t="shared" si="32"/>
        <v>#VALUE!</v>
      </c>
      <c r="K203" s="6" t="e">
        <f t="shared" si="33"/>
        <v>#VALUE!</v>
      </c>
      <c r="L203" t="str">
        <f t="shared" si="34"/>
        <v/>
      </c>
    </row>
    <row r="204" spans="1:12" ht="30" customHeight="1">
      <c r="A204" s="9"/>
      <c r="B204" s="5" t="str">
        <f>IF(A204="","",IF(COUNTIF(Catalogo!$A$5:$A$905,A204)=0,"SKU no encontrado",INDEX(Catalogo!$B$5:$B$905,MATCH(A204,Catalogo!$A$5:$A$905,0))))</f>
        <v/>
      </c>
      <c r="C204" t="str">
        <f>IF(OR(A204="",B204="SKU no encontrado"),"",INDEX(Catalogo!$C$5:$C$905,MATCH(A204,Catalogo!$A$5:$A$905,0)))</f>
        <v/>
      </c>
      <c r="D204" s="10"/>
      <c r="E204" s="11"/>
      <c r="F204" s="12"/>
      <c r="G204" s="6" t="str">
        <f>IF(OR(A204="",B204="SKU no encontrado"),"",IF(INDEX(Catalogo!$H$5:$H$905,MATCH(A204,Catalogo!$A$5:$A$905,0))=0,"",INDEX(Catalogo!$H$5:$H$905,MATCH(A204,Catalogo!$A$5:$A$905,0))))</f>
        <v/>
      </c>
      <c r="H204" s="13" t="e">
        <f t="shared" si="30"/>
        <v>#VALUE!</v>
      </c>
      <c r="I204" s="6" t="e">
        <f t="shared" si="31"/>
        <v>#VALUE!</v>
      </c>
      <c r="J204" s="6" t="e">
        <f t="shared" si="32"/>
        <v>#VALUE!</v>
      </c>
      <c r="K204" s="6" t="e">
        <f t="shared" si="33"/>
        <v>#VALUE!</v>
      </c>
      <c r="L204" t="str">
        <f t="shared" si="34"/>
        <v/>
      </c>
    </row>
    <row r="205" spans="1:12" ht="30" customHeight="1">
      <c r="B205" s="5"/>
    </row>
    <row r="206" spans="1:12" ht="30" customHeight="1">
      <c r="B206" s="5"/>
    </row>
    <row r="207" spans="1:12" ht="30" customHeight="1">
      <c r="B207" s="5"/>
      <c r="I207" s="15" t="s">
        <v>65</v>
      </c>
      <c r="J207" s="16" t="e">
        <f>SUM(J5:J204)</f>
        <v>#VALUE!</v>
      </c>
    </row>
    <row r="208" spans="1:12" ht="30" customHeight="1">
      <c r="B208" s="5"/>
    </row>
    <row r="209" spans="2:2" ht="30" customHeight="1">
      <c r="B209" s="5"/>
    </row>
    <row r="210" spans="2:2" ht="30" customHeight="1">
      <c r="B210" s="5"/>
    </row>
    <row r="211" spans="2:2" ht="30" customHeight="1">
      <c r="B211" s="5"/>
    </row>
    <row r="212" spans="2:2" ht="30" customHeight="1">
      <c r="B212" s="5"/>
    </row>
    <row r="213" spans="2:2" ht="30" customHeight="1">
      <c r="B213" s="5"/>
    </row>
    <row r="214" spans="2:2" ht="30" customHeight="1">
      <c r="B214" s="5"/>
    </row>
    <row r="215" spans="2:2" ht="30" customHeight="1">
      <c r="B215" s="5"/>
    </row>
    <row r="216" spans="2:2" ht="30" customHeight="1">
      <c r="B216" s="5"/>
    </row>
    <row r="217" spans="2:2" ht="30" customHeight="1">
      <c r="B217" s="5"/>
    </row>
    <row r="218" spans="2:2" ht="30" customHeight="1">
      <c r="B218" s="5"/>
    </row>
    <row r="219" spans="2:2" ht="30" customHeight="1">
      <c r="B219" s="5"/>
    </row>
    <row r="220" spans="2:2" ht="30" customHeight="1">
      <c r="B220" s="5"/>
    </row>
    <row r="221" spans="2:2" ht="30" customHeight="1">
      <c r="B221" s="5"/>
    </row>
    <row r="222" spans="2:2" ht="30" customHeight="1">
      <c r="B222" s="5"/>
    </row>
    <row r="223" spans="2:2" ht="30" customHeight="1">
      <c r="B223" s="5"/>
    </row>
    <row r="224" spans="2:2" ht="30" customHeight="1">
      <c r="B224" s="5"/>
    </row>
    <row r="225" spans="2:2" ht="30" customHeight="1">
      <c r="B225" s="5"/>
    </row>
    <row r="226" spans="2:2" ht="30" customHeight="1">
      <c r="B226" s="5"/>
    </row>
    <row r="227" spans="2:2" ht="30" customHeight="1">
      <c r="B227" s="5"/>
    </row>
    <row r="228" spans="2:2" ht="30" customHeight="1">
      <c r="B228" s="5"/>
    </row>
    <row r="229" spans="2:2" ht="30" customHeight="1">
      <c r="B229" s="5"/>
    </row>
    <row r="230" spans="2:2" ht="30" customHeight="1">
      <c r="B230" s="5"/>
    </row>
    <row r="231" spans="2:2" ht="30" customHeight="1">
      <c r="B231" s="5"/>
    </row>
    <row r="232" spans="2:2" ht="30" customHeight="1">
      <c r="B232" s="5"/>
    </row>
    <row r="233" spans="2:2" ht="30" customHeight="1">
      <c r="B233" s="5"/>
    </row>
    <row r="234" spans="2:2" ht="30" customHeight="1">
      <c r="B234" s="5"/>
    </row>
    <row r="235" spans="2:2" ht="30" customHeight="1">
      <c r="B235" s="5"/>
    </row>
    <row r="236" spans="2:2" ht="30" customHeight="1">
      <c r="B236" s="5"/>
    </row>
    <row r="237" spans="2:2" ht="30" customHeight="1">
      <c r="B237" s="5"/>
    </row>
    <row r="238" spans="2:2" ht="30" customHeight="1">
      <c r="B238" s="5"/>
    </row>
    <row r="239" spans="2:2" ht="30" customHeight="1">
      <c r="B239" s="5"/>
    </row>
    <row r="240" spans="2:2" ht="30" customHeight="1">
      <c r="B240" s="5"/>
    </row>
    <row r="241" spans="2:2" ht="30" customHeight="1">
      <c r="B241" s="5"/>
    </row>
    <row r="242" spans="2:2" ht="30" customHeight="1">
      <c r="B242" s="5"/>
    </row>
    <row r="243" spans="2:2" ht="30" customHeight="1">
      <c r="B243" s="5"/>
    </row>
    <row r="244" spans="2:2" ht="30" customHeight="1">
      <c r="B244" s="5"/>
    </row>
    <row r="245" spans="2:2" ht="30" customHeight="1">
      <c r="B245" s="5"/>
    </row>
    <row r="246" spans="2:2" ht="30" customHeight="1">
      <c r="B246" s="5"/>
    </row>
    <row r="247" spans="2:2" ht="30" customHeight="1">
      <c r="B247" s="5"/>
    </row>
    <row r="248" spans="2:2" ht="30" customHeight="1">
      <c r="B248" s="5"/>
    </row>
    <row r="249" spans="2:2" ht="30" customHeight="1">
      <c r="B249" s="5"/>
    </row>
    <row r="250" spans="2:2" ht="30" customHeight="1">
      <c r="B250" s="5"/>
    </row>
    <row r="251" spans="2:2" ht="30" customHeight="1">
      <c r="B251" s="5"/>
    </row>
    <row r="252" spans="2:2" ht="30" customHeight="1">
      <c r="B252" s="5"/>
    </row>
    <row r="253" spans="2:2" ht="30" customHeight="1">
      <c r="B253" s="5"/>
    </row>
    <row r="254" spans="2:2" ht="30" customHeight="1">
      <c r="B254" s="5"/>
    </row>
    <row r="255" spans="2:2" ht="30" customHeight="1">
      <c r="B255" s="5"/>
    </row>
    <row r="256" spans="2:2" ht="30" customHeight="1">
      <c r="B256" s="5"/>
    </row>
    <row r="257" spans="2:2" ht="30" customHeight="1">
      <c r="B257" s="5"/>
    </row>
    <row r="258" spans="2:2" ht="30" customHeight="1">
      <c r="B258" s="5"/>
    </row>
    <row r="259" spans="2:2" ht="30" customHeight="1">
      <c r="B259" s="5"/>
    </row>
    <row r="260" spans="2:2" ht="30" customHeight="1">
      <c r="B260" s="5"/>
    </row>
    <row r="261" spans="2:2" ht="30" customHeight="1">
      <c r="B261" s="5"/>
    </row>
    <row r="262" spans="2:2" ht="30" customHeight="1">
      <c r="B262" s="5"/>
    </row>
    <row r="263" spans="2:2" ht="30" customHeight="1">
      <c r="B263" s="5"/>
    </row>
    <row r="264" spans="2:2" ht="30" customHeight="1">
      <c r="B264" s="5"/>
    </row>
    <row r="265" spans="2:2" ht="30" customHeight="1">
      <c r="B265" s="5"/>
    </row>
    <row r="266" spans="2:2" ht="30" customHeight="1">
      <c r="B266" s="5"/>
    </row>
    <row r="267" spans="2:2" ht="30" customHeight="1">
      <c r="B267" s="5"/>
    </row>
    <row r="268" spans="2:2" ht="30" customHeight="1">
      <c r="B268" s="5"/>
    </row>
    <row r="269" spans="2:2" ht="30" customHeight="1">
      <c r="B269" s="5"/>
    </row>
    <row r="270" spans="2:2" ht="30" customHeight="1">
      <c r="B270" s="5"/>
    </row>
    <row r="271" spans="2:2" ht="30" customHeight="1">
      <c r="B271" s="5"/>
    </row>
    <row r="272" spans="2:2" ht="30" customHeight="1">
      <c r="B272" s="5"/>
    </row>
    <row r="273" spans="2:2" ht="30" customHeight="1">
      <c r="B273" s="5"/>
    </row>
    <row r="274" spans="2:2" ht="30" customHeight="1">
      <c r="B274" s="5"/>
    </row>
    <row r="275" spans="2:2" ht="30" customHeight="1">
      <c r="B275" s="5"/>
    </row>
    <row r="276" spans="2:2" ht="30" customHeight="1">
      <c r="B276" s="5"/>
    </row>
    <row r="277" spans="2:2" ht="30" customHeight="1">
      <c r="B277" s="5"/>
    </row>
    <row r="278" spans="2:2" ht="30" customHeight="1">
      <c r="B278" s="5"/>
    </row>
    <row r="279" spans="2:2" ht="30" customHeight="1">
      <c r="B279" s="5"/>
    </row>
    <row r="280" spans="2:2" ht="30" customHeight="1">
      <c r="B280" s="5"/>
    </row>
    <row r="281" spans="2:2" ht="30" customHeight="1">
      <c r="B281" s="5"/>
    </row>
    <row r="282" spans="2:2" ht="30" customHeight="1">
      <c r="B282" s="5"/>
    </row>
    <row r="283" spans="2:2" ht="30" customHeight="1">
      <c r="B283" s="5"/>
    </row>
    <row r="284" spans="2:2" ht="30" customHeight="1">
      <c r="B284" s="5"/>
    </row>
    <row r="285" spans="2:2" ht="30" customHeight="1">
      <c r="B285" s="5"/>
    </row>
    <row r="286" spans="2:2" ht="30" customHeight="1">
      <c r="B286" s="5"/>
    </row>
    <row r="287" spans="2:2" ht="30" customHeight="1">
      <c r="B287" s="5"/>
    </row>
    <row r="288" spans="2:2" ht="30" customHeight="1">
      <c r="B288" s="5"/>
    </row>
    <row r="289" spans="2:2" ht="30" customHeight="1">
      <c r="B289" s="5"/>
    </row>
    <row r="290" spans="2:2" ht="30" customHeight="1">
      <c r="B290" s="5"/>
    </row>
    <row r="291" spans="2:2" ht="30" customHeight="1">
      <c r="B291" s="5"/>
    </row>
    <row r="292" spans="2:2" ht="30" customHeight="1">
      <c r="B292" s="5"/>
    </row>
    <row r="293" spans="2:2" ht="30" customHeight="1">
      <c r="B293" s="5"/>
    </row>
    <row r="294" spans="2:2" ht="30" customHeight="1">
      <c r="B294" s="5"/>
    </row>
    <row r="295" spans="2:2" ht="30" customHeight="1">
      <c r="B295" s="5"/>
    </row>
    <row r="296" spans="2:2" ht="30" customHeight="1">
      <c r="B296" s="5"/>
    </row>
    <row r="297" spans="2:2" ht="30" customHeight="1">
      <c r="B297" s="5"/>
    </row>
    <row r="298" spans="2:2" ht="30" customHeight="1">
      <c r="B298" s="5"/>
    </row>
    <row r="299" spans="2:2" ht="30" customHeight="1">
      <c r="B299" s="5"/>
    </row>
    <row r="300" spans="2:2" ht="30" customHeight="1">
      <c r="B300" s="5"/>
    </row>
    <row r="301" spans="2:2" ht="30" customHeight="1">
      <c r="B301" s="5"/>
    </row>
    <row r="302" spans="2:2" ht="30" customHeight="1">
      <c r="B302" s="5"/>
    </row>
    <row r="303" spans="2:2" ht="30" customHeight="1">
      <c r="B303" s="5"/>
    </row>
    <row r="304" spans="2:2" ht="30" customHeight="1">
      <c r="B304" s="5"/>
    </row>
    <row r="305" spans="2:2" ht="30" customHeight="1">
      <c r="B305" s="5"/>
    </row>
    <row r="306" spans="2:2" ht="30" customHeight="1">
      <c r="B306" s="5"/>
    </row>
    <row r="307" spans="2:2" ht="30" customHeight="1">
      <c r="B307" s="5"/>
    </row>
    <row r="308" spans="2:2" ht="30" customHeight="1">
      <c r="B308" s="5"/>
    </row>
    <row r="309" spans="2:2" ht="30" customHeight="1">
      <c r="B309" s="5"/>
    </row>
    <row r="310" spans="2:2" ht="30" customHeight="1">
      <c r="B310" s="5"/>
    </row>
    <row r="311" spans="2:2" ht="30" customHeight="1">
      <c r="B311" s="5"/>
    </row>
    <row r="312" spans="2:2" ht="30" customHeight="1">
      <c r="B312" s="5"/>
    </row>
    <row r="313" spans="2:2" ht="30" customHeight="1">
      <c r="B313" s="5"/>
    </row>
    <row r="314" spans="2:2" ht="30" customHeight="1">
      <c r="B314" s="5"/>
    </row>
    <row r="315" spans="2:2" ht="30" customHeight="1">
      <c r="B315" s="5"/>
    </row>
    <row r="316" spans="2:2" ht="30" customHeight="1">
      <c r="B316" s="5"/>
    </row>
    <row r="317" spans="2:2" ht="30" customHeight="1">
      <c r="B317" s="5"/>
    </row>
    <row r="318" spans="2:2" ht="30" customHeight="1">
      <c r="B318" s="5"/>
    </row>
    <row r="319" spans="2:2" ht="30" customHeight="1">
      <c r="B319" s="5"/>
    </row>
    <row r="320" spans="2:2" ht="30" customHeight="1">
      <c r="B320" s="5"/>
    </row>
    <row r="321" spans="2:2" ht="30" customHeight="1">
      <c r="B321" s="5"/>
    </row>
    <row r="322" spans="2:2" ht="30" customHeight="1">
      <c r="B322" s="5"/>
    </row>
    <row r="323" spans="2:2" ht="30" customHeight="1">
      <c r="B323" s="5"/>
    </row>
    <row r="324" spans="2:2" ht="30" customHeight="1">
      <c r="B324" s="5"/>
    </row>
    <row r="325" spans="2:2" ht="30" customHeight="1">
      <c r="B325" s="5"/>
    </row>
    <row r="326" spans="2:2" ht="30" customHeight="1">
      <c r="B326" s="5"/>
    </row>
    <row r="327" spans="2:2" ht="30" customHeight="1">
      <c r="B327" s="5"/>
    </row>
    <row r="328" spans="2:2" ht="30" customHeight="1">
      <c r="B328" s="5"/>
    </row>
    <row r="329" spans="2:2" ht="30" customHeight="1">
      <c r="B329" s="5"/>
    </row>
    <row r="330" spans="2:2" ht="30" customHeight="1">
      <c r="B330" s="5"/>
    </row>
    <row r="331" spans="2:2" ht="30" customHeight="1">
      <c r="B331" s="5"/>
    </row>
    <row r="332" spans="2:2" ht="30" customHeight="1">
      <c r="B332" s="5"/>
    </row>
    <row r="333" spans="2:2" ht="30" customHeight="1">
      <c r="B333" s="5"/>
    </row>
    <row r="334" spans="2:2" ht="30" customHeight="1">
      <c r="B334" s="5"/>
    </row>
    <row r="335" spans="2:2" ht="30" customHeight="1">
      <c r="B335" s="5"/>
    </row>
    <row r="336" spans="2:2" ht="30" customHeight="1">
      <c r="B336" s="5"/>
    </row>
    <row r="337" spans="2:2" ht="30" customHeight="1">
      <c r="B337" s="5"/>
    </row>
    <row r="338" spans="2:2" ht="30" customHeight="1">
      <c r="B338" s="5"/>
    </row>
    <row r="339" spans="2:2" ht="30" customHeight="1">
      <c r="B339" s="5"/>
    </row>
    <row r="340" spans="2:2" ht="30" customHeight="1">
      <c r="B340" s="5"/>
    </row>
    <row r="341" spans="2:2" ht="30" customHeight="1">
      <c r="B341" s="5"/>
    </row>
    <row r="342" spans="2:2" ht="30" customHeight="1">
      <c r="B342" s="5"/>
    </row>
    <row r="343" spans="2:2" ht="30" customHeight="1">
      <c r="B343" s="5"/>
    </row>
    <row r="344" spans="2:2" ht="30" customHeight="1">
      <c r="B344" s="5"/>
    </row>
    <row r="345" spans="2:2" ht="30" customHeight="1">
      <c r="B345" s="5"/>
    </row>
    <row r="346" spans="2:2" ht="30" customHeight="1">
      <c r="B346" s="5"/>
    </row>
    <row r="347" spans="2:2" ht="30" customHeight="1">
      <c r="B347" s="5"/>
    </row>
    <row r="348" spans="2:2" ht="30" customHeight="1">
      <c r="B348" s="5"/>
    </row>
    <row r="349" spans="2:2" ht="30" customHeight="1">
      <c r="B349" s="5"/>
    </row>
    <row r="350" spans="2:2" ht="30" customHeight="1">
      <c r="B350" s="5"/>
    </row>
    <row r="351" spans="2:2" ht="30" customHeight="1">
      <c r="B351" s="5"/>
    </row>
    <row r="352" spans="2:2" ht="30" customHeight="1">
      <c r="B352" s="5"/>
    </row>
    <row r="353" spans="2:2" ht="30" customHeight="1">
      <c r="B353" s="5"/>
    </row>
    <row r="354" spans="2:2" ht="30" customHeight="1">
      <c r="B354" s="5"/>
    </row>
    <row r="355" spans="2:2" ht="30" customHeight="1">
      <c r="B355" s="5"/>
    </row>
    <row r="356" spans="2:2" ht="30" customHeight="1">
      <c r="B356" s="5"/>
    </row>
    <row r="357" spans="2:2" ht="30" customHeight="1">
      <c r="B357" s="5"/>
    </row>
    <row r="358" spans="2:2" ht="30" customHeight="1">
      <c r="B358" s="5"/>
    </row>
    <row r="359" spans="2:2" ht="30" customHeight="1">
      <c r="B359" s="5"/>
    </row>
    <row r="360" spans="2:2" ht="30" customHeight="1">
      <c r="B360" s="5"/>
    </row>
    <row r="361" spans="2:2" ht="30" customHeight="1">
      <c r="B361" s="5"/>
    </row>
    <row r="362" spans="2:2" ht="30" customHeight="1">
      <c r="B362" s="5"/>
    </row>
    <row r="363" spans="2:2" ht="30" customHeight="1">
      <c r="B363" s="5"/>
    </row>
    <row r="364" spans="2:2" ht="30" customHeight="1">
      <c r="B364" s="5"/>
    </row>
    <row r="365" spans="2:2" ht="30" customHeight="1">
      <c r="B365" s="5"/>
    </row>
    <row r="366" spans="2:2" ht="30" customHeight="1">
      <c r="B366" s="5"/>
    </row>
    <row r="367" spans="2:2" ht="30" customHeight="1">
      <c r="B367" s="5"/>
    </row>
    <row r="368" spans="2:2" ht="30" customHeight="1">
      <c r="B368" s="5"/>
    </row>
    <row r="369" spans="2:2" ht="30" customHeight="1">
      <c r="B369" s="5"/>
    </row>
    <row r="370" spans="2:2" ht="30" customHeight="1">
      <c r="B370" s="5"/>
    </row>
    <row r="371" spans="2:2" ht="30" customHeight="1">
      <c r="B371" s="5"/>
    </row>
    <row r="372" spans="2:2" ht="30" customHeight="1">
      <c r="B372" s="5"/>
    </row>
    <row r="373" spans="2:2" ht="30" customHeight="1">
      <c r="B373" s="5"/>
    </row>
    <row r="374" spans="2:2" ht="30" customHeight="1">
      <c r="B374" s="5"/>
    </row>
    <row r="375" spans="2:2" ht="30" customHeight="1">
      <c r="B375" s="5"/>
    </row>
    <row r="376" spans="2:2" ht="30" customHeight="1">
      <c r="B376" s="5"/>
    </row>
    <row r="377" spans="2:2" ht="30" customHeight="1">
      <c r="B377" s="5"/>
    </row>
    <row r="378" spans="2:2" ht="30" customHeight="1">
      <c r="B378" s="5"/>
    </row>
    <row r="379" spans="2:2" ht="30" customHeight="1">
      <c r="B379" s="5"/>
    </row>
    <row r="380" spans="2:2" ht="30" customHeight="1">
      <c r="B380" s="5"/>
    </row>
    <row r="381" spans="2:2" ht="30" customHeight="1">
      <c r="B381" s="5"/>
    </row>
    <row r="382" spans="2:2" ht="30" customHeight="1">
      <c r="B382" s="5"/>
    </row>
    <row r="383" spans="2:2" ht="30" customHeight="1">
      <c r="B383" s="5"/>
    </row>
    <row r="384" spans="2:2" ht="30" customHeight="1">
      <c r="B384" s="5"/>
    </row>
    <row r="385" spans="2:2" ht="30" customHeight="1">
      <c r="B385" s="5"/>
    </row>
    <row r="386" spans="2:2" ht="30" customHeight="1">
      <c r="B386" s="5"/>
    </row>
    <row r="387" spans="2:2" ht="30" customHeight="1">
      <c r="B387" s="5"/>
    </row>
    <row r="388" spans="2:2" ht="30" customHeight="1">
      <c r="B388" s="5"/>
    </row>
    <row r="389" spans="2:2" ht="30" customHeight="1">
      <c r="B389" s="5"/>
    </row>
    <row r="390" spans="2:2" ht="30" customHeight="1">
      <c r="B390" s="5"/>
    </row>
    <row r="391" spans="2:2" ht="30" customHeight="1">
      <c r="B391" s="5"/>
    </row>
    <row r="392" spans="2:2" ht="30" customHeight="1">
      <c r="B392" s="5"/>
    </row>
    <row r="393" spans="2:2" ht="30" customHeight="1">
      <c r="B393" s="5"/>
    </row>
    <row r="394" spans="2:2" ht="30" customHeight="1">
      <c r="B394" s="5"/>
    </row>
    <row r="395" spans="2:2" ht="30" customHeight="1">
      <c r="B395" s="5"/>
    </row>
    <row r="396" spans="2:2" ht="30" customHeight="1">
      <c r="B396" s="5"/>
    </row>
    <row r="397" spans="2:2" ht="30" customHeight="1">
      <c r="B397" s="5"/>
    </row>
    <row r="398" spans="2:2" ht="30" customHeight="1">
      <c r="B398" s="5"/>
    </row>
    <row r="399" spans="2:2" ht="30" customHeight="1">
      <c r="B399" s="5"/>
    </row>
    <row r="400" spans="2:2" ht="30" customHeight="1">
      <c r="B400" s="5"/>
    </row>
    <row r="401" spans="2:2" ht="30" customHeight="1">
      <c r="B401" s="5"/>
    </row>
    <row r="402" spans="2:2" ht="30" customHeight="1">
      <c r="B402" s="5"/>
    </row>
    <row r="403" spans="2:2" ht="30" customHeight="1">
      <c r="B403" s="5"/>
    </row>
    <row r="404" spans="2:2" ht="30" customHeight="1">
      <c r="B404" s="5"/>
    </row>
    <row r="405" spans="2:2" ht="30" customHeight="1">
      <c r="B405" s="5"/>
    </row>
    <row r="406" spans="2:2" ht="30" customHeight="1">
      <c r="B406" s="5"/>
    </row>
    <row r="407" spans="2:2" ht="30" customHeight="1">
      <c r="B407" s="5"/>
    </row>
    <row r="408" spans="2:2" ht="30" customHeight="1">
      <c r="B408" s="5"/>
    </row>
    <row r="409" spans="2:2" ht="30" customHeight="1">
      <c r="B409" s="5"/>
    </row>
    <row r="410" spans="2:2" ht="30" customHeight="1">
      <c r="B410" s="5"/>
    </row>
    <row r="411" spans="2:2" ht="30" customHeight="1">
      <c r="B411" s="5"/>
    </row>
    <row r="412" spans="2:2" ht="30" customHeight="1">
      <c r="B412" s="5"/>
    </row>
    <row r="413" spans="2:2" ht="30" customHeight="1">
      <c r="B413" s="5"/>
    </row>
    <row r="414" spans="2:2" ht="30" customHeight="1">
      <c r="B414" s="5"/>
    </row>
    <row r="415" spans="2:2" ht="30" customHeight="1">
      <c r="B415" s="5"/>
    </row>
    <row r="416" spans="2:2" ht="30" customHeight="1">
      <c r="B416" s="5"/>
    </row>
    <row r="417" spans="2:2" ht="30" customHeight="1">
      <c r="B417" s="5"/>
    </row>
    <row r="418" spans="2:2" ht="30" customHeight="1">
      <c r="B418" s="5"/>
    </row>
    <row r="419" spans="2:2" ht="30" customHeight="1">
      <c r="B419" s="5"/>
    </row>
    <row r="420" spans="2:2" ht="30" customHeight="1">
      <c r="B420" s="5"/>
    </row>
    <row r="421" spans="2:2" ht="30" customHeight="1">
      <c r="B421" s="5"/>
    </row>
    <row r="422" spans="2:2" ht="30" customHeight="1">
      <c r="B422" s="5"/>
    </row>
    <row r="423" spans="2:2" ht="30" customHeight="1">
      <c r="B423" s="5"/>
    </row>
    <row r="424" spans="2:2" ht="30" customHeight="1">
      <c r="B424" s="5"/>
    </row>
    <row r="425" spans="2:2" ht="30" customHeight="1">
      <c r="B425" s="5"/>
    </row>
    <row r="426" spans="2:2" ht="30" customHeight="1">
      <c r="B426" s="5"/>
    </row>
    <row r="427" spans="2:2" ht="30" customHeight="1">
      <c r="B427" s="5"/>
    </row>
    <row r="428" spans="2:2" ht="30" customHeight="1">
      <c r="B428" s="5"/>
    </row>
    <row r="429" spans="2:2" ht="30" customHeight="1">
      <c r="B429" s="5"/>
    </row>
    <row r="430" spans="2:2" ht="30" customHeight="1">
      <c r="B430" s="5"/>
    </row>
    <row r="431" spans="2:2" ht="30" customHeight="1">
      <c r="B431" s="5"/>
    </row>
    <row r="432" spans="2:2" ht="30" customHeight="1">
      <c r="B432" s="5"/>
    </row>
    <row r="433" spans="2:2" ht="30" customHeight="1">
      <c r="B433" s="5"/>
    </row>
    <row r="434" spans="2:2" ht="30" customHeight="1">
      <c r="B434" s="5"/>
    </row>
    <row r="435" spans="2:2" ht="30" customHeight="1">
      <c r="B435" s="5"/>
    </row>
    <row r="436" spans="2:2" ht="30" customHeight="1">
      <c r="B436" s="5"/>
    </row>
    <row r="437" spans="2:2" ht="30" customHeight="1">
      <c r="B437" s="5"/>
    </row>
    <row r="438" spans="2:2" ht="30" customHeight="1">
      <c r="B438" s="5"/>
    </row>
    <row r="439" spans="2:2" ht="30" customHeight="1">
      <c r="B439" s="5"/>
    </row>
    <row r="440" spans="2:2" ht="30" customHeight="1">
      <c r="B440" s="5"/>
    </row>
    <row r="441" spans="2:2" ht="30" customHeight="1">
      <c r="B441" s="5"/>
    </row>
    <row r="442" spans="2:2" ht="30" customHeight="1">
      <c r="B442" s="5"/>
    </row>
    <row r="443" spans="2:2" ht="30" customHeight="1">
      <c r="B443" s="5"/>
    </row>
    <row r="444" spans="2:2" ht="30" customHeight="1">
      <c r="B444" s="5"/>
    </row>
    <row r="445" spans="2:2" ht="30" customHeight="1">
      <c r="B445" s="5"/>
    </row>
    <row r="446" spans="2:2" ht="30" customHeight="1">
      <c r="B446" s="5"/>
    </row>
    <row r="447" spans="2:2" ht="30" customHeight="1">
      <c r="B447" s="5"/>
    </row>
    <row r="448" spans="2:2" ht="30" customHeight="1">
      <c r="B448" s="5"/>
    </row>
    <row r="449" spans="2:2" ht="30" customHeight="1">
      <c r="B449" s="5"/>
    </row>
    <row r="450" spans="2:2" ht="30" customHeight="1">
      <c r="B450" s="5"/>
    </row>
    <row r="451" spans="2:2" ht="30" customHeight="1">
      <c r="B451" s="5"/>
    </row>
    <row r="452" spans="2:2" ht="30" customHeight="1">
      <c r="B452" s="5"/>
    </row>
    <row r="453" spans="2:2" ht="30" customHeight="1">
      <c r="B453" s="5"/>
    </row>
    <row r="454" spans="2:2" ht="30" customHeight="1">
      <c r="B454" s="5"/>
    </row>
    <row r="455" spans="2:2" ht="30" customHeight="1">
      <c r="B455" s="5"/>
    </row>
    <row r="456" spans="2:2" ht="30" customHeight="1">
      <c r="B456" s="5"/>
    </row>
    <row r="457" spans="2:2" ht="30" customHeight="1">
      <c r="B457" s="5"/>
    </row>
    <row r="458" spans="2:2" ht="30" customHeight="1">
      <c r="B458" s="5"/>
    </row>
    <row r="459" spans="2:2" ht="30" customHeight="1">
      <c r="B459" s="5"/>
    </row>
    <row r="460" spans="2:2" ht="30" customHeight="1">
      <c r="B460" s="5"/>
    </row>
    <row r="461" spans="2:2" ht="30" customHeight="1">
      <c r="B461" s="5"/>
    </row>
    <row r="462" spans="2:2" ht="30" customHeight="1">
      <c r="B462" s="5"/>
    </row>
    <row r="463" spans="2:2" ht="30" customHeight="1">
      <c r="B463" s="5"/>
    </row>
    <row r="464" spans="2:2" ht="30" customHeight="1">
      <c r="B464" s="5"/>
    </row>
    <row r="465" spans="2:2" ht="30" customHeight="1">
      <c r="B465" s="5"/>
    </row>
    <row r="466" spans="2:2" ht="30" customHeight="1">
      <c r="B466" s="5"/>
    </row>
    <row r="467" spans="2:2" ht="30" customHeight="1">
      <c r="B467" s="5"/>
    </row>
    <row r="468" spans="2:2" ht="30" customHeight="1">
      <c r="B468" s="5"/>
    </row>
    <row r="469" spans="2:2" ht="30" customHeight="1">
      <c r="B469" s="5"/>
    </row>
    <row r="470" spans="2:2" ht="30" customHeight="1">
      <c r="B470" s="5"/>
    </row>
    <row r="471" spans="2:2" ht="30" customHeight="1">
      <c r="B471" s="5"/>
    </row>
    <row r="472" spans="2:2" ht="30" customHeight="1">
      <c r="B472" s="5"/>
    </row>
    <row r="473" spans="2:2" ht="30" customHeight="1">
      <c r="B473" s="5"/>
    </row>
    <row r="474" spans="2:2" ht="30" customHeight="1">
      <c r="B474" s="5"/>
    </row>
    <row r="475" spans="2:2" ht="30" customHeight="1">
      <c r="B475" s="5"/>
    </row>
    <row r="476" spans="2:2" ht="30" customHeight="1">
      <c r="B476" s="5"/>
    </row>
    <row r="477" spans="2:2" ht="30" customHeight="1">
      <c r="B477" s="5"/>
    </row>
    <row r="478" spans="2:2" ht="30" customHeight="1">
      <c r="B478" s="5"/>
    </row>
    <row r="479" spans="2:2" ht="30" customHeight="1">
      <c r="B479" s="5"/>
    </row>
    <row r="480" spans="2:2" ht="30" customHeight="1">
      <c r="B480" s="5"/>
    </row>
    <row r="481" spans="2:2" ht="30" customHeight="1">
      <c r="B481" s="5"/>
    </row>
    <row r="482" spans="2:2" ht="30" customHeight="1">
      <c r="B482" s="5"/>
    </row>
    <row r="483" spans="2:2" ht="30" customHeight="1">
      <c r="B483" s="5"/>
    </row>
    <row r="484" spans="2:2" ht="30" customHeight="1">
      <c r="B484" s="5"/>
    </row>
    <row r="485" spans="2:2" ht="30" customHeight="1">
      <c r="B485" s="5"/>
    </row>
    <row r="486" spans="2:2" ht="30" customHeight="1">
      <c r="B486" s="5"/>
    </row>
    <row r="487" spans="2:2" ht="30" customHeight="1">
      <c r="B487" s="5"/>
    </row>
    <row r="488" spans="2:2" ht="30" customHeight="1">
      <c r="B488" s="5"/>
    </row>
    <row r="489" spans="2:2" ht="30" customHeight="1">
      <c r="B489" s="5"/>
    </row>
    <row r="490" spans="2:2" ht="30" customHeight="1">
      <c r="B490" s="5"/>
    </row>
    <row r="491" spans="2:2" ht="30" customHeight="1">
      <c r="B491" s="5"/>
    </row>
    <row r="492" spans="2:2" ht="30" customHeight="1">
      <c r="B492" s="5"/>
    </row>
    <row r="493" spans="2:2" ht="30" customHeight="1">
      <c r="B493" s="5"/>
    </row>
    <row r="494" spans="2:2" ht="30" customHeight="1">
      <c r="B494" s="5"/>
    </row>
    <row r="495" spans="2:2" ht="30" customHeight="1">
      <c r="B495" s="5"/>
    </row>
    <row r="496" spans="2:2" ht="30" customHeight="1">
      <c r="B496" s="5"/>
    </row>
    <row r="497" spans="2:2" ht="30" customHeight="1">
      <c r="B497" s="5"/>
    </row>
    <row r="498" spans="2:2" ht="30" customHeight="1">
      <c r="B498" s="5"/>
    </row>
    <row r="499" spans="2:2" ht="30" customHeight="1">
      <c r="B499" s="5"/>
    </row>
    <row r="500" spans="2:2" ht="30" customHeight="1">
      <c r="B500" s="5"/>
    </row>
    <row r="501" spans="2:2" ht="30" customHeight="1">
      <c r="B501" s="5"/>
    </row>
    <row r="502" spans="2:2" ht="30" customHeight="1">
      <c r="B502" s="5"/>
    </row>
    <row r="503" spans="2:2" ht="30" customHeight="1">
      <c r="B503" s="5"/>
    </row>
    <row r="504" spans="2:2" ht="30" customHeight="1">
      <c r="B504" s="5"/>
    </row>
    <row r="505" spans="2:2" ht="30" customHeight="1">
      <c r="B505" s="5"/>
    </row>
    <row r="506" spans="2:2" ht="30" customHeight="1">
      <c r="B506" s="5"/>
    </row>
    <row r="507" spans="2:2" ht="30" customHeight="1">
      <c r="B507" s="5"/>
    </row>
    <row r="508" spans="2:2" ht="30" customHeight="1">
      <c r="B508" s="5"/>
    </row>
    <row r="509" spans="2:2" ht="30" customHeight="1">
      <c r="B509" s="5"/>
    </row>
    <row r="510" spans="2:2" ht="30" customHeight="1">
      <c r="B510" s="5"/>
    </row>
    <row r="511" spans="2:2" ht="30" customHeight="1">
      <c r="B511" s="5"/>
    </row>
    <row r="512" spans="2:2" ht="30" customHeight="1">
      <c r="B512" s="5"/>
    </row>
    <row r="513" spans="2:2" ht="30" customHeight="1">
      <c r="B513" s="5"/>
    </row>
    <row r="514" spans="2:2" ht="30" customHeight="1">
      <c r="B514" s="5"/>
    </row>
    <row r="515" spans="2:2" ht="30" customHeight="1">
      <c r="B515" s="5"/>
    </row>
    <row r="516" spans="2:2" ht="30" customHeight="1">
      <c r="B516" s="5"/>
    </row>
    <row r="517" spans="2:2" ht="30" customHeight="1">
      <c r="B517" s="5"/>
    </row>
    <row r="518" spans="2:2" ht="30" customHeight="1">
      <c r="B518" s="5"/>
    </row>
    <row r="519" spans="2:2" ht="30" customHeight="1">
      <c r="B519" s="5"/>
    </row>
    <row r="520" spans="2:2" ht="30" customHeight="1">
      <c r="B520" s="5"/>
    </row>
    <row r="521" spans="2:2" ht="30" customHeight="1">
      <c r="B521" s="5"/>
    </row>
    <row r="522" spans="2:2" ht="30" customHeight="1">
      <c r="B522" s="5"/>
    </row>
    <row r="523" spans="2:2" ht="30" customHeight="1">
      <c r="B523" s="5"/>
    </row>
    <row r="524" spans="2:2" ht="30" customHeight="1">
      <c r="B524" s="5"/>
    </row>
    <row r="525" spans="2:2" ht="30" customHeight="1">
      <c r="B525" s="5"/>
    </row>
    <row r="526" spans="2:2" ht="30" customHeight="1">
      <c r="B526" s="5"/>
    </row>
    <row r="527" spans="2:2" ht="30" customHeight="1">
      <c r="B527" s="5"/>
    </row>
    <row r="528" spans="2:2" ht="30" customHeight="1">
      <c r="B528" s="5"/>
    </row>
    <row r="529" spans="2:2" ht="30" customHeight="1">
      <c r="B529" s="5"/>
    </row>
    <row r="530" spans="2:2" ht="30" customHeight="1">
      <c r="B530" s="5"/>
    </row>
    <row r="531" spans="2:2" ht="30" customHeight="1">
      <c r="B531" s="5"/>
    </row>
    <row r="532" spans="2:2" ht="30" customHeight="1">
      <c r="B532" s="5"/>
    </row>
    <row r="533" spans="2:2" ht="30" customHeight="1">
      <c r="B533" s="5"/>
    </row>
    <row r="534" spans="2:2" ht="30" customHeight="1">
      <c r="B534" s="5"/>
    </row>
    <row r="535" spans="2:2" ht="30" customHeight="1">
      <c r="B535" s="5"/>
    </row>
    <row r="536" spans="2:2" ht="30" customHeight="1">
      <c r="B536" s="5"/>
    </row>
    <row r="537" spans="2:2" ht="30" customHeight="1">
      <c r="B537" s="5"/>
    </row>
    <row r="538" spans="2:2" ht="30" customHeight="1">
      <c r="B538" s="5"/>
    </row>
    <row r="539" spans="2:2" ht="30" customHeight="1">
      <c r="B539" s="5"/>
    </row>
    <row r="540" spans="2:2" ht="30" customHeight="1">
      <c r="B540" s="5"/>
    </row>
    <row r="541" spans="2:2" ht="30" customHeight="1">
      <c r="B541" s="5"/>
    </row>
    <row r="542" spans="2:2" ht="30" customHeight="1">
      <c r="B542" s="5"/>
    </row>
    <row r="543" spans="2:2" ht="30" customHeight="1">
      <c r="B543" s="5"/>
    </row>
    <row r="544" spans="2:2" ht="30" customHeight="1">
      <c r="B544" s="5"/>
    </row>
    <row r="545" spans="2:2" ht="30" customHeight="1">
      <c r="B545" s="5"/>
    </row>
    <row r="546" spans="2:2" ht="30" customHeight="1">
      <c r="B546" s="5"/>
    </row>
    <row r="547" spans="2:2" ht="30" customHeight="1">
      <c r="B547" s="5"/>
    </row>
    <row r="548" spans="2:2" ht="30" customHeight="1">
      <c r="B548" s="5"/>
    </row>
    <row r="549" spans="2:2" ht="30" customHeight="1">
      <c r="B549" s="5"/>
    </row>
    <row r="550" spans="2:2" ht="30" customHeight="1">
      <c r="B550" s="5"/>
    </row>
    <row r="551" spans="2:2" ht="30" customHeight="1">
      <c r="B551" s="5"/>
    </row>
    <row r="552" spans="2:2" ht="30" customHeight="1">
      <c r="B552" s="5"/>
    </row>
    <row r="553" spans="2:2" ht="30" customHeight="1">
      <c r="B553" s="5"/>
    </row>
    <row r="554" spans="2:2" ht="30" customHeight="1">
      <c r="B554" s="5"/>
    </row>
    <row r="555" spans="2:2" ht="30" customHeight="1">
      <c r="B555" s="5"/>
    </row>
    <row r="556" spans="2:2" ht="30" customHeight="1">
      <c r="B556" s="5"/>
    </row>
    <row r="557" spans="2:2" ht="30" customHeight="1">
      <c r="B557" s="5"/>
    </row>
    <row r="558" spans="2:2" ht="30" customHeight="1">
      <c r="B558" s="5"/>
    </row>
    <row r="559" spans="2:2" ht="30" customHeight="1">
      <c r="B559" s="5"/>
    </row>
    <row r="560" spans="2:2" ht="30" customHeight="1">
      <c r="B560" s="5"/>
    </row>
    <row r="561" spans="2:2" ht="30" customHeight="1">
      <c r="B561" s="5"/>
    </row>
    <row r="562" spans="2:2" ht="30" customHeight="1">
      <c r="B562" s="5"/>
    </row>
    <row r="563" spans="2:2" ht="30" customHeight="1">
      <c r="B563" s="5"/>
    </row>
    <row r="564" spans="2:2" ht="30" customHeight="1">
      <c r="B564" s="5"/>
    </row>
    <row r="565" spans="2:2" ht="30" customHeight="1">
      <c r="B565" s="5"/>
    </row>
    <row r="566" spans="2:2" ht="30" customHeight="1">
      <c r="B566" s="5"/>
    </row>
    <row r="567" spans="2:2" ht="30" customHeight="1">
      <c r="B567" s="5"/>
    </row>
    <row r="568" spans="2:2" ht="30" customHeight="1">
      <c r="B568" s="5"/>
    </row>
    <row r="569" spans="2:2" ht="30" customHeight="1">
      <c r="B569" s="5"/>
    </row>
    <row r="570" spans="2:2" ht="30" customHeight="1">
      <c r="B570" s="5"/>
    </row>
    <row r="571" spans="2:2" ht="30" customHeight="1">
      <c r="B571" s="5"/>
    </row>
    <row r="572" spans="2:2" ht="30" customHeight="1">
      <c r="B572" s="5"/>
    </row>
    <row r="573" spans="2:2" ht="30" customHeight="1">
      <c r="B573" s="5"/>
    </row>
    <row r="574" spans="2:2" ht="30" customHeight="1">
      <c r="B574" s="5"/>
    </row>
    <row r="575" spans="2:2" ht="30" customHeight="1">
      <c r="B575" s="5"/>
    </row>
    <row r="576" spans="2:2" ht="30" customHeight="1">
      <c r="B576" s="5"/>
    </row>
    <row r="577" spans="2:2" ht="30" customHeight="1">
      <c r="B577" s="5"/>
    </row>
    <row r="578" spans="2:2" ht="30" customHeight="1">
      <c r="B578" s="5"/>
    </row>
    <row r="579" spans="2:2" ht="30" customHeight="1">
      <c r="B579" s="5"/>
    </row>
    <row r="580" spans="2:2" ht="30" customHeight="1">
      <c r="B580" s="5"/>
    </row>
    <row r="581" spans="2:2" ht="30" customHeight="1">
      <c r="B581" s="5"/>
    </row>
    <row r="582" spans="2:2" ht="30" customHeight="1">
      <c r="B582" s="5"/>
    </row>
    <row r="583" spans="2:2" ht="30" customHeight="1">
      <c r="B583" s="5"/>
    </row>
    <row r="584" spans="2:2" ht="30" customHeight="1">
      <c r="B584" s="5"/>
    </row>
    <row r="585" spans="2:2" ht="30" customHeight="1">
      <c r="B585" s="5"/>
    </row>
    <row r="586" spans="2:2" ht="30" customHeight="1">
      <c r="B586" s="5"/>
    </row>
    <row r="587" spans="2:2" ht="30" customHeight="1">
      <c r="B587" s="5"/>
    </row>
    <row r="588" spans="2:2" ht="30" customHeight="1">
      <c r="B588" s="5"/>
    </row>
    <row r="589" spans="2:2" ht="30" customHeight="1">
      <c r="B589" s="5"/>
    </row>
    <row r="590" spans="2:2" ht="30" customHeight="1">
      <c r="B590" s="5"/>
    </row>
    <row r="591" spans="2:2" ht="30" customHeight="1">
      <c r="B591" s="5"/>
    </row>
    <row r="592" spans="2:2" ht="30" customHeight="1">
      <c r="B592" s="5"/>
    </row>
    <row r="593" spans="2:2" ht="30" customHeight="1">
      <c r="B593" s="5"/>
    </row>
    <row r="594" spans="2:2" ht="30" customHeight="1">
      <c r="B594" s="5"/>
    </row>
    <row r="595" spans="2:2" ht="30" customHeight="1">
      <c r="B595" s="5"/>
    </row>
    <row r="596" spans="2:2" ht="30" customHeight="1">
      <c r="B596" s="5"/>
    </row>
    <row r="597" spans="2:2" ht="30" customHeight="1">
      <c r="B597" s="5"/>
    </row>
    <row r="598" spans="2:2" ht="30" customHeight="1">
      <c r="B598" s="5"/>
    </row>
    <row r="599" spans="2:2" ht="30" customHeight="1">
      <c r="B599" s="5"/>
    </row>
    <row r="600" spans="2:2" ht="30" customHeight="1">
      <c r="B600" s="5"/>
    </row>
    <row r="601" spans="2:2" ht="30" customHeight="1">
      <c r="B601" s="5"/>
    </row>
    <row r="602" spans="2:2" ht="30" customHeight="1">
      <c r="B602" s="5"/>
    </row>
    <row r="603" spans="2:2" ht="30" customHeight="1">
      <c r="B603" s="5"/>
    </row>
    <row r="604" spans="2:2" ht="30" customHeight="1">
      <c r="B604" s="5"/>
    </row>
    <row r="605" spans="2:2" ht="30" customHeight="1">
      <c r="B605" s="5"/>
    </row>
    <row r="606" spans="2:2" ht="30" customHeight="1">
      <c r="B606" s="5"/>
    </row>
    <row r="607" spans="2:2" ht="30" customHeight="1">
      <c r="B607" s="5"/>
    </row>
    <row r="608" spans="2:2" ht="30" customHeight="1">
      <c r="B608" s="5"/>
    </row>
    <row r="609" spans="2:2" ht="30" customHeight="1">
      <c r="B609" s="5"/>
    </row>
    <row r="610" spans="2:2" ht="30" customHeight="1">
      <c r="B610" s="5"/>
    </row>
    <row r="611" spans="2:2" ht="30" customHeight="1">
      <c r="B611" s="5"/>
    </row>
    <row r="612" spans="2:2" ht="30" customHeight="1">
      <c r="B612" s="5"/>
    </row>
    <row r="613" spans="2:2" ht="30" customHeight="1">
      <c r="B613" s="5"/>
    </row>
    <row r="614" spans="2:2" ht="30" customHeight="1">
      <c r="B614" s="5"/>
    </row>
    <row r="615" spans="2:2" ht="30" customHeight="1">
      <c r="B615" s="5"/>
    </row>
    <row r="616" spans="2:2" ht="30" customHeight="1">
      <c r="B616" s="5"/>
    </row>
    <row r="617" spans="2:2" ht="30" customHeight="1">
      <c r="B617" s="5"/>
    </row>
    <row r="618" spans="2:2" ht="30" customHeight="1">
      <c r="B618" s="5"/>
    </row>
    <row r="619" spans="2:2" ht="30" customHeight="1">
      <c r="B619" s="5"/>
    </row>
    <row r="620" spans="2:2" ht="30" customHeight="1">
      <c r="B620" s="5"/>
    </row>
    <row r="621" spans="2:2" ht="30" customHeight="1">
      <c r="B621" s="5"/>
    </row>
    <row r="622" spans="2:2" ht="30" customHeight="1">
      <c r="B622" s="5"/>
    </row>
    <row r="623" spans="2:2" ht="30" customHeight="1">
      <c r="B623" s="5"/>
    </row>
    <row r="624" spans="2:2" ht="30" customHeight="1">
      <c r="B624" s="5"/>
    </row>
    <row r="625" spans="2:2" ht="30" customHeight="1">
      <c r="B625" s="5"/>
    </row>
    <row r="626" spans="2:2" ht="30" customHeight="1">
      <c r="B626" s="5"/>
    </row>
    <row r="627" spans="2:2" ht="30" customHeight="1">
      <c r="B627" s="5"/>
    </row>
    <row r="628" spans="2:2" ht="30" customHeight="1">
      <c r="B628" s="5"/>
    </row>
    <row r="629" spans="2:2" ht="30" customHeight="1">
      <c r="B629" s="5"/>
    </row>
    <row r="630" spans="2:2" ht="30" customHeight="1">
      <c r="B630" s="5"/>
    </row>
    <row r="631" spans="2:2" ht="30" customHeight="1">
      <c r="B631" s="5"/>
    </row>
    <row r="632" spans="2:2" ht="30" customHeight="1">
      <c r="B632" s="5"/>
    </row>
    <row r="633" spans="2:2" ht="30" customHeight="1">
      <c r="B633" s="5"/>
    </row>
    <row r="634" spans="2:2" ht="30" customHeight="1">
      <c r="B634" s="5"/>
    </row>
    <row r="635" spans="2:2" ht="30" customHeight="1">
      <c r="B635" s="5"/>
    </row>
    <row r="636" spans="2:2" ht="30" customHeight="1">
      <c r="B636" s="5"/>
    </row>
    <row r="637" spans="2:2" ht="30" customHeight="1">
      <c r="B637" s="5"/>
    </row>
    <row r="638" spans="2:2" ht="30" customHeight="1">
      <c r="B638" s="5"/>
    </row>
    <row r="639" spans="2:2" ht="30" customHeight="1">
      <c r="B639" s="5"/>
    </row>
    <row r="640" spans="2:2" ht="30" customHeight="1">
      <c r="B640" s="5"/>
    </row>
    <row r="641" spans="2:2" ht="30" customHeight="1">
      <c r="B641" s="5"/>
    </row>
    <row r="642" spans="2:2" ht="30" customHeight="1">
      <c r="B642" s="5"/>
    </row>
    <row r="643" spans="2:2" ht="30" customHeight="1">
      <c r="B643" s="5"/>
    </row>
    <row r="644" spans="2:2" ht="30" customHeight="1">
      <c r="B644" s="5"/>
    </row>
    <row r="645" spans="2:2" ht="30" customHeight="1">
      <c r="B645" s="5"/>
    </row>
    <row r="646" spans="2:2" ht="30" customHeight="1">
      <c r="B646" s="5"/>
    </row>
    <row r="647" spans="2:2" ht="30" customHeight="1">
      <c r="B647" s="5"/>
    </row>
    <row r="648" spans="2:2" ht="30" customHeight="1">
      <c r="B648" s="5"/>
    </row>
    <row r="649" spans="2:2" ht="30" customHeight="1">
      <c r="B649" s="5"/>
    </row>
    <row r="650" spans="2:2" ht="30" customHeight="1">
      <c r="B650" s="5"/>
    </row>
    <row r="651" spans="2:2" ht="30" customHeight="1">
      <c r="B651" s="5"/>
    </row>
    <row r="652" spans="2:2" ht="30" customHeight="1">
      <c r="B652" s="5"/>
    </row>
    <row r="653" spans="2:2" ht="30" customHeight="1">
      <c r="B653" s="5"/>
    </row>
    <row r="654" spans="2:2" ht="30" customHeight="1">
      <c r="B654" s="5"/>
    </row>
    <row r="655" spans="2:2" ht="30" customHeight="1">
      <c r="B655" s="5"/>
    </row>
    <row r="656" spans="2:2" ht="30" customHeight="1">
      <c r="B656" s="5"/>
    </row>
    <row r="657" spans="2:2" ht="30" customHeight="1">
      <c r="B657" s="5"/>
    </row>
    <row r="658" spans="2:2" ht="30" customHeight="1">
      <c r="B658" s="5"/>
    </row>
    <row r="659" spans="2:2" ht="30" customHeight="1">
      <c r="B659" s="5"/>
    </row>
    <row r="660" spans="2:2" ht="30" customHeight="1">
      <c r="B660" s="5"/>
    </row>
    <row r="661" spans="2:2" ht="30" customHeight="1">
      <c r="B661" s="5"/>
    </row>
    <row r="662" spans="2:2" ht="30" customHeight="1">
      <c r="B662" s="5"/>
    </row>
    <row r="663" spans="2:2" ht="30" customHeight="1">
      <c r="B663" s="5"/>
    </row>
    <row r="664" spans="2:2" ht="30" customHeight="1">
      <c r="B664" s="5"/>
    </row>
    <row r="665" spans="2:2" ht="30" customHeight="1">
      <c r="B665" s="5"/>
    </row>
    <row r="666" spans="2:2" ht="30" customHeight="1">
      <c r="B666" s="5"/>
    </row>
    <row r="667" spans="2:2" ht="30" customHeight="1">
      <c r="B667" s="5"/>
    </row>
    <row r="668" spans="2:2" ht="30" customHeight="1">
      <c r="B668" s="5"/>
    </row>
    <row r="669" spans="2:2" ht="30" customHeight="1">
      <c r="B669" s="5"/>
    </row>
    <row r="670" spans="2:2" ht="30" customHeight="1">
      <c r="B670" s="5"/>
    </row>
    <row r="671" spans="2:2" ht="30" customHeight="1">
      <c r="B671" s="5"/>
    </row>
    <row r="672" spans="2:2" ht="30" customHeight="1">
      <c r="B672" s="5"/>
    </row>
    <row r="673" spans="2:2" ht="30" customHeight="1">
      <c r="B673" s="5"/>
    </row>
    <row r="674" spans="2:2" ht="30" customHeight="1">
      <c r="B674" s="5"/>
    </row>
    <row r="675" spans="2:2" ht="30" customHeight="1">
      <c r="B675" s="5"/>
    </row>
    <row r="676" spans="2:2" ht="30" customHeight="1">
      <c r="B676" s="5"/>
    </row>
    <row r="677" spans="2:2" ht="30" customHeight="1">
      <c r="B677" s="5"/>
    </row>
    <row r="678" spans="2:2" ht="30" customHeight="1">
      <c r="B678" s="5"/>
    </row>
    <row r="679" spans="2:2" ht="30" customHeight="1">
      <c r="B679" s="5"/>
    </row>
    <row r="680" spans="2:2" ht="30" customHeight="1">
      <c r="B680" s="5"/>
    </row>
    <row r="681" spans="2:2" ht="30" customHeight="1">
      <c r="B681" s="5"/>
    </row>
    <row r="682" spans="2:2" ht="30" customHeight="1">
      <c r="B682" s="5"/>
    </row>
    <row r="683" spans="2:2" ht="30" customHeight="1">
      <c r="B683" s="5"/>
    </row>
    <row r="684" spans="2:2" ht="30" customHeight="1">
      <c r="B684" s="5"/>
    </row>
    <row r="685" spans="2:2" ht="30" customHeight="1">
      <c r="B685" s="5"/>
    </row>
    <row r="686" spans="2:2" ht="30" customHeight="1">
      <c r="B686" s="5"/>
    </row>
    <row r="687" spans="2:2" ht="30" customHeight="1">
      <c r="B687" s="5"/>
    </row>
    <row r="688" spans="2:2" ht="30" customHeight="1">
      <c r="B688" s="5"/>
    </row>
    <row r="689" spans="2:2" ht="30" customHeight="1">
      <c r="B689" s="5"/>
    </row>
    <row r="690" spans="2:2" ht="30" customHeight="1">
      <c r="B690" s="5"/>
    </row>
    <row r="691" spans="2:2" ht="30" customHeight="1">
      <c r="B691" s="5"/>
    </row>
    <row r="692" spans="2:2" ht="30" customHeight="1">
      <c r="B692" s="5"/>
    </row>
    <row r="693" spans="2:2" ht="30" customHeight="1">
      <c r="B693" s="5"/>
    </row>
    <row r="694" spans="2:2" ht="30" customHeight="1">
      <c r="B694" s="5"/>
    </row>
    <row r="695" spans="2:2" ht="30" customHeight="1">
      <c r="B695" s="5"/>
    </row>
    <row r="696" spans="2:2" ht="30" customHeight="1">
      <c r="B696" s="5"/>
    </row>
    <row r="697" spans="2:2" ht="30" customHeight="1">
      <c r="B697" s="5"/>
    </row>
    <row r="698" spans="2:2" ht="30" customHeight="1">
      <c r="B698" s="5"/>
    </row>
    <row r="699" spans="2:2" ht="30" customHeight="1">
      <c r="B699" s="5"/>
    </row>
    <row r="700" spans="2:2" ht="30" customHeight="1">
      <c r="B700" s="5"/>
    </row>
    <row r="701" spans="2:2" ht="30" customHeight="1">
      <c r="B701" s="5"/>
    </row>
    <row r="702" spans="2:2" ht="30" customHeight="1">
      <c r="B702" s="5"/>
    </row>
    <row r="703" spans="2:2" ht="30" customHeight="1">
      <c r="B703" s="5"/>
    </row>
    <row r="704" spans="2:2" ht="30" customHeight="1">
      <c r="B704" s="5"/>
    </row>
    <row r="705" spans="2:2" ht="30" customHeight="1">
      <c r="B705" s="5"/>
    </row>
    <row r="706" spans="2:2" ht="30" customHeight="1">
      <c r="B706" s="5"/>
    </row>
    <row r="707" spans="2:2" ht="30" customHeight="1">
      <c r="B707" s="5"/>
    </row>
    <row r="708" spans="2:2" ht="30" customHeight="1">
      <c r="B708" s="5"/>
    </row>
    <row r="709" spans="2:2" ht="30" customHeight="1">
      <c r="B709" s="5"/>
    </row>
    <row r="710" spans="2:2" ht="30" customHeight="1">
      <c r="B710" s="5"/>
    </row>
    <row r="711" spans="2:2" ht="30" customHeight="1">
      <c r="B711" s="5"/>
    </row>
    <row r="712" spans="2:2" ht="30" customHeight="1">
      <c r="B712" s="5"/>
    </row>
    <row r="713" spans="2:2" ht="30" customHeight="1">
      <c r="B713" s="5"/>
    </row>
    <row r="714" spans="2:2" ht="30" customHeight="1">
      <c r="B714" s="5"/>
    </row>
    <row r="715" spans="2:2" ht="30" customHeight="1">
      <c r="B715" s="5"/>
    </row>
    <row r="716" spans="2:2" ht="30" customHeight="1">
      <c r="B716" s="5"/>
    </row>
    <row r="717" spans="2:2" ht="30" customHeight="1">
      <c r="B717" s="5"/>
    </row>
    <row r="718" spans="2:2" ht="30" customHeight="1">
      <c r="B718" s="5"/>
    </row>
    <row r="719" spans="2:2" ht="30" customHeight="1">
      <c r="B719" s="5"/>
    </row>
    <row r="720" spans="2:2" ht="30" customHeight="1">
      <c r="B720" s="5"/>
    </row>
    <row r="721" spans="2:2" ht="30" customHeight="1">
      <c r="B721" s="5"/>
    </row>
    <row r="722" spans="2:2" ht="30" customHeight="1">
      <c r="B722" s="5"/>
    </row>
    <row r="723" spans="2:2" ht="30" customHeight="1">
      <c r="B723" s="5"/>
    </row>
    <row r="724" spans="2:2" ht="30" customHeight="1">
      <c r="B724" s="5"/>
    </row>
    <row r="725" spans="2:2" ht="30" customHeight="1">
      <c r="B725" s="5"/>
    </row>
    <row r="726" spans="2:2" ht="30" customHeight="1">
      <c r="B726" s="5"/>
    </row>
    <row r="727" spans="2:2" ht="30" customHeight="1">
      <c r="B727" s="5"/>
    </row>
    <row r="728" spans="2:2" ht="30" customHeight="1">
      <c r="B728" s="5"/>
    </row>
    <row r="729" spans="2:2" ht="30" customHeight="1">
      <c r="B729" s="5"/>
    </row>
    <row r="730" spans="2:2" ht="30" customHeight="1">
      <c r="B730" s="5"/>
    </row>
    <row r="731" spans="2:2" ht="30" customHeight="1">
      <c r="B731" s="5"/>
    </row>
    <row r="732" spans="2:2" ht="30" customHeight="1">
      <c r="B732" s="5"/>
    </row>
    <row r="733" spans="2:2" ht="30" customHeight="1">
      <c r="B733" s="5"/>
    </row>
    <row r="734" spans="2:2" ht="30" customHeight="1">
      <c r="B734" s="5"/>
    </row>
    <row r="735" spans="2:2" ht="30" customHeight="1">
      <c r="B735" s="5"/>
    </row>
    <row r="736" spans="2:2" ht="30" customHeight="1">
      <c r="B736" s="5"/>
    </row>
    <row r="737" spans="2:2" ht="30" customHeight="1">
      <c r="B737" s="5"/>
    </row>
    <row r="738" spans="2:2" ht="30" customHeight="1">
      <c r="B738" s="5"/>
    </row>
    <row r="739" spans="2:2" ht="30" customHeight="1">
      <c r="B739" s="5"/>
    </row>
    <row r="740" spans="2:2" ht="30" customHeight="1">
      <c r="B740" s="5"/>
    </row>
    <row r="741" spans="2:2" ht="30" customHeight="1">
      <c r="B741" s="5"/>
    </row>
    <row r="742" spans="2:2" ht="30" customHeight="1">
      <c r="B742" s="5"/>
    </row>
    <row r="743" spans="2:2" ht="30" customHeight="1">
      <c r="B743" s="5"/>
    </row>
    <row r="744" spans="2:2" ht="30" customHeight="1">
      <c r="B744" s="5"/>
    </row>
    <row r="745" spans="2:2" ht="30" customHeight="1">
      <c r="B745" s="5"/>
    </row>
    <row r="746" spans="2:2" ht="30" customHeight="1">
      <c r="B746" s="5"/>
    </row>
    <row r="747" spans="2:2" ht="30" customHeight="1">
      <c r="B747" s="5"/>
    </row>
    <row r="748" spans="2:2" ht="30" customHeight="1">
      <c r="B748" s="5"/>
    </row>
    <row r="749" spans="2:2" ht="30" customHeight="1">
      <c r="B749" s="5"/>
    </row>
    <row r="750" spans="2:2" ht="30" customHeight="1">
      <c r="B750" s="5"/>
    </row>
    <row r="751" spans="2:2" ht="30" customHeight="1">
      <c r="B751" s="5"/>
    </row>
    <row r="752" spans="2:2" ht="30" customHeight="1">
      <c r="B752" s="5"/>
    </row>
    <row r="753" spans="2:2" ht="30" customHeight="1">
      <c r="B753" s="5"/>
    </row>
    <row r="754" spans="2:2" ht="30" customHeight="1">
      <c r="B754" s="5"/>
    </row>
    <row r="755" spans="2:2" ht="30" customHeight="1">
      <c r="B755" s="5"/>
    </row>
    <row r="756" spans="2:2" ht="30" customHeight="1">
      <c r="B756" s="5"/>
    </row>
    <row r="757" spans="2:2" ht="30" customHeight="1">
      <c r="B757" s="5"/>
    </row>
    <row r="758" spans="2:2" ht="30" customHeight="1">
      <c r="B758" s="5"/>
    </row>
    <row r="759" spans="2:2" ht="30" customHeight="1">
      <c r="B759" s="5"/>
    </row>
    <row r="760" spans="2:2" ht="30" customHeight="1">
      <c r="B760" s="5"/>
    </row>
    <row r="761" spans="2:2" ht="30" customHeight="1">
      <c r="B761" s="5"/>
    </row>
    <row r="762" spans="2:2" ht="30" customHeight="1">
      <c r="B762" s="5"/>
    </row>
    <row r="763" spans="2:2" ht="30" customHeight="1">
      <c r="B763" s="5"/>
    </row>
    <row r="764" spans="2:2" ht="30" customHeight="1">
      <c r="B764" s="5"/>
    </row>
    <row r="765" spans="2:2" ht="30" customHeight="1">
      <c r="B765" s="5"/>
    </row>
    <row r="766" spans="2:2" ht="30" customHeight="1">
      <c r="B766" s="5"/>
    </row>
    <row r="767" spans="2:2" ht="30" customHeight="1">
      <c r="B767" s="5"/>
    </row>
    <row r="768" spans="2:2" ht="30" customHeight="1">
      <c r="B768" s="5"/>
    </row>
    <row r="769" spans="2:2" ht="30" customHeight="1">
      <c r="B769" s="5"/>
    </row>
    <row r="770" spans="2:2" ht="30" customHeight="1">
      <c r="B770" s="5"/>
    </row>
    <row r="771" spans="2:2" ht="30" customHeight="1">
      <c r="B771" s="5"/>
    </row>
    <row r="772" spans="2:2" ht="30" customHeight="1">
      <c r="B772" s="5"/>
    </row>
    <row r="773" spans="2:2" ht="30" customHeight="1">
      <c r="B773" s="5"/>
    </row>
    <row r="774" spans="2:2" ht="30" customHeight="1">
      <c r="B774" s="5"/>
    </row>
    <row r="775" spans="2:2" ht="30" customHeight="1">
      <c r="B775" s="5"/>
    </row>
    <row r="776" spans="2:2" ht="30" customHeight="1">
      <c r="B776" s="5"/>
    </row>
    <row r="777" spans="2:2" ht="30" customHeight="1">
      <c r="B777" s="5"/>
    </row>
    <row r="778" spans="2:2" ht="30" customHeight="1">
      <c r="B778" s="5"/>
    </row>
    <row r="779" spans="2:2" ht="30" customHeight="1">
      <c r="B779" s="5"/>
    </row>
    <row r="780" spans="2:2" ht="30" customHeight="1">
      <c r="B780" s="5"/>
    </row>
    <row r="781" spans="2:2" ht="30" customHeight="1">
      <c r="B781" s="5"/>
    </row>
    <row r="782" spans="2:2" ht="30" customHeight="1">
      <c r="B782" s="5"/>
    </row>
    <row r="783" spans="2:2" ht="30" customHeight="1">
      <c r="B783" s="5"/>
    </row>
    <row r="784" spans="2:2" ht="30" customHeight="1">
      <c r="B784" s="5"/>
    </row>
    <row r="785" spans="2:2" ht="30" customHeight="1">
      <c r="B785" s="5"/>
    </row>
    <row r="786" spans="2:2" ht="30" customHeight="1">
      <c r="B786" s="5"/>
    </row>
    <row r="787" spans="2:2" ht="30" customHeight="1">
      <c r="B787" s="5"/>
    </row>
    <row r="788" spans="2:2" ht="30" customHeight="1">
      <c r="B788" s="5"/>
    </row>
    <row r="789" spans="2:2" ht="30" customHeight="1">
      <c r="B789" s="5"/>
    </row>
    <row r="790" spans="2:2" ht="30" customHeight="1">
      <c r="B790" s="5"/>
    </row>
    <row r="791" spans="2:2" ht="30" customHeight="1">
      <c r="B791" s="5"/>
    </row>
    <row r="792" spans="2:2" ht="30" customHeight="1">
      <c r="B792" s="5"/>
    </row>
    <row r="793" spans="2:2" ht="30" customHeight="1">
      <c r="B793" s="5"/>
    </row>
    <row r="794" spans="2:2" ht="30" customHeight="1">
      <c r="B794" s="5"/>
    </row>
    <row r="795" spans="2:2" ht="30" customHeight="1">
      <c r="B795" s="5"/>
    </row>
    <row r="796" spans="2:2" ht="30" customHeight="1">
      <c r="B796" s="5"/>
    </row>
    <row r="797" spans="2:2" ht="30" customHeight="1">
      <c r="B797" s="5"/>
    </row>
    <row r="798" spans="2:2" ht="30" customHeight="1">
      <c r="B798" s="5"/>
    </row>
    <row r="799" spans="2:2" ht="30" customHeight="1">
      <c r="B799" s="5"/>
    </row>
    <row r="800" spans="2:2" ht="30" customHeight="1">
      <c r="B800" s="5"/>
    </row>
    <row r="801" spans="2:2" ht="30" customHeight="1">
      <c r="B801" s="5"/>
    </row>
    <row r="802" spans="2:2" ht="30" customHeight="1">
      <c r="B802" s="5"/>
    </row>
    <row r="803" spans="2:2" ht="30" customHeight="1">
      <c r="B803" s="5"/>
    </row>
    <row r="804" spans="2:2" ht="30" customHeight="1">
      <c r="B804" s="5"/>
    </row>
    <row r="805" spans="2:2" ht="30" customHeight="1">
      <c r="B805" s="5"/>
    </row>
    <row r="806" spans="2:2" ht="30" customHeight="1">
      <c r="B806" s="5"/>
    </row>
    <row r="807" spans="2:2" ht="30" customHeight="1">
      <c r="B807" s="5"/>
    </row>
    <row r="808" spans="2:2" ht="30" customHeight="1">
      <c r="B808" s="5"/>
    </row>
    <row r="809" spans="2:2" ht="30" customHeight="1">
      <c r="B809" s="5"/>
    </row>
    <row r="810" spans="2:2" ht="30" customHeight="1">
      <c r="B810" s="5"/>
    </row>
    <row r="811" spans="2:2" ht="30" customHeight="1">
      <c r="B811" s="5"/>
    </row>
    <row r="812" spans="2:2" ht="30" customHeight="1">
      <c r="B812" s="5"/>
    </row>
    <row r="813" spans="2:2" ht="30" customHeight="1">
      <c r="B813" s="5"/>
    </row>
    <row r="814" spans="2:2" ht="30" customHeight="1">
      <c r="B814" s="5"/>
    </row>
    <row r="815" spans="2:2" ht="30" customHeight="1">
      <c r="B815" s="5"/>
    </row>
    <row r="816" spans="2:2" ht="30" customHeight="1">
      <c r="B816" s="5"/>
    </row>
    <row r="817" spans="2:2" ht="30" customHeight="1">
      <c r="B817" s="5"/>
    </row>
    <row r="818" spans="2:2" ht="30" customHeight="1">
      <c r="B818" s="5"/>
    </row>
    <row r="819" spans="2:2" ht="30" customHeight="1">
      <c r="B819" s="5"/>
    </row>
    <row r="820" spans="2:2" ht="30" customHeight="1">
      <c r="B820" s="5"/>
    </row>
    <row r="821" spans="2:2" ht="30" customHeight="1">
      <c r="B821" s="5"/>
    </row>
    <row r="822" spans="2:2" ht="30" customHeight="1">
      <c r="B822" s="5"/>
    </row>
    <row r="823" spans="2:2" ht="30" customHeight="1">
      <c r="B823" s="5"/>
    </row>
    <row r="824" spans="2:2" ht="30" customHeight="1">
      <c r="B824" s="5"/>
    </row>
    <row r="825" spans="2:2" ht="30" customHeight="1">
      <c r="B825" s="5"/>
    </row>
    <row r="826" spans="2:2" ht="30" customHeight="1">
      <c r="B826" s="5"/>
    </row>
    <row r="827" spans="2:2" ht="30" customHeight="1">
      <c r="B827" s="5"/>
    </row>
    <row r="828" spans="2:2" ht="30" customHeight="1">
      <c r="B828" s="5"/>
    </row>
    <row r="829" spans="2:2" ht="30" customHeight="1">
      <c r="B829" s="5"/>
    </row>
    <row r="830" spans="2:2" ht="30" customHeight="1">
      <c r="B830" s="5"/>
    </row>
    <row r="831" spans="2:2" ht="30" customHeight="1">
      <c r="B831" s="5"/>
    </row>
    <row r="832" spans="2:2" ht="30" customHeight="1">
      <c r="B832" s="5"/>
    </row>
    <row r="833" spans="2:2" ht="30" customHeight="1">
      <c r="B833" s="5"/>
    </row>
    <row r="834" spans="2:2" ht="30" customHeight="1">
      <c r="B834" s="5"/>
    </row>
    <row r="835" spans="2:2" ht="30" customHeight="1">
      <c r="B835" s="5"/>
    </row>
    <row r="836" spans="2:2" ht="30" customHeight="1">
      <c r="B836" s="5"/>
    </row>
    <row r="837" spans="2:2" ht="30" customHeight="1">
      <c r="B837" s="5"/>
    </row>
    <row r="838" spans="2:2" ht="30" customHeight="1">
      <c r="B838" s="5"/>
    </row>
    <row r="839" spans="2:2" ht="30" customHeight="1">
      <c r="B839" s="5"/>
    </row>
    <row r="840" spans="2:2" ht="30" customHeight="1">
      <c r="B840" s="5"/>
    </row>
    <row r="841" spans="2:2" ht="30" customHeight="1">
      <c r="B841" s="5"/>
    </row>
    <row r="842" spans="2:2" ht="30" customHeight="1">
      <c r="B842" s="5"/>
    </row>
    <row r="843" spans="2:2" ht="30" customHeight="1">
      <c r="B843" s="5"/>
    </row>
    <row r="844" spans="2:2" ht="30" customHeight="1">
      <c r="B844" s="5"/>
    </row>
    <row r="845" spans="2:2" ht="30" customHeight="1">
      <c r="B845" s="5"/>
    </row>
    <row r="846" spans="2:2" ht="30" customHeight="1">
      <c r="B846" s="5"/>
    </row>
    <row r="847" spans="2:2" ht="30" customHeight="1">
      <c r="B847" s="5"/>
    </row>
    <row r="848" spans="2:2" ht="30" customHeight="1">
      <c r="B848" s="5"/>
    </row>
    <row r="849" spans="2:2" ht="30" customHeight="1">
      <c r="B849" s="5"/>
    </row>
    <row r="850" spans="2:2" ht="30" customHeight="1">
      <c r="B850" s="5"/>
    </row>
    <row r="851" spans="2:2" ht="30" customHeight="1">
      <c r="B851" s="5"/>
    </row>
    <row r="852" spans="2:2" ht="30" customHeight="1">
      <c r="B852" s="5"/>
    </row>
    <row r="853" spans="2:2" ht="30" customHeight="1">
      <c r="B853" s="5"/>
    </row>
    <row r="854" spans="2:2" ht="30" customHeight="1">
      <c r="B854" s="5"/>
    </row>
    <row r="855" spans="2:2" ht="30" customHeight="1">
      <c r="B855" s="5"/>
    </row>
    <row r="856" spans="2:2" ht="30" customHeight="1">
      <c r="B856" s="5"/>
    </row>
    <row r="857" spans="2:2" ht="30" customHeight="1">
      <c r="B857" s="5"/>
    </row>
    <row r="858" spans="2:2" ht="30" customHeight="1">
      <c r="B858" s="5"/>
    </row>
    <row r="859" spans="2:2" ht="30" customHeight="1">
      <c r="B859" s="5"/>
    </row>
    <row r="860" spans="2:2" ht="30" customHeight="1">
      <c r="B860" s="5"/>
    </row>
    <row r="861" spans="2:2" ht="30" customHeight="1">
      <c r="B861" s="5"/>
    </row>
    <row r="862" spans="2:2" ht="30" customHeight="1">
      <c r="B862" s="5"/>
    </row>
    <row r="863" spans="2:2" ht="30" customHeight="1">
      <c r="B863" s="5"/>
    </row>
    <row r="864" spans="2:2" ht="30" customHeight="1">
      <c r="B864" s="5"/>
    </row>
    <row r="865" spans="2:2" ht="30" customHeight="1">
      <c r="B865" s="5"/>
    </row>
    <row r="866" spans="2:2" ht="30" customHeight="1">
      <c r="B866" s="5"/>
    </row>
    <row r="867" spans="2:2" ht="30" customHeight="1">
      <c r="B867" s="5"/>
    </row>
    <row r="868" spans="2:2" ht="30" customHeight="1">
      <c r="B868" s="5"/>
    </row>
    <row r="869" spans="2:2" ht="30" customHeight="1">
      <c r="B869" s="5"/>
    </row>
    <row r="870" spans="2:2" ht="30" customHeight="1">
      <c r="B870" s="5"/>
    </row>
    <row r="871" spans="2:2" ht="30" customHeight="1">
      <c r="B871" s="5"/>
    </row>
    <row r="872" spans="2:2" ht="30" customHeight="1">
      <c r="B872" s="5"/>
    </row>
    <row r="873" spans="2:2" ht="30" customHeight="1">
      <c r="B873" s="5"/>
    </row>
    <row r="874" spans="2:2" ht="30" customHeight="1">
      <c r="B874" s="5"/>
    </row>
    <row r="875" spans="2:2" ht="30" customHeight="1">
      <c r="B875" s="5"/>
    </row>
    <row r="876" spans="2:2" ht="30" customHeight="1">
      <c r="B876" s="5"/>
    </row>
    <row r="877" spans="2:2" ht="30" customHeight="1">
      <c r="B877" s="5"/>
    </row>
    <row r="878" spans="2:2" ht="30" customHeight="1">
      <c r="B878" s="5"/>
    </row>
    <row r="879" spans="2:2" ht="30" customHeight="1">
      <c r="B879" s="5"/>
    </row>
    <row r="880" spans="2:2" ht="30" customHeight="1">
      <c r="B880" s="5"/>
    </row>
    <row r="881" spans="2:2" ht="30" customHeight="1">
      <c r="B881" s="5"/>
    </row>
    <row r="882" spans="2:2" ht="30" customHeight="1">
      <c r="B882" s="5"/>
    </row>
    <row r="883" spans="2:2" ht="30" customHeight="1">
      <c r="B883" s="5"/>
    </row>
    <row r="884" spans="2:2" ht="30" customHeight="1">
      <c r="B884" s="5"/>
    </row>
    <row r="885" spans="2:2" ht="30" customHeight="1">
      <c r="B885" s="5"/>
    </row>
    <row r="886" spans="2:2" ht="30" customHeight="1">
      <c r="B886" s="5"/>
    </row>
    <row r="887" spans="2:2" ht="30" customHeight="1">
      <c r="B887" s="5"/>
    </row>
    <row r="888" spans="2:2" ht="30" customHeight="1">
      <c r="B888" s="5"/>
    </row>
    <row r="889" spans="2:2" ht="30" customHeight="1">
      <c r="B889" s="5"/>
    </row>
    <row r="890" spans="2:2" ht="30" customHeight="1">
      <c r="B890" s="5"/>
    </row>
    <row r="891" spans="2:2" ht="30" customHeight="1">
      <c r="B891" s="5"/>
    </row>
    <row r="892" spans="2:2" ht="30" customHeight="1">
      <c r="B892" s="5"/>
    </row>
    <row r="893" spans="2:2" ht="30" customHeight="1">
      <c r="B893" s="5"/>
    </row>
    <row r="894" spans="2:2" ht="30" customHeight="1">
      <c r="B894" s="5"/>
    </row>
    <row r="895" spans="2:2" ht="30" customHeight="1">
      <c r="B895" s="5"/>
    </row>
    <row r="896" spans="2:2" ht="30" customHeight="1">
      <c r="B896" s="5"/>
    </row>
    <row r="897" spans="2:2" ht="30" customHeight="1">
      <c r="B897" s="5"/>
    </row>
    <row r="898" spans="2:2" ht="30" customHeight="1">
      <c r="B898" s="5"/>
    </row>
    <row r="899" spans="2:2" ht="30" customHeight="1">
      <c r="B899" s="5"/>
    </row>
    <row r="900" spans="2:2" ht="30" customHeight="1">
      <c r="B900" s="5"/>
    </row>
    <row r="901" spans="2:2" ht="30" customHeight="1">
      <c r="B901" s="5"/>
    </row>
    <row r="902" spans="2:2" ht="30" customHeight="1">
      <c r="B902" s="5"/>
    </row>
    <row r="903" spans="2:2" ht="30" customHeight="1">
      <c r="B903" s="5"/>
    </row>
    <row r="904" spans="2:2" ht="30" customHeight="1">
      <c r="B904" s="5"/>
    </row>
    <row r="905" spans="2:2" ht="30" customHeight="1">
      <c r="B905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05"/>
  <sheetViews>
    <sheetView showGridLines="0" workbookViewId="0">
      <pane ySplit="4" topLeftCell="A13" activePane="bottomLeft" state="frozen"/>
      <selection pane="bottomLeft"/>
    </sheetView>
  </sheetViews>
  <sheetFormatPr baseColWidth="10" defaultColWidth="8.796875" defaultRowHeight="13.8"/>
  <cols>
    <col min="1" max="1" width="14" customWidth="1"/>
    <col min="2" max="2" width="48" customWidth="1"/>
    <col min="3" max="4" width="14" customWidth="1"/>
    <col min="5" max="5" width="10" customWidth="1"/>
    <col min="6" max="7" width="19" customWidth="1"/>
    <col min="8" max="9" width="20" customWidth="1"/>
    <col min="10" max="10" width="30" customWidth="1"/>
  </cols>
  <sheetData>
    <row r="1" spans="1:10" ht="21">
      <c r="A1" s="1" t="s">
        <v>66</v>
      </c>
    </row>
    <row r="2" spans="1:10">
      <c r="A2" t="s">
        <v>67</v>
      </c>
    </row>
    <row r="4" spans="1:10" ht="42" customHeight="1">
      <c r="A4" s="2" t="s">
        <v>44</v>
      </c>
      <c r="B4" s="2" t="s">
        <v>45</v>
      </c>
      <c r="C4" s="2" t="s">
        <v>46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74</v>
      </c>
    </row>
    <row r="5" spans="1:10" ht="30" customHeight="1">
      <c r="A5" t="s">
        <v>75</v>
      </c>
      <c r="B5" s="5" t="s">
        <v>76</v>
      </c>
      <c r="C5">
        <v>1</v>
      </c>
      <c r="D5">
        <v>200</v>
      </c>
      <c r="E5">
        <v>5</v>
      </c>
      <c r="F5" s="6">
        <v>6615.65</v>
      </c>
      <c r="G5" s="6">
        <v>8004.9369999999999</v>
      </c>
      <c r="H5" s="6">
        <f>IF(OR(F5&lt;=0,G5&lt;=0),"",ROUND(G5+F5*Uso!$B$5,Uso!$B$6))</f>
        <v>8203.4069999999992</v>
      </c>
      <c r="I5" s="6">
        <f t="shared" ref="I5:I68" si="0">IF(OR(H5="",C5&lt;=0),"",H5/C5)</f>
        <v>8203.4069999999992</v>
      </c>
      <c r="J5" t="str">
        <f>IF(COUNTIF(Cruce!$A$5:$A$14,A5)&gt;0,"SKU de muestra","Regla extrapolada")</f>
        <v>Regla extrapolada</v>
      </c>
    </row>
    <row r="6" spans="1:10" ht="30" customHeight="1">
      <c r="A6" t="s">
        <v>61</v>
      </c>
      <c r="B6" s="5" t="s">
        <v>77</v>
      </c>
      <c r="C6">
        <v>8</v>
      </c>
      <c r="D6">
        <v>60</v>
      </c>
      <c r="E6">
        <v>5</v>
      </c>
      <c r="F6" s="6">
        <v>14738.66</v>
      </c>
      <c r="G6" s="6">
        <v>18606.278999999999</v>
      </c>
      <c r="H6" s="6">
        <f>IF(OR(F6&lt;=0,G6&lt;=0),"",ROUND(G6+F6*Uso!$B$5,Uso!$B$6))</f>
        <v>19048.438999999998</v>
      </c>
      <c r="I6" s="6">
        <f t="shared" si="0"/>
        <v>2381.0548749999998</v>
      </c>
      <c r="J6" t="str">
        <f>IF(COUNTIF(Cruce!$A$5:$A$14,A6)&gt;0,"SKU de muestra","Regla extrapolada")</f>
        <v>SKU de muestra</v>
      </c>
    </row>
    <row r="7" spans="1:10" ht="30" customHeight="1">
      <c r="A7" t="s">
        <v>78</v>
      </c>
      <c r="B7" s="5" t="s">
        <v>79</v>
      </c>
      <c r="C7">
        <v>8</v>
      </c>
      <c r="D7">
        <v>60</v>
      </c>
      <c r="E7">
        <v>5</v>
      </c>
      <c r="F7" s="6">
        <v>14738.66</v>
      </c>
      <c r="G7" s="6">
        <v>18606.278999999999</v>
      </c>
      <c r="H7" s="6">
        <f>IF(OR(F7&lt;=0,G7&lt;=0),"",ROUND(G7+F7*Uso!$B$5,Uso!$B$6))</f>
        <v>19048.438999999998</v>
      </c>
      <c r="I7" s="6">
        <f t="shared" si="0"/>
        <v>2381.0548749999998</v>
      </c>
      <c r="J7" t="str">
        <f>IF(COUNTIF(Cruce!$A$5:$A$14,A7)&gt;0,"SKU de muestra","Regla extrapolada")</f>
        <v>Regla extrapolada</v>
      </c>
    </row>
    <row r="8" spans="1:10" ht="30" customHeight="1">
      <c r="A8" t="s">
        <v>80</v>
      </c>
      <c r="B8" s="5" t="s">
        <v>81</v>
      </c>
      <c r="C8">
        <v>1</v>
      </c>
      <c r="D8">
        <v>1</v>
      </c>
      <c r="E8">
        <v>5</v>
      </c>
      <c r="F8" s="6">
        <v>29950.720000000001</v>
      </c>
      <c r="G8" s="6">
        <v>36240.370999999999</v>
      </c>
      <c r="H8" s="6">
        <f>IF(OR(F8&lt;=0,G8&lt;=0),"",ROUND(G8+F8*Uso!$B$5,Uso!$B$6))</f>
        <v>37138.892999999996</v>
      </c>
      <c r="I8" s="6">
        <f t="shared" si="0"/>
        <v>37138.892999999996</v>
      </c>
      <c r="J8" t="str">
        <f>IF(COUNTIF(Cruce!$A$5:$A$14,A8)&gt;0,"SKU de muestra","Regla extrapolada")</f>
        <v>Regla extrapolada</v>
      </c>
    </row>
    <row r="9" spans="1:10" ht="30" customHeight="1">
      <c r="A9" t="s">
        <v>82</v>
      </c>
      <c r="B9" s="5" t="s">
        <v>83</v>
      </c>
      <c r="C9">
        <v>6</v>
      </c>
      <c r="D9">
        <v>315</v>
      </c>
      <c r="E9">
        <v>5</v>
      </c>
      <c r="F9" s="6">
        <v>10154.15</v>
      </c>
      <c r="G9" s="6">
        <v>12286.522000000001</v>
      </c>
      <c r="H9" s="6">
        <f>IF(OR(F9&lt;=0,G9&lt;=0),"",ROUND(G9+F9*Uso!$B$5,Uso!$B$6))</f>
        <v>12591.147000000001</v>
      </c>
      <c r="I9" s="6">
        <f t="shared" si="0"/>
        <v>2098.5245</v>
      </c>
      <c r="J9" t="str">
        <f>IF(COUNTIF(Cruce!$A$5:$A$14,A9)&gt;0,"SKU de muestra","Regla extrapolada")</f>
        <v>Regla extrapolada</v>
      </c>
    </row>
    <row r="10" spans="1:10" ht="30" customHeight="1">
      <c r="A10" t="s">
        <v>64</v>
      </c>
      <c r="B10" s="5" t="s">
        <v>84</v>
      </c>
      <c r="C10">
        <v>6</v>
      </c>
      <c r="D10">
        <v>315</v>
      </c>
      <c r="E10">
        <v>5</v>
      </c>
      <c r="F10" s="6">
        <v>10154.15</v>
      </c>
      <c r="G10" s="6">
        <v>12286.522000000001</v>
      </c>
      <c r="H10" s="6">
        <f>IF(OR(F10&lt;=0,G10&lt;=0),"",ROUND(G10+F10*Uso!$B$5,Uso!$B$6))</f>
        <v>12591.147000000001</v>
      </c>
      <c r="I10" s="6">
        <f t="shared" si="0"/>
        <v>2098.5245</v>
      </c>
      <c r="J10" t="str">
        <f>IF(COUNTIF(Cruce!$A$5:$A$14,A10)&gt;0,"SKU de muestra","Regla extrapolada")</f>
        <v>SKU de muestra</v>
      </c>
    </row>
    <row r="11" spans="1:10" ht="30" customHeight="1">
      <c r="A11" t="s">
        <v>85</v>
      </c>
      <c r="B11" s="5" t="s">
        <v>86</v>
      </c>
      <c r="C11">
        <v>6</v>
      </c>
      <c r="D11">
        <v>315</v>
      </c>
      <c r="E11">
        <v>5</v>
      </c>
      <c r="F11" s="6">
        <v>10154.15</v>
      </c>
      <c r="G11" s="6">
        <v>12286.522000000001</v>
      </c>
      <c r="H11" s="6">
        <f>IF(OR(F11&lt;=0,G11&lt;=0),"",ROUND(G11+F11*Uso!$B$5,Uso!$B$6))</f>
        <v>12591.147000000001</v>
      </c>
      <c r="I11" s="6">
        <f t="shared" si="0"/>
        <v>2098.5245</v>
      </c>
      <c r="J11" t="str">
        <f>IF(COUNTIF(Cruce!$A$5:$A$14,A11)&gt;0,"SKU de muestra","Regla extrapolada")</f>
        <v>Regla extrapolada</v>
      </c>
    </row>
    <row r="12" spans="1:10" ht="30" customHeight="1">
      <c r="A12" t="s">
        <v>87</v>
      </c>
      <c r="B12" s="5" t="s">
        <v>88</v>
      </c>
      <c r="C12">
        <v>6</v>
      </c>
      <c r="D12">
        <v>315</v>
      </c>
      <c r="E12">
        <v>5</v>
      </c>
      <c r="F12" s="6">
        <v>10154.15</v>
      </c>
      <c r="G12" s="6">
        <v>12286.522000000001</v>
      </c>
      <c r="H12" s="6">
        <f>IF(OR(F12&lt;=0,G12&lt;=0),"",ROUND(G12+F12*Uso!$B$5,Uso!$B$6))</f>
        <v>12591.147000000001</v>
      </c>
      <c r="I12" s="6">
        <f t="shared" si="0"/>
        <v>2098.5245</v>
      </c>
      <c r="J12" t="str">
        <f>IF(COUNTIF(Cruce!$A$5:$A$14,A12)&gt;0,"SKU de muestra","Regla extrapolada")</f>
        <v>Regla extrapolada</v>
      </c>
    </row>
    <row r="13" spans="1:10" ht="30" customHeight="1">
      <c r="A13" t="s">
        <v>89</v>
      </c>
      <c r="B13" s="5" t="s">
        <v>90</v>
      </c>
      <c r="C13">
        <v>8</v>
      </c>
      <c r="D13">
        <v>60</v>
      </c>
      <c r="E13">
        <v>5</v>
      </c>
      <c r="F13" s="6">
        <v>22063.34</v>
      </c>
      <c r="G13" s="6">
        <v>26696.641</v>
      </c>
      <c r="H13" s="6">
        <f>IF(OR(F13&lt;=0,G13&lt;=0),"",ROUND(G13+F13*Uso!$B$5,Uso!$B$6))</f>
        <v>27358.541000000001</v>
      </c>
      <c r="I13" s="6">
        <f t="shared" si="0"/>
        <v>3419.8176250000001</v>
      </c>
      <c r="J13" t="str">
        <f>IF(COUNTIF(Cruce!$A$5:$A$14,A13)&gt;0,"SKU de muestra","Regla extrapolada")</f>
        <v>Regla extrapolada</v>
      </c>
    </row>
    <row r="14" spans="1:10" ht="30" customHeight="1">
      <c r="A14" t="s">
        <v>91</v>
      </c>
      <c r="B14" s="5" t="s">
        <v>92</v>
      </c>
      <c r="C14">
        <v>1</v>
      </c>
      <c r="D14">
        <v>1</v>
      </c>
      <c r="E14">
        <v>0</v>
      </c>
      <c r="F14" s="6">
        <v>0</v>
      </c>
      <c r="G14" s="6">
        <v>0</v>
      </c>
      <c r="H14" s="6" t="str">
        <f>IF(OR(F14&lt;=0,G14&lt;=0),"",ROUND(G14+F14*Uso!$B$5,Uso!$B$6))</f>
        <v/>
      </c>
      <c r="I14" s="6" t="str">
        <f t="shared" si="0"/>
        <v/>
      </c>
      <c r="J14" t="str">
        <f>IF(COUNTIF(Cruce!$A$5:$A$14,A14)&gt;0,"SKU de muestra","Regla extrapolada")</f>
        <v>Regla extrapolada</v>
      </c>
    </row>
    <row r="15" spans="1:10" ht="30" customHeight="1">
      <c r="A15" t="s">
        <v>93</v>
      </c>
      <c r="B15" s="5" t="s">
        <v>94</v>
      </c>
      <c r="C15">
        <v>20</v>
      </c>
      <c r="D15">
        <v>70</v>
      </c>
      <c r="E15">
        <v>0</v>
      </c>
      <c r="F15" s="6">
        <v>0</v>
      </c>
      <c r="G15" s="6">
        <v>0</v>
      </c>
      <c r="H15" s="6" t="str">
        <f>IF(OR(F15&lt;=0,G15&lt;=0),"",ROUND(G15+F15*Uso!$B$5,Uso!$B$6))</f>
        <v/>
      </c>
      <c r="I15" s="6" t="str">
        <f t="shared" si="0"/>
        <v/>
      </c>
      <c r="J15" t="str">
        <f>IF(COUNTIF(Cruce!$A$5:$A$14,A15)&gt;0,"SKU de muestra","Regla extrapolada")</f>
        <v>Regla extrapolada</v>
      </c>
    </row>
    <row r="16" spans="1:10" ht="30" customHeight="1">
      <c r="A16" t="s">
        <v>95</v>
      </c>
      <c r="B16" s="5" t="s">
        <v>96</v>
      </c>
      <c r="C16">
        <v>1</v>
      </c>
      <c r="D16">
        <v>70</v>
      </c>
      <c r="E16">
        <v>0</v>
      </c>
      <c r="F16" s="6">
        <v>0</v>
      </c>
      <c r="G16" s="6">
        <v>0</v>
      </c>
      <c r="H16" s="6" t="str">
        <f>IF(OR(F16&lt;=0,G16&lt;=0),"",ROUND(G16+F16*Uso!$B$5,Uso!$B$6))</f>
        <v/>
      </c>
      <c r="I16" s="6" t="str">
        <f t="shared" si="0"/>
        <v/>
      </c>
      <c r="J16" t="str">
        <f>IF(COUNTIF(Cruce!$A$5:$A$14,A16)&gt;0,"SKU de muestra","Regla extrapolada")</f>
        <v>Regla extrapolada</v>
      </c>
    </row>
    <row r="17" spans="1:10" ht="30" customHeight="1">
      <c r="A17" t="s">
        <v>55</v>
      </c>
      <c r="B17" s="5" t="s">
        <v>97</v>
      </c>
      <c r="C17">
        <v>24</v>
      </c>
      <c r="D17">
        <v>100</v>
      </c>
      <c r="E17">
        <v>5</v>
      </c>
      <c r="F17" s="6">
        <v>35556.58</v>
      </c>
      <c r="G17" s="6">
        <v>47339.222000000002</v>
      </c>
      <c r="H17" s="6">
        <f>IF(OR(F17&lt;=0,G17&lt;=0),"",ROUND(G17+F17*Uso!$B$5,Uso!$B$6))</f>
        <v>48405.919000000002</v>
      </c>
      <c r="I17" s="6">
        <f t="shared" si="0"/>
        <v>2016.9132916666667</v>
      </c>
      <c r="J17" t="str">
        <f>IF(COUNTIF(Cruce!$A$5:$A$14,A17)&gt;0,"SKU de muestra","Regla extrapolada")</f>
        <v>SKU de muestra</v>
      </c>
    </row>
    <row r="18" spans="1:10" ht="30" customHeight="1">
      <c r="A18" t="s">
        <v>98</v>
      </c>
      <c r="B18" s="5" t="s">
        <v>99</v>
      </c>
      <c r="C18">
        <v>6</v>
      </c>
      <c r="D18">
        <v>140</v>
      </c>
      <c r="E18">
        <v>5</v>
      </c>
      <c r="F18" s="6">
        <v>9464.9</v>
      </c>
      <c r="G18" s="6">
        <v>11718.058999999999</v>
      </c>
      <c r="H18" s="6">
        <f>IF(OR(F18&lt;=0,G18&lt;=0),"",ROUND(G18+F18*Uso!$B$5,Uso!$B$6))</f>
        <v>12002.005999999999</v>
      </c>
      <c r="I18" s="6">
        <f t="shared" si="0"/>
        <v>2000.3343333333332</v>
      </c>
      <c r="J18" t="str">
        <f>IF(COUNTIF(Cruce!$A$5:$A$14,A18)&gt;0,"SKU de muestra","Regla extrapolada")</f>
        <v>Regla extrapolada</v>
      </c>
    </row>
    <row r="19" spans="1:10" ht="30" customHeight="1">
      <c r="A19" t="s">
        <v>100</v>
      </c>
      <c r="B19" s="5" t="s">
        <v>101</v>
      </c>
      <c r="C19">
        <v>6</v>
      </c>
      <c r="D19">
        <v>140</v>
      </c>
      <c r="E19">
        <v>5</v>
      </c>
      <c r="F19" s="6">
        <v>9287.73</v>
      </c>
      <c r="G19" s="6">
        <v>11497.343000000001</v>
      </c>
      <c r="H19" s="6">
        <f>IF(OR(F19&lt;=0,G19&lt;=0),"",ROUND(G19+F19*Uso!$B$5,Uso!$B$6))</f>
        <v>11775.975</v>
      </c>
      <c r="I19" s="6">
        <f t="shared" si="0"/>
        <v>1962.6625000000001</v>
      </c>
      <c r="J19" t="str">
        <f>IF(COUNTIF(Cruce!$A$5:$A$14,A19)&gt;0,"SKU de muestra","Regla extrapolada")</f>
        <v>Regla extrapolada</v>
      </c>
    </row>
    <row r="20" spans="1:10" ht="30" customHeight="1">
      <c r="A20" t="s">
        <v>102</v>
      </c>
      <c r="B20" s="5" t="s">
        <v>103</v>
      </c>
      <c r="C20">
        <v>12</v>
      </c>
      <c r="D20">
        <v>70</v>
      </c>
      <c r="E20">
        <v>5</v>
      </c>
      <c r="F20" s="6">
        <v>1751.8</v>
      </c>
      <c r="G20" s="6">
        <v>2339.058</v>
      </c>
      <c r="H20" s="6">
        <f>IF(OR(F20&lt;=0,G20&lt;=0),"",ROUND(G20+F20*Uso!$B$5,Uso!$B$6))</f>
        <v>2391.6120000000001</v>
      </c>
      <c r="I20" s="6">
        <f t="shared" si="0"/>
        <v>199.30100000000002</v>
      </c>
      <c r="J20" t="str">
        <f>IF(COUNTIF(Cruce!$A$5:$A$14,A20)&gt;0,"SKU de muestra","Regla extrapolada")</f>
        <v>Regla extrapolada</v>
      </c>
    </row>
    <row r="21" spans="1:10" ht="30" customHeight="1">
      <c r="A21" t="s">
        <v>104</v>
      </c>
      <c r="B21" s="5" t="s">
        <v>105</v>
      </c>
      <c r="C21">
        <v>12</v>
      </c>
      <c r="D21">
        <v>50</v>
      </c>
      <c r="E21">
        <v>5</v>
      </c>
      <c r="F21" s="6">
        <v>11446.65</v>
      </c>
      <c r="G21" s="6">
        <v>15283.916999999999</v>
      </c>
      <c r="H21" s="6">
        <f>IF(OR(F21&lt;=0,G21&lt;=0),"",ROUND(G21+F21*Uso!$B$5,Uso!$B$6))</f>
        <v>15627.316999999999</v>
      </c>
      <c r="I21" s="6">
        <f t="shared" si="0"/>
        <v>1302.2764166666666</v>
      </c>
      <c r="J21" t="str">
        <f>IF(COUNTIF(Cruce!$A$5:$A$14,A21)&gt;0,"SKU de muestra","Regla extrapolada")</f>
        <v>Regla extrapolada</v>
      </c>
    </row>
    <row r="22" spans="1:10" ht="30" customHeight="1">
      <c r="A22" t="s">
        <v>106</v>
      </c>
      <c r="B22" s="5" t="s">
        <v>107</v>
      </c>
      <c r="C22">
        <v>1</v>
      </c>
      <c r="D22">
        <v>50</v>
      </c>
      <c r="E22">
        <v>5</v>
      </c>
      <c r="F22" s="6">
        <v>22915.99</v>
      </c>
      <c r="G22" s="6">
        <v>27728.348000000002</v>
      </c>
      <c r="H22" s="6">
        <f>IF(OR(F22&lt;=0,G22&lt;=0),"",ROUND(G22+F22*Uso!$B$5,Uso!$B$6))</f>
        <v>28415.828000000001</v>
      </c>
      <c r="I22" s="6">
        <f t="shared" si="0"/>
        <v>28415.828000000001</v>
      </c>
      <c r="J22" t="str">
        <f>IF(COUNTIF(Cruce!$A$5:$A$14,A22)&gt;0,"SKU de muestra","Regla extrapolada")</f>
        <v>Regla extrapolada</v>
      </c>
    </row>
    <row r="23" spans="1:10" ht="30" customHeight="1">
      <c r="A23" t="s">
        <v>108</v>
      </c>
      <c r="B23" s="5" t="s">
        <v>109</v>
      </c>
      <c r="C23">
        <v>1</v>
      </c>
      <c r="D23">
        <v>70</v>
      </c>
      <c r="E23">
        <v>5</v>
      </c>
      <c r="F23" s="6">
        <v>13072.53</v>
      </c>
      <c r="G23" s="6">
        <v>15817.761</v>
      </c>
      <c r="H23" s="6">
        <f>IF(OR(F23&lt;=0,G23&lt;=0),"",ROUND(G23+F23*Uso!$B$5,Uso!$B$6))</f>
        <v>16209.937</v>
      </c>
      <c r="I23" s="6">
        <f t="shared" si="0"/>
        <v>16209.937</v>
      </c>
      <c r="J23" t="str">
        <f>IF(COUNTIF(Cruce!$A$5:$A$14,A23)&gt;0,"SKU de muestra","Regla extrapolada")</f>
        <v>Regla extrapolada</v>
      </c>
    </row>
    <row r="24" spans="1:10" ht="30" customHeight="1">
      <c r="A24" t="s">
        <v>110</v>
      </c>
      <c r="B24" s="5" t="s">
        <v>111</v>
      </c>
      <c r="C24">
        <v>1</v>
      </c>
      <c r="D24">
        <v>50</v>
      </c>
      <c r="E24">
        <v>5</v>
      </c>
      <c r="F24" s="6">
        <v>22915.99</v>
      </c>
      <c r="G24" s="6">
        <v>27728.348000000002</v>
      </c>
      <c r="H24" s="6">
        <f>IF(OR(F24&lt;=0,G24&lt;=0),"",ROUND(G24+F24*Uso!$B$5,Uso!$B$6))</f>
        <v>28415.828000000001</v>
      </c>
      <c r="I24" s="6">
        <f t="shared" si="0"/>
        <v>28415.828000000001</v>
      </c>
      <c r="J24" t="str">
        <f>IF(COUNTIF(Cruce!$A$5:$A$14,A24)&gt;0,"SKU de muestra","Regla extrapolada")</f>
        <v>Regla extrapolada</v>
      </c>
    </row>
    <row r="25" spans="1:10" ht="30" customHeight="1">
      <c r="A25" t="s">
        <v>112</v>
      </c>
      <c r="B25" s="5" t="s">
        <v>113</v>
      </c>
      <c r="C25">
        <v>1</v>
      </c>
      <c r="D25">
        <v>70</v>
      </c>
      <c r="E25">
        <v>5</v>
      </c>
      <c r="F25" s="6">
        <v>5554.98</v>
      </c>
      <c r="G25" s="6">
        <v>6721.5259999999998</v>
      </c>
      <c r="H25" s="6">
        <f>IF(OR(F25&lt;=0,G25&lt;=0),"",ROUND(G25+F25*Uso!$B$5,Uso!$B$6))</f>
        <v>6888.1750000000002</v>
      </c>
      <c r="I25" s="6">
        <f t="shared" si="0"/>
        <v>6888.1750000000002</v>
      </c>
      <c r="J25" t="str">
        <f>IF(COUNTIF(Cruce!$A$5:$A$14,A25)&gt;0,"SKU de muestra","Regla extrapolada")</f>
        <v>Regla extrapolada</v>
      </c>
    </row>
    <row r="26" spans="1:10" ht="30" customHeight="1">
      <c r="A26" t="s">
        <v>114</v>
      </c>
      <c r="B26" s="5" t="s">
        <v>115</v>
      </c>
      <c r="C26">
        <v>1</v>
      </c>
      <c r="D26">
        <v>1</v>
      </c>
      <c r="E26">
        <v>5</v>
      </c>
      <c r="F26" s="6">
        <v>29950.720000000001</v>
      </c>
      <c r="G26" s="6">
        <v>36240.370999999999</v>
      </c>
      <c r="H26" s="6">
        <f>IF(OR(F26&lt;=0,G26&lt;=0),"",ROUND(G26+F26*Uso!$B$5,Uso!$B$6))</f>
        <v>37138.892999999996</v>
      </c>
      <c r="I26" s="6">
        <f t="shared" si="0"/>
        <v>37138.892999999996</v>
      </c>
      <c r="J26" t="str">
        <f>IF(COUNTIF(Cruce!$A$5:$A$14,A26)&gt;0,"SKU de muestra","Regla extrapolada")</f>
        <v>Regla extrapolada</v>
      </c>
    </row>
    <row r="27" spans="1:10" ht="30" customHeight="1">
      <c r="A27" t="s">
        <v>116</v>
      </c>
      <c r="B27" s="5" t="s">
        <v>117</v>
      </c>
      <c r="C27">
        <v>1</v>
      </c>
      <c r="D27">
        <v>18</v>
      </c>
      <c r="E27">
        <v>5</v>
      </c>
      <c r="F27" s="6">
        <v>185900</v>
      </c>
      <c r="G27" s="6">
        <v>248219.4</v>
      </c>
      <c r="H27" s="6">
        <f>IF(OR(F27&lt;=0,G27&lt;=0),"",ROUND(G27+F27*Uso!$B$5,Uso!$B$6))</f>
        <v>253796.4</v>
      </c>
      <c r="I27" s="6">
        <f t="shared" si="0"/>
        <v>253796.4</v>
      </c>
      <c r="J27" t="str">
        <f>IF(COUNTIF(Cruce!$A$5:$A$14,A27)&gt;0,"SKU de muestra","Regla extrapolada")</f>
        <v>Regla extrapolada</v>
      </c>
    </row>
    <row r="28" spans="1:10" ht="30" customHeight="1">
      <c r="A28" t="s">
        <v>118</v>
      </c>
      <c r="B28" s="5" t="s">
        <v>119</v>
      </c>
      <c r="C28">
        <v>1</v>
      </c>
      <c r="D28">
        <v>12</v>
      </c>
      <c r="E28">
        <v>5</v>
      </c>
      <c r="F28" s="6">
        <v>185900</v>
      </c>
      <c r="G28" s="6">
        <v>248219.4</v>
      </c>
      <c r="H28" s="6">
        <f>IF(OR(F28&lt;=0,G28&lt;=0),"",ROUND(G28+F28*Uso!$B$5,Uso!$B$6))</f>
        <v>253796.4</v>
      </c>
      <c r="I28" s="6">
        <f t="shared" si="0"/>
        <v>253796.4</v>
      </c>
      <c r="J28" t="str">
        <f>IF(COUNTIF(Cruce!$A$5:$A$14,A28)&gt;0,"SKU de muestra","Regla extrapolada")</f>
        <v>Regla extrapolada</v>
      </c>
    </row>
    <row r="29" spans="1:10" ht="30" customHeight="1">
      <c r="A29" t="s">
        <v>120</v>
      </c>
      <c r="B29" s="5" t="s">
        <v>121</v>
      </c>
      <c r="C29">
        <v>1</v>
      </c>
      <c r="D29">
        <v>24</v>
      </c>
      <c r="E29">
        <v>5</v>
      </c>
      <c r="F29" s="6">
        <v>185900</v>
      </c>
      <c r="G29" s="6">
        <v>248219.4</v>
      </c>
      <c r="H29" s="6">
        <f>IF(OR(F29&lt;=0,G29&lt;=0),"",ROUND(G29+F29*Uso!$B$5,Uso!$B$6))</f>
        <v>253796.4</v>
      </c>
      <c r="I29" s="6">
        <f t="shared" si="0"/>
        <v>253796.4</v>
      </c>
      <c r="J29" t="str">
        <f>IF(COUNTIF(Cruce!$A$5:$A$14,A29)&gt;0,"SKU de muestra","Regla extrapolada")</f>
        <v>Regla extrapolada</v>
      </c>
    </row>
    <row r="30" spans="1:10" ht="30" customHeight="1">
      <c r="A30" t="s">
        <v>122</v>
      </c>
      <c r="B30" s="5" t="s">
        <v>123</v>
      </c>
      <c r="C30">
        <v>1</v>
      </c>
      <c r="D30">
        <v>1</v>
      </c>
      <c r="E30">
        <v>5</v>
      </c>
      <c r="F30" s="6">
        <v>29950.720000000001</v>
      </c>
      <c r="G30" s="6">
        <v>36240.370999999999</v>
      </c>
      <c r="H30" s="6">
        <f>IF(OR(F30&lt;=0,G30&lt;=0),"",ROUND(G30+F30*Uso!$B$5,Uso!$B$6))</f>
        <v>37138.892999999996</v>
      </c>
      <c r="I30" s="6">
        <f t="shared" si="0"/>
        <v>37138.892999999996</v>
      </c>
      <c r="J30" t="str">
        <f>IF(COUNTIF(Cruce!$A$5:$A$14,A30)&gt;0,"SKU de muestra","Regla extrapolada")</f>
        <v>Regla extrapolada</v>
      </c>
    </row>
    <row r="31" spans="1:10" ht="30" customHeight="1">
      <c r="A31" t="s">
        <v>124</v>
      </c>
      <c r="B31" s="5" t="s">
        <v>125</v>
      </c>
      <c r="C31">
        <v>1</v>
      </c>
      <c r="D31">
        <v>25</v>
      </c>
      <c r="E31">
        <v>5</v>
      </c>
      <c r="F31" s="6">
        <v>572000</v>
      </c>
      <c r="G31" s="6">
        <v>692120</v>
      </c>
      <c r="H31" s="6">
        <f>IF(OR(F31&lt;=0,G31&lt;=0),"",ROUND(G31+F31*Uso!$B$5,Uso!$B$6))</f>
        <v>709280</v>
      </c>
      <c r="I31" s="6">
        <f t="shared" si="0"/>
        <v>709280</v>
      </c>
      <c r="J31" t="str">
        <f>IF(COUNTIF(Cruce!$A$5:$A$14,A31)&gt;0,"SKU de muestra","Regla extrapolada")</f>
        <v>Regla extrapolada</v>
      </c>
    </row>
    <row r="32" spans="1:10" ht="30" customHeight="1">
      <c r="A32" t="s">
        <v>126</v>
      </c>
      <c r="B32" s="5" t="s">
        <v>127</v>
      </c>
      <c r="C32">
        <v>12</v>
      </c>
      <c r="D32">
        <v>50</v>
      </c>
      <c r="E32">
        <v>5</v>
      </c>
      <c r="F32" s="6">
        <v>11446.65</v>
      </c>
      <c r="G32" s="6">
        <v>15283.916999999999</v>
      </c>
      <c r="H32" s="6">
        <f>IF(OR(F32&lt;=0,G32&lt;=0),"",ROUND(G32+F32*Uso!$B$5,Uso!$B$6))</f>
        <v>15627.316999999999</v>
      </c>
      <c r="I32" s="6">
        <f t="shared" si="0"/>
        <v>1302.2764166666666</v>
      </c>
      <c r="J32" t="str">
        <f>IF(COUNTIF(Cruce!$A$5:$A$14,A32)&gt;0,"SKU de muestra","Regla extrapolada")</f>
        <v>Regla extrapolada</v>
      </c>
    </row>
    <row r="33" spans="1:10" ht="30" customHeight="1">
      <c r="A33" t="s">
        <v>128</v>
      </c>
      <c r="B33" s="5" t="s">
        <v>129</v>
      </c>
      <c r="C33">
        <v>1</v>
      </c>
      <c r="D33">
        <v>1</v>
      </c>
      <c r="E33">
        <v>5</v>
      </c>
      <c r="F33" s="6">
        <v>42010.8</v>
      </c>
      <c r="G33" s="6">
        <v>50833.067999999999</v>
      </c>
      <c r="H33" s="6">
        <f>IF(OR(F33&lt;=0,G33&lt;=0),"",ROUND(G33+F33*Uso!$B$5,Uso!$B$6))</f>
        <v>52093.392</v>
      </c>
      <c r="I33" s="6">
        <f t="shared" si="0"/>
        <v>52093.392</v>
      </c>
      <c r="J33" t="str">
        <f>IF(COUNTIF(Cruce!$A$5:$A$14,A33)&gt;0,"SKU de muestra","Regla extrapolada")</f>
        <v>Regla extrapolada</v>
      </c>
    </row>
    <row r="34" spans="1:10" ht="30" customHeight="1">
      <c r="A34" t="s">
        <v>130</v>
      </c>
      <c r="B34" s="5" t="s">
        <v>131</v>
      </c>
      <c r="C34">
        <v>1</v>
      </c>
      <c r="D34">
        <v>1</v>
      </c>
      <c r="E34">
        <v>0</v>
      </c>
      <c r="F34" s="6">
        <v>0</v>
      </c>
      <c r="G34" s="6">
        <v>0</v>
      </c>
      <c r="H34" s="6" t="str">
        <f>IF(OR(F34&lt;=0,G34&lt;=0),"",ROUND(G34+F34*Uso!$B$5,Uso!$B$6))</f>
        <v/>
      </c>
      <c r="I34" s="6" t="str">
        <f t="shared" si="0"/>
        <v/>
      </c>
      <c r="J34" t="str">
        <f>IF(COUNTIF(Cruce!$A$5:$A$14,A34)&gt;0,"SKU de muestra","Regla extrapolada")</f>
        <v>Regla extrapolada</v>
      </c>
    </row>
    <row r="35" spans="1:10" ht="30" customHeight="1">
      <c r="A35" t="s">
        <v>132</v>
      </c>
      <c r="B35" s="5" t="s">
        <v>133</v>
      </c>
      <c r="C35">
        <v>1</v>
      </c>
      <c r="D35">
        <v>1</v>
      </c>
      <c r="E35">
        <v>0</v>
      </c>
      <c r="F35" s="6">
        <v>0</v>
      </c>
      <c r="G35" s="6">
        <v>0</v>
      </c>
      <c r="H35" s="6" t="str">
        <f>IF(OR(F35&lt;=0,G35&lt;=0),"",ROUND(G35+F35*Uso!$B$5,Uso!$B$6))</f>
        <v/>
      </c>
      <c r="I35" s="6" t="str">
        <f t="shared" si="0"/>
        <v/>
      </c>
      <c r="J35" t="str">
        <f>IF(COUNTIF(Cruce!$A$5:$A$14,A35)&gt;0,"SKU de muestra","Regla extrapolada")</f>
        <v>Regla extrapolada</v>
      </c>
    </row>
    <row r="36" spans="1:10" ht="30" customHeight="1">
      <c r="A36" t="s">
        <v>134</v>
      </c>
      <c r="B36" s="5" t="s">
        <v>135</v>
      </c>
      <c r="C36">
        <v>1</v>
      </c>
      <c r="D36">
        <v>1</v>
      </c>
      <c r="E36">
        <v>5</v>
      </c>
      <c r="F36" s="6">
        <v>3282.74</v>
      </c>
      <c r="G36" s="6">
        <v>3972.1149999999998</v>
      </c>
      <c r="H36" s="6">
        <f>IF(OR(F36&lt;=0,G36&lt;=0),"",ROUND(G36+F36*Uso!$B$5,Uso!$B$6))</f>
        <v>4070.5970000000002</v>
      </c>
      <c r="I36" s="6">
        <f t="shared" si="0"/>
        <v>4070.5970000000002</v>
      </c>
      <c r="J36" t="str">
        <f>IF(COUNTIF(Cruce!$A$5:$A$14,A36)&gt;0,"SKU de muestra","Regla extrapolada")</f>
        <v>Regla extrapolada</v>
      </c>
    </row>
    <row r="37" spans="1:10" ht="30" customHeight="1">
      <c r="A37" t="s">
        <v>136</v>
      </c>
      <c r="B37" s="5" t="s">
        <v>137</v>
      </c>
      <c r="C37">
        <v>1</v>
      </c>
      <c r="D37">
        <v>1</v>
      </c>
      <c r="E37">
        <v>0</v>
      </c>
      <c r="F37" s="6">
        <v>0</v>
      </c>
      <c r="G37" s="6">
        <v>0</v>
      </c>
      <c r="H37" s="6" t="str">
        <f>IF(OR(F37&lt;=0,G37&lt;=0),"",ROUND(G37+F37*Uso!$B$5,Uso!$B$6))</f>
        <v/>
      </c>
      <c r="I37" s="6" t="str">
        <f t="shared" si="0"/>
        <v/>
      </c>
      <c r="J37" t="str">
        <f>IF(COUNTIF(Cruce!$A$5:$A$14,A37)&gt;0,"SKU de muestra","Regla extrapolada")</f>
        <v>Regla extrapolada</v>
      </c>
    </row>
    <row r="38" spans="1:10" ht="30" customHeight="1">
      <c r="A38" t="s">
        <v>138</v>
      </c>
      <c r="B38" s="5" t="s">
        <v>139</v>
      </c>
      <c r="C38">
        <v>1</v>
      </c>
      <c r="D38">
        <v>1</v>
      </c>
      <c r="E38">
        <v>0</v>
      </c>
      <c r="F38" s="6">
        <v>0</v>
      </c>
      <c r="G38" s="6">
        <v>0</v>
      </c>
      <c r="H38" s="6" t="str">
        <f>IF(OR(F38&lt;=0,G38&lt;=0),"",ROUND(G38+F38*Uso!$B$5,Uso!$B$6))</f>
        <v/>
      </c>
      <c r="I38" s="6" t="str">
        <f t="shared" si="0"/>
        <v/>
      </c>
      <c r="J38" t="str">
        <f>IF(COUNTIF(Cruce!$A$5:$A$14,A38)&gt;0,"SKU de muestra","Regla extrapolada")</f>
        <v>Regla extrapolada</v>
      </c>
    </row>
    <row r="39" spans="1:10" ht="30" customHeight="1">
      <c r="A39" t="s">
        <v>140</v>
      </c>
      <c r="B39" s="5" t="s">
        <v>141</v>
      </c>
      <c r="C39">
        <v>1</v>
      </c>
      <c r="D39">
        <v>144</v>
      </c>
      <c r="E39">
        <v>0</v>
      </c>
      <c r="F39" s="6">
        <v>0</v>
      </c>
      <c r="G39" s="6">
        <v>0</v>
      </c>
      <c r="H39" s="6" t="str">
        <f>IF(OR(F39&lt;=0,G39&lt;=0),"",ROUND(G39+F39*Uso!$B$5,Uso!$B$6))</f>
        <v/>
      </c>
      <c r="I39" s="6" t="str">
        <f t="shared" si="0"/>
        <v/>
      </c>
      <c r="J39" t="str">
        <f>IF(COUNTIF(Cruce!$A$5:$A$14,A39)&gt;0,"SKU de muestra","Regla extrapolada")</f>
        <v>Regla extrapolada</v>
      </c>
    </row>
    <row r="40" spans="1:10" ht="30" customHeight="1">
      <c r="A40" t="s">
        <v>142</v>
      </c>
      <c r="B40" s="5" t="s">
        <v>143</v>
      </c>
      <c r="C40">
        <v>1</v>
      </c>
      <c r="D40">
        <v>2</v>
      </c>
      <c r="E40">
        <v>0</v>
      </c>
      <c r="F40" s="6">
        <v>0</v>
      </c>
      <c r="G40" s="6">
        <v>0</v>
      </c>
      <c r="H40" s="6" t="str">
        <f>IF(OR(F40&lt;=0,G40&lt;=0),"",ROUND(G40+F40*Uso!$B$5,Uso!$B$6))</f>
        <v/>
      </c>
      <c r="I40" s="6" t="str">
        <f t="shared" si="0"/>
        <v/>
      </c>
      <c r="J40" t="str">
        <f>IF(COUNTIF(Cruce!$A$5:$A$14,A40)&gt;0,"SKU de muestra","Regla extrapolada")</f>
        <v>Regla extrapolada</v>
      </c>
    </row>
    <row r="41" spans="1:10" ht="30" customHeight="1">
      <c r="A41" t="s">
        <v>144</v>
      </c>
      <c r="B41" s="5" t="s">
        <v>145</v>
      </c>
      <c r="C41">
        <v>1</v>
      </c>
      <c r="D41">
        <v>1</v>
      </c>
      <c r="E41">
        <v>0</v>
      </c>
      <c r="F41" s="6">
        <v>0</v>
      </c>
      <c r="G41" s="6">
        <v>0</v>
      </c>
      <c r="H41" s="6" t="str">
        <f>IF(OR(F41&lt;=0,G41&lt;=0),"",ROUND(G41+F41*Uso!$B$5,Uso!$B$6))</f>
        <v/>
      </c>
      <c r="I41" s="6" t="str">
        <f t="shared" si="0"/>
        <v/>
      </c>
      <c r="J41" t="str">
        <f>IF(COUNTIF(Cruce!$A$5:$A$14,A41)&gt;0,"SKU de muestra","Regla extrapolada")</f>
        <v>Regla extrapolada</v>
      </c>
    </row>
    <row r="42" spans="1:10" ht="30" customHeight="1">
      <c r="A42" t="s">
        <v>146</v>
      </c>
      <c r="B42" s="5" t="s">
        <v>147</v>
      </c>
      <c r="C42">
        <v>1</v>
      </c>
      <c r="D42">
        <v>2</v>
      </c>
      <c r="E42">
        <v>0</v>
      </c>
      <c r="F42" s="6">
        <v>0</v>
      </c>
      <c r="G42" s="6">
        <v>0</v>
      </c>
      <c r="H42" s="6" t="str">
        <f>IF(OR(F42&lt;=0,G42&lt;=0),"",ROUND(G42+F42*Uso!$B$5,Uso!$B$6))</f>
        <v/>
      </c>
      <c r="I42" s="6" t="str">
        <f t="shared" si="0"/>
        <v/>
      </c>
      <c r="J42" t="str">
        <f>IF(COUNTIF(Cruce!$A$5:$A$14,A42)&gt;0,"SKU de muestra","Regla extrapolada")</f>
        <v>Regla extrapolada</v>
      </c>
    </row>
    <row r="43" spans="1:10" ht="30" customHeight="1">
      <c r="A43" t="s">
        <v>148</v>
      </c>
      <c r="B43" s="5" t="s">
        <v>149</v>
      </c>
      <c r="C43">
        <v>1</v>
      </c>
      <c r="D43">
        <v>1</v>
      </c>
      <c r="E43">
        <v>0</v>
      </c>
      <c r="F43" s="6">
        <v>0</v>
      </c>
      <c r="G43" s="6">
        <v>0</v>
      </c>
      <c r="H43" s="6" t="str">
        <f>IF(OR(F43&lt;=0,G43&lt;=0),"",ROUND(G43+F43*Uso!$B$5,Uso!$B$6))</f>
        <v/>
      </c>
      <c r="I43" s="6" t="str">
        <f t="shared" si="0"/>
        <v/>
      </c>
      <c r="J43" t="str">
        <f>IF(COUNTIF(Cruce!$A$5:$A$14,A43)&gt;0,"SKU de muestra","Regla extrapolada")</f>
        <v>Regla extrapolada</v>
      </c>
    </row>
    <row r="44" spans="1:10" ht="30" customHeight="1">
      <c r="A44" t="s">
        <v>150</v>
      </c>
      <c r="B44" s="5" t="s">
        <v>151</v>
      </c>
      <c r="C44">
        <v>1</v>
      </c>
      <c r="D44">
        <v>1</v>
      </c>
      <c r="E44">
        <v>0</v>
      </c>
      <c r="F44" s="6">
        <v>0</v>
      </c>
      <c r="G44" s="6">
        <v>0</v>
      </c>
      <c r="H44" s="6" t="str">
        <f>IF(OR(F44&lt;=0,G44&lt;=0),"",ROUND(G44+F44*Uso!$B$5,Uso!$B$6))</f>
        <v/>
      </c>
      <c r="I44" s="6" t="str">
        <f t="shared" si="0"/>
        <v/>
      </c>
      <c r="J44" t="str">
        <f>IF(COUNTIF(Cruce!$A$5:$A$14,A44)&gt;0,"SKU de muestra","Regla extrapolada")</f>
        <v>Regla extrapolada</v>
      </c>
    </row>
    <row r="45" spans="1:10" ht="30" customHeight="1">
      <c r="A45" t="s">
        <v>152</v>
      </c>
      <c r="B45" s="5" t="s">
        <v>153</v>
      </c>
      <c r="C45">
        <v>1</v>
      </c>
      <c r="D45">
        <v>1</v>
      </c>
      <c r="E45">
        <v>0</v>
      </c>
      <c r="F45" s="6">
        <v>0</v>
      </c>
      <c r="G45" s="6">
        <v>0</v>
      </c>
      <c r="H45" s="6" t="str">
        <f>IF(OR(F45&lt;=0,G45&lt;=0),"",ROUND(G45+F45*Uso!$B$5,Uso!$B$6))</f>
        <v/>
      </c>
      <c r="I45" s="6" t="str">
        <f t="shared" si="0"/>
        <v/>
      </c>
      <c r="J45" t="str">
        <f>IF(COUNTIF(Cruce!$A$5:$A$14,A45)&gt;0,"SKU de muestra","Regla extrapolada")</f>
        <v>Regla extrapolada</v>
      </c>
    </row>
    <row r="46" spans="1:10" ht="30" customHeight="1">
      <c r="A46" t="s">
        <v>154</v>
      </c>
      <c r="B46" s="5" t="s">
        <v>155</v>
      </c>
      <c r="C46">
        <v>1</v>
      </c>
      <c r="D46">
        <v>1</v>
      </c>
      <c r="E46">
        <v>0</v>
      </c>
      <c r="F46" s="6">
        <v>0</v>
      </c>
      <c r="G46" s="6">
        <v>0</v>
      </c>
      <c r="H46" s="6" t="str">
        <f>IF(OR(F46&lt;=0,G46&lt;=0),"",ROUND(G46+F46*Uso!$B$5,Uso!$B$6))</f>
        <v/>
      </c>
      <c r="I46" s="6" t="str">
        <f t="shared" si="0"/>
        <v/>
      </c>
      <c r="J46" t="str">
        <f>IF(COUNTIF(Cruce!$A$5:$A$14,A46)&gt;0,"SKU de muestra","Regla extrapolada")</f>
        <v>Regla extrapolada</v>
      </c>
    </row>
    <row r="47" spans="1:10" ht="30" customHeight="1">
      <c r="A47" t="s">
        <v>156</v>
      </c>
      <c r="B47" s="5" t="s">
        <v>157</v>
      </c>
      <c r="C47">
        <v>1</v>
      </c>
      <c r="D47">
        <v>1</v>
      </c>
      <c r="E47">
        <v>0</v>
      </c>
      <c r="F47" s="6">
        <v>0</v>
      </c>
      <c r="G47" s="6">
        <v>0</v>
      </c>
      <c r="H47" s="6" t="str">
        <f>IF(OR(F47&lt;=0,G47&lt;=0),"",ROUND(G47+F47*Uso!$B$5,Uso!$B$6))</f>
        <v/>
      </c>
      <c r="I47" s="6" t="str">
        <f t="shared" si="0"/>
        <v/>
      </c>
      <c r="J47" t="str">
        <f>IF(COUNTIF(Cruce!$A$5:$A$14,A47)&gt;0,"SKU de muestra","Regla extrapolada")</f>
        <v>Regla extrapolada</v>
      </c>
    </row>
    <row r="48" spans="1:10" ht="30" customHeight="1">
      <c r="A48" t="s">
        <v>158</v>
      </c>
      <c r="B48" s="5" t="s">
        <v>159</v>
      </c>
      <c r="C48">
        <v>1</v>
      </c>
      <c r="D48">
        <v>1</v>
      </c>
      <c r="E48">
        <v>0</v>
      </c>
      <c r="F48" s="6">
        <v>0</v>
      </c>
      <c r="G48" s="6">
        <v>0</v>
      </c>
      <c r="H48" s="6" t="str">
        <f>IF(OR(F48&lt;=0,G48&lt;=0),"",ROUND(G48+F48*Uso!$B$5,Uso!$B$6))</f>
        <v/>
      </c>
      <c r="I48" s="6" t="str">
        <f t="shared" si="0"/>
        <v/>
      </c>
      <c r="J48" t="str">
        <f>IF(COUNTIF(Cruce!$A$5:$A$14,A48)&gt;0,"SKU de muestra","Regla extrapolada")</f>
        <v>Regla extrapolada</v>
      </c>
    </row>
    <row r="49" spans="1:10" ht="30" customHeight="1">
      <c r="A49" t="s">
        <v>160</v>
      </c>
      <c r="B49" s="5" t="s">
        <v>161</v>
      </c>
      <c r="C49">
        <v>1</v>
      </c>
      <c r="D49">
        <v>32</v>
      </c>
      <c r="E49">
        <v>0</v>
      </c>
      <c r="F49" s="6">
        <v>0</v>
      </c>
      <c r="G49" s="6">
        <v>0</v>
      </c>
      <c r="H49" s="6" t="str">
        <f>IF(OR(F49&lt;=0,G49&lt;=0),"",ROUND(G49+F49*Uso!$B$5,Uso!$B$6))</f>
        <v/>
      </c>
      <c r="I49" s="6" t="str">
        <f t="shared" si="0"/>
        <v/>
      </c>
      <c r="J49" t="str">
        <f>IF(COUNTIF(Cruce!$A$5:$A$14,A49)&gt;0,"SKU de muestra","Regla extrapolada")</f>
        <v>Regla extrapolada</v>
      </c>
    </row>
    <row r="50" spans="1:10" ht="30" customHeight="1">
      <c r="A50" t="s">
        <v>162</v>
      </c>
      <c r="B50" s="5" t="s">
        <v>163</v>
      </c>
      <c r="C50">
        <v>1</v>
      </c>
      <c r="D50">
        <v>144</v>
      </c>
      <c r="E50">
        <v>0</v>
      </c>
      <c r="F50" s="6">
        <v>0</v>
      </c>
      <c r="G50" s="6">
        <v>0</v>
      </c>
      <c r="H50" s="6" t="str">
        <f>IF(OR(F50&lt;=0,G50&lt;=0),"",ROUND(G50+F50*Uso!$B$5,Uso!$B$6))</f>
        <v/>
      </c>
      <c r="I50" s="6" t="str">
        <f t="shared" si="0"/>
        <v/>
      </c>
      <c r="J50" t="str">
        <f>IF(COUNTIF(Cruce!$A$5:$A$14,A50)&gt;0,"SKU de muestra","Regla extrapolada")</f>
        <v>Regla extrapolada</v>
      </c>
    </row>
    <row r="51" spans="1:10" ht="30" customHeight="1">
      <c r="A51" t="s">
        <v>164</v>
      </c>
      <c r="B51" s="5" t="s">
        <v>165</v>
      </c>
      <c r="C51">
        <v>1</v>
      </c>
      <c r="D51">
        <v>1</v>
      </c>
      <c r="E51">
        <v>0</v>
      </c>
      <c r="F51" s="6">
        <v>0</v>
      </c>
      <c r="G51" s="6">
        <v>0</v>
      </c>
      <c r="H51" s="6" t="str">
        <f>IF(OR(F51&lt;=0,G51&lt;=0),"",ROUND(G51+F51*Uso!$B$5,Uso!$B$6))</f>
        <v/>
      </c>
      <c r="I51" s="6" t="str">
        <f t="shared" si="0"/>
        <v/>
      </c>
      <c r="J51" t="str">
        <f>IF(COUNTIF(Cruce!$A$5:$A$14,A51)&gt;0,"SKU de muestra","Regla extrapolada")</f>
        <v>Regla extrapolada</v>
      </c>
    </row>
    <row r="52" spans="1:10" ht="30" customHeight="1">
      <c r="A52" t="s">
        <v>166</v>
      </c>
      <c r="B52" s="5" t="s">
        <v>167</v>
      </c>
      <c r="C52">
        <v>1</v>
      </c>
      <c r="D52">
        <v>1</v>
      </c>
      <c r="E52">
        <v>0</v>
      </c>
      <c r="F52" s="6">
        <v>0</v>
      </c>
      <c r="G52" s="6">
        <v>0</v>
      </c>
      <c r="H52" s="6" t="str">
        <f>IF(OR(F52&lt;=0,G52&lt;=0),"",ROUND(G52+F52*Uso!$B$5,Uso!$B$6))</f>
        <v/>
      </c>
      <c r="I52" s="6" t="str">
        <f t="shared" si="0"/>
        <v/>
      </c>
      <c r="J52" t="str">
        <f>IF(COUNTIF(Cruce!$A$5:$A$14,A52)&gt;0,"SKU de muestra","Regla extrapolada")</f>
        <v>Regla extrapolada</v>
      </c>
    </row>
    <row r="53" spans="1:10" ht="30" customHeight="1">
      <c r="A53" t="s">
        <v>168</v>
      </c>
      <c r="B53" s="5" t="s">
        <v>169</v>
      </c>
      <c r="C53">
        <v>1</v>
      </c>
      <c r="D53">
        <v>2</v>
      </c>
      <c r="E53">
        <v>0</v>
      </c>
      <c r="F53" s="6">
        <v>0</v>
      </c>
      <c r="G53" s="6">
        <v>0</v>
      </c>
      <c r="H53" s="6" t="str">
        <f>IF(OR(F53&lt;=0,G53&lt;=0),"",ROUND(G53+F53*Uso!$B$5,Uso!$B$6))</f>
        <v/>
      </c>
      <c r="I53" s="6" t="str">
        <f t="shared" si="0"/>
        <v/>
      </c>
      <c r="J53" t="str">
        <f>IF(COUNTIF(Cruce!$A$5:$A$14,A53)&gt;0,"SKU de muestra","Regla extrapolada")</f>
        <v>Regla extrapolada</v>
      </c>
    </row>
    <row r="54" spans="1:10" ht="30" customHeight="1">
      <c r="A54" t="s">
        <v>170</v>
      </c>
      <c r="B54" s="5" t="s">
        <v>171</v>
      </c>
      <c r="C54">
        <v>1</v>
      </c>
      <c r="D54">
        <v>1</v>
      </c>
      <c r="E54">
        <v>0</v>
      </c>
      <c r="F54" s="6">
        <v>0</v>
      </c>
      <c r="G54" s="6">
        <v>0</v>
      </c>
      <c r="H54" s="6" t="str">
        <f>IF(OR(F54&lt;=0,G54&lt;=0),"",ROUND(G54+F54*Uso!$B$5,Uso!$B$6))</f>
        <v/>
      </c>
      <c r="I54" s="6" t="str">
        <f t="shared" si="0"/>
        <v/>
      </c>
      <c r="J54" t="str">
        <f>IF(COUNTIF(Cruce!$A$5:$A$14,A54)&gt;0,"SKU de muestra","Regla extrapolada")</f>
        <v>Regla extrapolada</v>
      </c>
    </row>
    <row r="55" spans="1:10" ht="30" customHeight="1">
      <c r="A55" t="s">
        <v>172</v>
      </c>
      <c r="B55" s="5" t="s">
        <v>173</v>
      </c>
      <c r="C55">
        <v>1</v>
      </c>
      <c r="D55">
        <v>2</v>
      </c>
      <c r="E55">
        <v>0</v>
      </c>
      <c r="F55" s="6">
        <v>0</v>
      </c>
      <c r="G55" s="6">
        <v>0</v>
      </c>
      <c r="H55" s="6" t="str">
        <f>IF(OR(F55&lt;=0,G55&lt;=0),"",ROUND(G55+F55*Uso!$B$5,Uso!$B$6))</f>
        <v/>
      </c>
      <c r="I55" s="6" t="str">
        <f t="shared" si="0"/>
        <v/>
      </c>
      <c r="J55" t="str">
        <f>IF(COUNTIF(Cruce!$A$5:$A$14,A55)&gt;0,"SKU de muestra","Regla extrapolada")</f>
        <v>Regla extrapolada</v>
      </c>
    </row>
    <row r="56" spans="1:10" ht="30" customHeight="1">
      <c r="A56" t="s">
        <v>174</v>
      </c>
      <c r="B56" s="5" t="s">
        <v>175</v>
      </c>
      <c r="C56">
        <v>1</v>
      </c>
      <c r="D56">
        <v>1</v>
      </c>
      <c r="E56">
        <v>0</v>
      </c>
      <c r="F56" s="6">
        <v>0</v>
      </c>
      <c r="G56" s="6">
        <v>0</v>
      </c>
      <c r="H56" s="6" t="str">
        <f>IF(OR(F56&lt;=0,G56&lt;=0),"",ROUND(G56+F56*Uso!$B$5,Uso!$B$6))</f>
        <v/>
      </c>
      <c r="I56" s="6" t="str">
        <f t="shared" si="0"/>
        <v/>
      </c>
      <c r="J56" t="str">
        <f>IF(COUNTIF(Cruce!$A$5:$A$14,A56)&gt;0,"SKU de muestra","Regla extrapolada")</f>
        <v>Regla extrapolada</v>
      </c>
    </row>
    <row r="57" spans="1:10" ht="30" customHeight="1">
      <c r="A57" t="s">
        <v>176</v>
      </c>
      <c r="B57" s="5" t="s">
        <v>177</v>
      </c>
      <c r="C57">
        <v>1</v>
      </c>
      <c r="D57">
        <v>32</v>
      </c>
      <c r="E57">
        <v>0</v>
      </c>
      <c r="F57" s="6">
        <v>0</v>
      </c>
      <c r="G57" s="6">
        <v>0</v>
      </c>
      <c r="H57" s="6" t="str">
        <f>IF(OR(F57&lt;=0,G57&lt;=0),"",ROUND(G57+F57*Uso!$B$5,Uso!$B$6))</f>
        <v/>
      </c>
      <c r="I57" s="6" t="str">
        <f t="shared" si="0"/>
        <v/>
      </c>
      <c r="J57" t="str">
        <f>IF(COUNTIF(Cruce!$A$5:$A$14,A57)&gt;0,"SKU de muestra","Regla extrapolada")</f>
        <v>Regla extrapolada</v>
      </c>
    </row>
    <row r="58" spans="1:10" ht="30" customHeight="1">
      <c r="A58" t="s">
        <v>178</v>
      </c>
      <c r="B58" s="5" t="s">
        <v>179</v>
      </c>
      <c r="C58">
        <v>1</v>
      </c>
      <c r="D58">
        <v>144</v>
      </c>
      <c r="E58">
        <v>0</v>
      </c>
      <c r="F58" s="6">
        <v>0</v>
      </c>
      <c r="G58" s="6">
        <v>0</v>
      </c>
      <c r="H58" s="6" t="str">
        <f>IF(OR(F58&lt;=0,G58&lt;=0),"",ROUND(G58+F58*Uso!$B$5,Uso!$B$6))</f>
        <v/>
      </c>
      <c r="I58" s="6" t="str">
        <f t="shared" si="0"/>
        <v/>
      </c>
      <c r="J58" t="str">
        <f>IF(COUNTIF(Cruce!$A$5:$A$14,A58)&gt;0,"SKU de muestra","Regla extrapolada")</f>
        <v>Regla extrapolada</v>
      </c>
    </row>
    <row r="59" spans="1:10" ht="30" customHeight="1">
      <c r="A59" t="s">
        <v>180</v>
      </c>
      <c r="B59" s="5" t="s">
        <v>181</v>
      </c>
      <c r="C59">
        <v>1</v>
      </c>
      <c r="D59">
        <v>32</v>
      </c>
      <c r="E59">
        <v>0</v>
      </c>
      <c r="F59" s="6">
        <v>0</v>
      </c>
      <c r="G59" s="6">
        <v>0</v>
      </c>
      <c r="H59" s="6" t="str">
        <f>IF(OR(F59&lt;=0,G59&lt;=0),"",ROUND(G59+F59*Uso!$B$5,Uso!$B$6))</f>
        <v/>
      </c>
      <c r="I59" s="6" t="str">
        <f t="shared" si="0"/>
        <v/>
      </c>
      <c r="J59" t="str">
        <f>IF(COUNTIF(Cruce!$A$5:$A$14,A59)&gt;0,"SKU de muestra","Regla extrapolada")</f>
        <v>Regla extrapolada</v>
      </c>
    </row>
    <row r="60" spans="1:10" ht="30" customHeight="1">
      <c r="A60" t="s">
        <v>182</v>
      </c>
      <c r="B60" s="5" t="s">
        <v>183</v>
      </c>
      <c r="C60">
        <v>1</v>
      </c>
      <c r="D60">
        <v>1</v>
      </c>
      <c r="E60">
        <v>0</v>
      </c>
      <c r="F60" s="6">
        <v>0</v>
      </c>
      <c r="G60" s="6">
        <v>0</v>
      </c>
      <c r="H60" s="6" t="str">
        <f>IF(OR(F60&lt;=0,G60&lt;=0),"",ROUND(G60+F60*Uso!$B$5,Uso!$B$6))</f>
        <v/>
      </c>
      <c r="I60" s="6" t="str">
        <f t="shared" si="0"/>
        <v/>
      </c>
      <c r="J60" t="str">
        <f>IF(COUNTIF(Cruce!$A$5:$A$14,A60)&gt;0,"SKU de muestra","Regla extrapolada")</f>
        <v>Regla extrapolada</v>
      </c>
    </row>
    <row r="61" spans="1:10" ht="30" customHeight="1">
      <c r="A61" t="s">
        <v>184</v>
      </c>
      <c r="B61" s="5" t="s">
        <v>185</v>
      </c>
      <c r="C61">
        <v>1</v>
      </c>
      <c r="D61">
        <v>1</v>
      </c>
      <c r="E61">
        <v>0</v>
      </c>
      <c r="F61" s="6">
        <v>0</v>
      </c>
      <c r="G61" s="6">
        <v>0</v>
      </c>
      <c r="H61" s="6" t="str">
        <f>IF(OR(F61&lt;=0,G61&lt;=0),"",ROUND(G61+F61*Uso!$B$5,Uso!$B$6))</f>
        <v/>
      </c>
      <c r="I61" s="6" t="str">
        <f t="shared" si="0"/>
        <v/>
      </c>
      <c r="J61" t="str">
        <f>IF(COUNTIF(Cruce!$A$5:$A$14,A61)&gt;0,"SKU de muestra","Regla extrapolada")</f>
        <v>Regla extrapolada</v>
      </c>
    </row>
    <row r="62" spans="1:10" ht="30" customHeight="1">
      <c r="A62" t="s">
        <v>186</v>
      </c>
      <c r="B62" s="5" t="s">
        <v>187</v>
      </c>
      <c r="C62">
        <v>1</v>
      </c>
      <c r="D62">
        <v>32</v>
      </c>
      <c r="E62">
        <v>0</v>
      </c>
      <c r="F62" s="6">
        <v>0</v>
      </c>
      <c r="G62" s="6">
        <v>0</v>
      </c>
      <c r="H62" s="6" t="str">
        <f>IF(OR(F62&lt;=0,G62&lt;=0),"",ROUND(G62+F62*Uso!$B$5,Uso!$B$6))</f>
        <v/>
      </c>
      <c r="I62" s="6" t="str">
        <f t="shared" si="0"/>
        <v/>
      </c>
      <c r="J62" t="str">
        <f>IF(COUNTIF(Cruce!$A$5:$A$14,A62)&gt;0,"SKU de muestra","Regla extrapolada")</f>
        <v>Regla extrapolada</v>
      </c>
    </row>
    <row r="63" spans="1:10" ht="30" customHeight="1">
      <c r="A63" t="s">
        <v>188</v>
      </c>
      <c r="B63" s="5" t="s">
        <v>189</v>
      </c>
      <c r="C63">
        <v>1</v>
      </c>
      <c r="D63">
        <v>32</v>
      </c>
      <c r="E63">
        <v>0</v>
      </c>
      <c r="F63" s="6">
        <v>0</v>
      </c>
      <c r="G63" s="6">
        <v>0</v>
      </c>
      <c r="H63" s="6" t="str">
        <f>IF(OR(F63&lt;=0,G63&lt;=0),"",ROUND(G63+F63*Uso!$B$5,Uso!$B$6))</f>
        <v/>
      </c>
      <c r="I63" s="6" t="str">
        <f t="shared" si="0"/>
        <v/>
      </c>
      <c r="J63" t="str">
        <f>IF(COUNTIF(Cruce!$A$5:$A$14,A63)&gt;0,"SKU de muestra","Regla extrapolada")</f>
        <v>Regla extrapolada</v>
      </c>
    </row>
    <row r="64" spans="1:10" ht="30" customHeight="1">
      <c r="A64" t="s">
        <v>190</v>
      </c>
      <c r="B64" s="5" t="s">
        <v>191</v>
      </c>
      <c r="C64">
        <v>1</v>
      </c>
      <c r="D64">
        <v>144</v>
      </c>
      <c r="E64">
        <v>0</v>
      </c>
      <c r="F64" s="6">
        <v>0</v>
      </c>
      <c r="G64" s="6">
        <v>0</v>
      </c>
      <c r="H64" s="6" t="str">
        <f>IF(OR(F64&lt;=0,G64&lt;=0),"",ROUND(G64+F64*Uso!$B$5,Uso!$B$6))</f>
        <v/>
      </c>
      <c r="I64" s="6" t="str">
        <f t="shared" si="0"/>
        <v/>
      </c>
      <c r="J64" t="str">
        <f>IF(COUNTIF(Cruce!$A$5:$A$14,A64)&gt;0,"SKU de muestra","Regla extrapolada")</f>
        <v>Regla extrapolada</v>
      </c>
    </row>
    <row r="65" spans="1:10" ht="30" customHeight="1">
      <c r="A65" t="s">
        <v>192</v>
      </c>
      <c r="B65" s="5" t="s">
        <v>193</v>
      </c>
      <c r="C65">
        <v>1</v>
      </c>
      <c r="D65">
        <v>32</v>
      </c>
      <c r="E65">
        <v>0</v>
      </c>
      <c r="F65" s="6">
        <v>0</v>
      </c>
      <c r="G65" s="6">
        <v>0</v>
      </c>
      <c r="H65" s="6" t="str">
        <f>IF(OR(F65&lt;=0,G65&lt;=0),"",ROUND(G65+F65*Uso!$B$5,Uso!$B$6))</f>
        <v/>
      </c>
      <c r="I65" s="6" t="str">
        <f t="shared" si="0"/>
        <v/>
      </c>
      <c r="J65" t="str">
        <f>IF(COUNTIF(Cruce!$A$5:$A$14,A65)&gt;0,"SKU de muestra","Regla extrapolada")</f>
        <v>Regla extrapolada</v>
      </c>
    </row>
    <row r="66" spans="1:10" ht="30" customHeight="1">
      <c r="A66" t="s">
        <v>194</v>
      </c>
      <c r="B66" s="5" t="s">
        <v>195</v>
      </c>
      <c r="C66">
        <v>1</v>
      </c>
      <c r="D66">
        <v>36</v>
      </c>
      <c r="E66">
        <v>0</v>
      </c>
      <c r="F66" s="6">
        <v>0</v>
      </c>
      <c r="G66" s="6">
        <v>0</v>
      </c>
      <c r="H66" s="6" t="str">
        <f>IF(OR(F66&lt;=0,G66&lt;=0),"",ROUND(G66+F66*Uso!$B$5,Uso!$B$6))</f>
        <v/>
      </c>
      <c r="I66" s="6" t="str">
        <f t="shared" si="0"/>
        <v/>
      </c>
      <c r="J66" t="str">
        <f>IF(COUNTIF(Cruce!$A$5:$A$14,A66)&gt;0,"SKU de muestra","Regla extrapolada")</f>
        <v>Regla extrapolada</v>
      </c>
    </row>
    <row r="67" spans="1:10" ht="30" customHeight="1">
      <c r="A67" t="s">
        <v>196</v>
      </c>
      <c r="B67" s="5" t="s">
        <v>197</v>
      </c>
      <c r="C67">
        <v>1</v>
      </c>
      <c r="D67">
        <v>36</v>
      </c>
      <c r="E67">
        <v>0</v>
      </c>
      <c r="F67" s="6">
        <v>0</v>
      </c>
      <c r="G67" s="6">
        <v>0</v>
      </c>
      <c r="H67" s="6" t="str">
        <f>IF(OR(F67&lt;=0,G67&lt;=0),"",ROUND(G67+F67*Uso!$B$5,Uso!$B$6))</f>
        <v/>
      </c>
      <c r="I67" s="6" t="str">
        <f t="shared" si="0"/>
        <v/>
      </c>
      <c r="J67" t="str">
        <f>IF(COUNTIF(Cruce!$A$5:$A$14,A67)&gt;0,"SKU de muestra","Regla extrapolada")</f>
        <v>Regla extrapolada</v>
      </c>
    </row>
    <row r="68" spans="1:10" ht="30" customHeight="1">
      <c r="A68" t="s">
        <v>198</v>
      </c>
      <c r="B68" s="5" t="s">
        <v>199</v>
      </c>
      <c r="C68">
        <v>1</v>
      </c>
      <c r="D68">
        <v>1</v>
      </c>
      <c r="E68">
        <v>0</v>
      </c>
      <c r="F68" s="6">
        <v>0</v>
      </c>
      <c r="G68" s="6">
        <v>0</v>
      </c>
      <c r="H68" s="6" t="str">
        <f>IF(OR(F68&lt;=0,G68&lt;=0),"",ROUND(G68+F68*Uso!$B$5,Uso!$B$6))</f>
        <v/>
      </c>
      <c r="I68" s="6" t="str">
        <f t="shared" si="0"/>
        <v/>
      </c>
      <c r="J68" t="str">
        <f>IF(COUNTIF(Cruce!$A$5:$A$14,A68)&gt;0,"SKU de muestra","Regla extrapolada")</f>
        <v>Regla extrapolada</v>
      </c>
    </row>
    <row r="69" spans="1:10" ht="30" customHeight="1">
      <c r="A69" t="s">
        <v>200</v>
      </c>
      <c r="B69" s="5" t="s">
        <v>201</v>
      </c>
      <c r="C69">
        <v>1</v>
      </c>
      <c r="D69">
        <v>36</v>
      </c>
      <c r="E69">
        <v>0</v>
      </c>
      <c r="F69" s="6">
        <v>0</v>
      </c>
      <c r="G69" s="6">
        <v>0</v>
      </c>
      <c r="H69" s="6" t="str">
        <f>IF(OR(F69&lt;=0,G69&lt;=0),"",ROUND(G69+F69*Uso!$B$5,Uso!$B$6))</f>
        <v/>
      </c>
      <c r="I69" s="6" t="str">
        <f t="shared" ref="I69:I132" si="1">IF(OR(H69="",C69&lt;=0),"",H69/C69)</f>
        <v/>
      </c>
      <c r="J69" t="str">
        <f>IF(COUNTIF(Cruce!$A$5:$A$14,A69)&gt;0,"SKU de muestra","Regla extrapolada")</f>
        <v>Regla extrapolada</v>
      </c>
    </row>
    <row r="70" spans="1:10" ht="30" customHeight="1">
      <c r="A70" t="s">
        <v>202</v>
      </c>
      <c r="B70" s="5" t="s">
        <v>203</v>
      </c>
      <c r="C70">
        <v>1</v>
      </c>
      <c r="D70">
        <v>1</v>
      </c>
      <c r="E70">
        <v>0</v>
      </c>
      <c r="F70" s="6">
        <v>0</v>
      </c>
      <c r="G70" s="6">
        <v>0</v>
      </c>
      <c r="H70" s="6" t="str">
        <f>IF(OR(F70&lt;=0,G70&lt;=0),"",ROUND(G70+F70*Uso!$B$5,Uso!$B$6))</f>
        <v/>
      </c>
      <c r="I70" s="6" t="str">
        <f t="shared" si="1"/>
        <v/>
      </c>
      <c r="J70" t="str">
        <f>IF(COUNTIF(Cruce!$A$5:$A$14,A70)&gt;0,"SKU de muestra","Regla extrapolada")</f>
        <v>Regla extrapolada</v>
      </c>
    </row>
    <row r="71" spans="1:10" ht="30" customHeight="1">
      <c r="A71" t="s">
        <v>204</v>
      </c>
      <c r="B71" s="5" t="s">
        <v>205</v>
      </c>
      <c r="C71">
        <v>1</v>
      </c>
      <c r="D71">
        <v>1</v>
      </c>
      <c r="E71">
        <v>0</v>
      </c>
      <c r="F71" s="6">
        <v>0</v>
      </c>
      <c r="G71" s="6">
        <v>0</v>
      </c>
      <c r="H71" s="6" t="str">
        <f>IF(OR(F71&lt;=0,G71&lt;=0),"",ROUND(G71+F71*Uso!$B$5,Uso!$B$6))</f>
        <v/>
      </c>
      <c r="I71" s="6" t="str">
        <f t="shared" si="1"/>
        <v/>
      </c>
      <c r="J71" t="str">
        <f>IF(COUNTIF(Cruce!$A$5:$A$14,A71)&gt;0,"SKU de muestra","Regla extrapolada")</f>
        <v>Regla extrapolada</v>
      </c>
    </row>
    <row r="72" spans="1:10" ht="30" customHeight="1">
      <c r="A72" t="s">
        <v>206</v>
      </c>
      <c r="B72" s="5" t="s">
        <v>207</v>
      </c>
      <c r="C72">
        <v>1</v>
      </c>
      <c r="D72">
        <v>36</v>
      </c>
      <c r="E72">
        <v>0</v>
      </c>
      <c r="F72" s="6">
        <v>0</v>
      </c>
      <c r="G72" s="6">
        <v>0</v>
      </c>
      <c r="H72" s="6" t="str">
        <f>IF(OR(F72&lt;=0,G72&lt;=0),"",ROUND(G72+F72*Uso!$B$5,Uso!$B$6))</f>
        <v/>
      </c>
      <c r="I72" s="6" t="str">
        <f t="shared" si="1"/>
        <v/>
      </c>
      <c r="J72" t="str">
        <f>IF(COUNTIF(Cruce!$A$5:$A$14,A72)&gt;0,"SKU de muestra","Regla extrapolada")</f>
        <v>Regla extrapolada</v>
      </c>
    </row>
    <row r="73" spans="1:10" ht="30" customHeight="1">
      <c r="A73" t="s">
        <v>208</v>
      </c>
      <c r="B73" s="5" t="s">
        <v>209</v>
      </c>
      <c r="C73">
        <v>1</v>
      </c>
      <c r="D73">
        <v>1</v>
      </c>
      <c r="E73">
        <v>0</v>
      </c>
      <c r="F73" s="6">
        <v>0</v>
      </c>
      <c r="G73" s="6">
        <v>0</v>
      </c>
      <c r="H73" s="6" t="str">
        <f>IF(OR(F73&lt;=0,G73&lt;=0),"",ROUND(G73+F73*Uso!$B$5,Uso!$B$6))</f>
        <v/>
      </c>
      <c r="I73" s="6" t="str">
        <f t="shared" si="1"/>
        <v/>
      </c>
      <c r="J73" t="str">
        <f>IF(COUNTIF(Cruce!$A$5:$A$14,A73)&gt;0,"SKU de muestra","Regla extrapolada")</f>
        <v>Regla extrapolada</v>
      </c>
    </row>
    <row r="74" spans="1:10" ht="30" customHeight="1">
      <c r="A74" t="s">
        <v>210</v>
      </c>
      <c r="B74" s="5" t="s">
        <v>211</v>
      </c>
      <c r="C74">
        <v>1</v>
      </c>
      <c r="D74">
        <v>32</v>
      </c>
      <c r="E74">
        <v>0</v>
      </c>
      <c r="F74" s="6">
        <v>0</v>
      </c>
      <c r="G74" s="6">
        <v>0</v>
      </c>
      <c r="H74" s="6" t="str">
        <f>IF(OR(F74&lt;=0,G74&lt;=0),"",ROUND(G74+F74*Uso!$B$5,Uso!$B$6))</f>
        <v/>
      </c>
      <c r="I74" s="6" t="str">
        <f t="shared" si="1"/>
        <v/>
      </c>
      <c r="J74" t="str">
        <f>IF(COUNTIF(Cruce!$A$5:$A$14,A74)&gt;0,"SKU de muestra","Regla extrapolada")</f>
        <v>Regla extrapolada</v>
      </c>
    </row>
    <row r="75" spans="1:10" ht="30" customHeight="1">
      <c r="A75" t="s">
        <v>212</v>
      </c>
      <c r="B75" s="5" t="s">
        <v>213</v>
      </c>
      <c r="C75">
        <v>1</v>
      </c>
      <c r="D75">
        <v>1</v>
      </c>
      <c r="E75">
        <v>0</v>
      </c>
      <c r="F75" s="6">
        <v>0</v>
      </c>
      <c r="G75" s="6">
        <v>0</v>
      </c>
      <c r="H75" s="6" t="str">
        <f>IF(OR(F75&lt;=0,G75&lt;=0),"",ROUND(G75+F75*Uso!$B$5,Uso!$B$6))</f>
        <v/>
      </c>
      <c r="I75" s="6" t="str">
        <f t="shared" si="1"/>
        <v/>
      </c>
      <c r="J75" t="str">
        <f>IF(COUNTIF(Cruce!$A$5:$A$14,A75)&gt;0,"SKU de muestra","Regla extrapolada")</f>
        <v>Regla extrapolada</v>
      </c>
    </row>
    <row r="76" spans="1:10" ht="30" customHeight="1">
      <c r="A76" t="s">
        <v>214</v>
      </c>
      <c r="B76" s="5" t="s">
        <v>215</v>
      </c>
      <c r="C76">
        <v>1</v>
      </c>
      <c r="D76">
        <v>36</v>
      </c>
      <c r="E76">
        <v>0</v>
      </c>
      <c r="F76" s="6">
        <v>0</v>
      </c>
      <c r="G76" s="6">
        <v>0</v>
      </c>
      <c r="H76" s="6" t="str">
        <f>IF(OR(F76&lt;=0,G76&lt;=0),"",ROUND(G76+F76*Uso!$B$5,Uso!$B$6))</f>
        <v/>
      </c>
      <c r="I76" s="6" t="str">
        <f t="shared" si="1"/>
        <v/>
      </c>
      <c r="J76" t="str">
        <f>IF(COUNTIF(Cruce!$A$5:$A$14,A76)&gt;0,"SKU de muestra","Regla extrapolada")</f>
        <v>Regla extrapolada</v>
      </c>
    </row>
    <row r="77" spans="1:10" ht="30" customHeight="1">
      <c r="A77" t="s">
        <v>216</v>
      </c>
      <c r="B77" s="5" t="s">
        <v>217</v>
      </c>
      <c r="C77">
        <v>1</v>
      </c>
      <c r="D77">
        <v>1</v>
      </c>
      <c r="E77">
        <v>0</v>
      </c>
      <c r="F77" s="6">
        <v>0</v>
      </c>
      <c r="G77" s="6">
        <v>0</v>
      </c>
      <c r="H77" s="6" t="str">
        <f>IF(OR(F77&lt;=0,G77&lt;=0),"",ROUND(G77+F77*Uso!$B$5,Uso!$B$6))</f>
        <v/>
      </c>
      <c r="I77" s="6" t="str">
        <f t="shared" si="1"/>
        <v/>
      </c>
      <c r="J77" t="str">
        <f>IF(COUNTIF(Cruce!$A$5:$A$14,A77)&gt;0,"SKU de muestra","Regla extrapolada")</f>
        <v>Regla extrapolada</v>
      </c>
    </row>
    <row r="78" spans="1:10" ht="30" customHeight="1">
      <c r="A78" t="s">
        <v>218</v>
      </c>
      <c r="B78" s="5" t="s">
        <v>219</v>
      </c>
      <c r="C78">
        <v>1</v>
      </c>
      <c r="D78">
        <v>36</v>
      </c>
      <c r="E78">
        <v>0</v>
      </c>
      <c r="F78" s="6">
        <v>0</v>
      </c>
      <c r="G78" s="6">
        <v>0</v>
      </c>
      <c r="H78" s="6" t="str">
        <f>IF(OR(F78&lt;=0,G78&lt;=0),"",ROUND(G78+F78*Uso!$B$5,Uso!$B$6))</f>
        <v/>
      </c>
      <c r="I78" s="6" t="str">
        <f t="shared" si="1"/>
        <v/>
      </c>
      <c r="J78" t="str">
        <f>IF(COUNTIF(Cruce!$A$5:$A$14,A78)&gt;0,"SKU de muestra","Regla extrapolada")</f>
        <v>Regla extrapolada</v>
      </c>
    </row>
    <row r="79" spans="1:10" ht="30" customHeight="1">
      <c r="A79" t="s">
        <v>220</v>
      </c>
      <c r="B79" s="5" t="s">
        <v>221</v>
      </c>
      <c r="C79">
        <v>1</v>
      </c>
      <c r="D79">
        <v>32</v>
      </c>
      <c r="E79">
        <v>0</v>
      </c>
      <c r="F79" s="6">
        <v>0</v>
      </c>
      <c r="G79" s="6">
        <v>0</v>
      </c>
      <c r="H79" s="6" t="str">
        <f>IF(OR(F79&lt;=0,G79&lt;=0),"",ROUND(G79+F79*Uso!$B$5,Uso!$B$6))</f>
        <v/>
      </c>
      <c r="I79" s="6" t="str">
        <f t="shared" si="1"/>
        <v/>
      </c>
      <c r="J79" t="str">
        <f>IF(COUNTIF(Cruce!$A$5:$A$14,A79)&gt;0,"SKU de muestra","Regla extrapolada")</f>
        <v>Regla extrapolada</v>
      </c>
    </row>
    <row r="80" spans="1:10" ht="30" customHeight="1">
      <c r="A80" t="s">
        <v>222</v>
      </c>
      <c r="B80" s="5" t="s">
        <v>223</v>
      </c>
      <c r="C80">
        <v>1</v>
      </c>
      <c r="D80">
        <v>36</v>
      </c>
      <c r="E80">
        <v>0</v>
      </c>
      <c r="F80" s="6">
        <v>0</v>
      </c>
      <c r="G80" s="6">
        <v>0</v>
      </c>
      <c r="H80" s="6" t="str">
        <f>IF(OR(F80&lt;=0,G80&lt;=0),"",ROUND(G80+F80*Uso!$B$5,Uso!$B$6))</f>
        <v/>
      </c>
      <c r="I80" s="6" t="str">
        <f t="shared" si="1"/>
        <v/>
      </c>
      <c r="J80" t="str">
        <f>IF(COUNTIF(Cruce!$A$5:$A$14,A80)&gt;0,"SKU de muestra","Regla extrapolada")</f>
        <v>Regla extrapolada</v>
      </c>
    </row>
    <row r="81" spans="1:10" ht="30" customHeight="1">
      <c r="A81" t="s">
        <v>224</v>
      </c>
      <c r="B81" s="5" t="s">
        <v>225</v>
      </c>
      <c r="C81">
        <v>1</v>
      </c>
      <c r="D81">
        <v>1</v>
      </c>
      <c r="E81">
        <v>0</v>
      </c>
      <c r="F81" s="6">
        <v>0</v>
      </c>
      <c r="G81" s="6">
        <v>0</v>
      </c>
      <c r="H81" s="6" t="str">
        <f>IF(OR(F81&lt;=0,G81&lt;=0),"",ROUND(G81+F81*Uso!$B$5,Uso!$B$6))</f>
        <v/>
      </c>
      <c r="I81" s="6" t="str">
        <f t="shared" si="1"/>
        <v/>
      </c>
      <c r="J81" t="str">
        <f>IF(COUNTIF(Cruce!$A$5:$A$14,A81)&gt;0,"SKU de muestra","Regla extrapolada")</f>
        <v>Regla extrapolada</v>
      </c>
    </row>
    <row r="82" spans="1:10" ht="30" customHeight="1">
      <c r="A82" t="s">
        <v>226</v>
      </c>
      <c r="B82" s="5" t="s">
        <v>227</v>
      </c>
      <c r="C82">
        <v>1</v>
      </c>
      <c r="D82">
        <v>1</v>
      </c>
      <c r="E82">
        <v>0</v>
      </c>
      <c r="F82" s="6">
        <v>0</v>
      </c>
      <c r="G82" s="6">
        <v>0</v>
      </c>
      <c r="H82" s="6" t="str">
        <f>IF(OR(F82&lt;=0,G82&lt;=0),"",ROUND(G82+F82*Uso!$B$5,Uso!$B$6))</f>
        <v/>
      </c>
      <c r="I82" s="6" t="str">
        <f t="shared" si="1"/>
        <v/>
      </c>
      <c r="J82" t="str">
        <f>IF(COUNTIF(Cruce!$A$5:$A$14,A82)&gt;0,"SKU de muestra","Regla extrapolada")</f>
        <v>Regla extrapolada</v>
      </c>
    </row>
    <row r="83" spans="1:10" ht="30" customHeight="1">
      <c r="A83" t="s">
        <v>228</v>
      </c>
      <c r="B83" s="5" t="s">
        <v>229</v>
      </c>
      <c r="C83">
        <v>1</v>
      </c>
      <c r="D83">
        <v>1</v>
      </c>
      <c r="E83">
        <v>0</v>
      </c>
      <c r="F83" s="6">
        <v>0</v>
      </c>
      <c r="G83" s="6">
        <v>0</v>
      </c>
      <c r="H83" s="6" t="str">
        <f>IF(OR(F83&lt;=0,G83&lt;=0),"",ROUND(G83+F83*Uso!$B$5,Uso!$B$6))</f>
        <v/>
      </c>
      <c r="I83" s="6" t="str">
        <f t="shared" si="1"/>
        <v/>
      </c>
      <c r="J83" t="str">
        <f>IF(COUNTIF(Cruce!$A$5:$A$14,A83)&gt;0,"SKU de muestra","Regla extrapolada")</f>
        <v>Regla extrapolada</v>
      </c>
    </row>
    <row r="84" spans="1:10" ht="30" customHeight="1">
      <c r="A84" t="s">
        <v>230</v>
      </c>
      <c r="B84" s="5" t="s">
        <v>231</v>
      </c>
      <c r="C84">
        <v>1</v>
      </c>
      <c r="D84">
        <v>2</v>
      </c>
      <c r="E84">
        <v>0</v>
      </c>
      <c r="F84" s="6">
        <v>0</v>
      </c>
      <c r="G84" s="6">
        <v>0</v>
      </c>
      <c r="H84" s="6" t="str">
        <f>IF(OR(F84&lt;=0,G84&lt;=0),"",ROUND(G84+F84*Uso!$B$5,Uso!$B$6))</f>
        <v/>
      </c>
      <c r="I84" s="6" t="str">
        <f t="shared" si="1"/>
        <v/>
      </c>
      <c r="J84" t="str">
        <f>IF(COUNTIF(Cruce!$A$5:$A$14,A84)&gt;0,"SKU de muestra","Regla extrapolada")</f>
        <v>Regla extrapolada</v>
      </c>
    </row>
    <row r="85" spans="1:10" ht="30" customHeight="1">
      <c r="A85" t="s">
        <v>232</v>
      </c>
      <c r="B85" s="5" t="s">
        <v>233</v>
      </c>
      <c r="C85">
        <v>1</v>
      </c>
      <c r="D85">
        <v>2</v>
      </c>
      <c r="E85">
        <v>0</v>
      </c>
      <c r="F85" s="6">
        <v>0</v>
      </c>
      <c r="G85" s="6">
        <v>0</v>
      </c>
      <c r="H85" s="6" t="str">
        <f>IF(OR(F85&lt;=0,G85&lt;=0),"",ROUND(G85+F85*Uso!$B$5,Uso!$B$6))</f>
        <v/>
      </c>
      <c r="I85" s="6" t="str">
        <f t="shared" si="1"/>
        <v/>
      </c>
      <c r="J85" t="str">
        <f>IF(COUNTIF(Cruce!$A$5:$A$14,A85)&gt;0,"SKU de muestra","Regla extrapolada")</f>
        <v>Regla extrapolada</v>
      </c>
    </row>
    <row r="86" spans="1:10" ht="30" customHeight="1">
      <c r="A86" t="s">
        <v>234</v>
      </c>
      <c r="B86" s="5" t="s">
        <v>235</v>
      </c>
      <c r="C86">
        <v>1</v>
      </c>
      <c r="D86">
        <v>2</v>
      </c>
      <c r="E86">
        <v>0</v>
      </c>
      <c r="F86" s="6">
        <v>0</v>
      </c>
      <c r="G86" s="6">
        <v>0</v>
      </c>
      <c r="H86" s="6" t="str">
        <f>IF(OR(F86&lt;=0,G86&lt;=0),"",ROUND(G86+F86*Uso!$B$5,Uso!$B$6))</f>
        <v/>
      </c>
      <c r="I86" s="6" t="str">
        <f t="shared" si="1"/>
        <v/>
      </c>
      <c r="J86" t="str">
        <f>IF(COUNTIF(Cruce!$A$5:$A$14,A86)&gt;0,"SKU de muestra","Regla extrapolada")</f>
        <v>Regla extrapolada</v>
      </c>
    </row>
    <row r="87" spans="1:10" ht="30" customHeight="1">
      <c r="A87" t="s">
        <v>236</v>
      </c>
      <c r="B87" s="5" t="s">
        <v>237</v>
      </c>
      <c r="C87">
        <v>1</v>
      </c>
      <c r="D87">
        <v>2</v>
      </c>
      <c r="E87">
        <v>0</v>
      </c>
      <c r="F87" s="6">
        <v>0</v>
      </c>
      <c r="G87" s="6">
        <v>0</v>
      </c>
      <c r="H87" s="6" t="str">
        <f>IF(OR(F87&lt;=0,G87&lt;=0),"",ROUND(G87+F87*Uso!$B$5,Uso!$B$6))</f>
        <v/>
      </c>
      <c r="I87" s="6" t="str">
        <f t="shared" si="1"/>
        <v/>
      </c>
      <c r="J87" t="str">
        <f>IF(COUNTIF(Cruce!$A$5:$A$14,A87)&gt;0,"SKU de muestra","Regla extrapolada")</f>
        <v>Regla extrapolada</v>
      </c>
    </row>
    <row r="88" spans="1:10" ht="30" customHeight="1">
      <c r="A88" t="s">
        <v>238</v>
      </c>
      <c r="B88" s="5" t="s">
        <v>239</v>
      </c>
      <c r="C88">
        <v>1</v>
      </c>
      <c r="D88">
        <v>1</v>
      </c>
      <c r="E88">
        <v>0</v>
      </c>
      <c r="F88" s="6">
        <v>0</v>
      </c>
      <c r="G88" s="6">
        <v>0</v>
      </c>
      <c r="H88" s="6" t="str">
        <f>IF(OR(F88&lt;=0,G88&lt;=0),"",ROUND(G88+F88*Uso!$B$5,Uso!$B$6))</f>
        <v/>
      </c>
      <c r="I88" s="6" t="str">
        <f t="shared" si="1"/>
        <v/>
      </c>
      <c r="J88" t="str">
        <f>IF(COUNTIF(Cruce!$A$5:$A$14,A88)&gt;0,"SKU de muestra","Regla extrapolada")</f>
        <v>Regla extrapolada</v>
      </c>
    </row>
    <row r="89" spans="1:10" ht="30" customHeight="1">
      <c r="A89" t="s">
        <v>240</v>
      </c>
      <c r="B89" s="5" t="s">
        <v>241</v>
      </c>
      <c r="C89">
        <v>1</v>
      </c>
      <c r="D89">
        <v>1</v>
      </c>
      <c r="E89">
        <v>0</v>
      </c>
      <c r="F89" s="6">
        <v>0</v>
      </c>
      <c r="G89" s="6">
        <v>0</v>
      </c>
      <c r="H89" s="6" t="str">
        <f>IF(OR(F89&lt;=0,G89&lt;=0),"",ROUND(G89+F89*Uso!$B$5,Uso!$B$6))</f>
        <v/>
      </c>
      <c r="I89" s="6" t="str">
        <f t="shared" si="1"/>
        <v/>
      </c>
      <c r="J89" t="str">
        <f>IF(COUNTIF(Cruce!$A$5:$A$14,A89)&gt;0,"SKU de muestra","Regla extrapolada")</f>
        <v>Regla extrapolada</v>
      </c>
    </row>
    <row r="90" spans="1:10" ht="30" customHeight="1">
      <c r="A90" t="s">
        <v>242</v>
      </c>
      <c r="B90" s="5" t="s">
        <v>243</v>
      </c>
      <c r="C90">
        <v>1</v>
      </c>
      <c r="D90">
        <v>1</v>
      </c>
      <c r="E90">
        <v>0</v>
      </c>
      <c r="F90" s="6">
        <v>0</v>
      </c>
      <c r="G90" s="6">
        <v>0</v>
      </c>
      <c r="H90" s="6" t="str">
        <f>IF(OR(F90&lt;=0,G90&lt;=0),"",ROUND(G90+F90*Uso!$B$5,Uso!$B$6))</f>
        <v/>
      </c>
      <c r="I90" s="6" t="str">
        <f t="shared" si="1"/>
        <v/>
      </c>
      <c r="J90" t="str">
        <f>IF(COUNTIF(Cruce!$A$5:$A$14,A90)&gt;0,"SKU de muestra","Regla extrapolada")</f>
        <v>Regla extrapolada</v>
      </c>
    </row>
    <row r="91" spans="1:10" ht="30" customHeight="1">
      <c r="A91" t="s">
        <v>244</v>
      </c>
      <c r="B91" s="5" t="s">
        <v>245</v>
      </c>
      <c r="C91">
        <v>1</v>
      </c>
      <c r="D91">
        <v>1</v>
      </c>
      <c r="E91">
        <v>0</v>
      </c>
      <c r="F91" s="6">
        <v>0</v>
      </c>
      <c r="G91" s="6">
        <v>0</v>
      </c>
      <c r="H91" s="6" t="str">
        <f>IF(OR(F91&lt;=0,G91&lt;=0),"",ROUND(G91+F91*Uso!$B$5,Uso!$B$6))</f>
        <v/>
      </c>
      <c r="I91" s="6" t="str">
        <f t="shared" si="1"/>
        <v/>
      </c>
      <c r="J91" t="str">
        <f>IF(COUNTIF(Cruce!$A$5:$A$14,A91)&gt;0,"SKU de muestra","Regla extrapolada")</f>
        <v>Regla extrapolada</v>
      </c>
    </row>
    <row r="92" spans="1:10" ht="30" customHeight="1">
      <c r="A92" t="s">
        <v>246</v>
      </c>
      <c r="B92" s="5" t="s">
        <v>247</v>
      </c>
      <c r="C92">
        <v>1</v>
      </c>
      <c r="D92">
        <v>1</v>
      </c>
      <c r="E92">
        <v>0</v>
      </c>
      <c r="F92" s="6">
        <v>0</v>
      </c>
      <c r="G92" s="6">
        <v>0</v>
      </c>
      <c r="H92" s="6" t="str">
        <f>IF(OR(F92&lt;=0,G92&lt;=0),"",ROUND(G92+F92*Uso!$B$5,Uso!$B$6))</f>
        <v/>
      </c>
      <c r="I92" s="6" t="str">
        <f t="shared" si="1"/>
        <v/>
      </c>
      <c r="J92" t="str">
        <f>IF(COUNTIF(Cruce!$A$5:$A$14,A92)&gt;0,"SKU de muestra","Regla extrapolada")</f>
        <v>Regla extrapolada</v>
      </c>
    </row>
    <row r="93" spans="1:10" ht="30" customHeight="1">
      <c r="A93" t="s">
        <v>248</v>
      </c>
      <c r="B93" s="5" t="s">
        <v>249</v>
      </c>
      <c r="C93">
        <v>1</v>
      </c>
      <c r="D93">
        <v>1</v>
      </c>
      <c r="E93">
        <v>0</v>
      </c>
      <c r="F93" s="6">
        <v>0</v>
      </c>
      <c r="G93" s="6">
        <v>0</v>
      </c>
      <c r="H93" s="6" t="str">
        <f>IF(OR(F93&lt;=0,G93&lt;=0),"",ROUND(G93+F93*Uso!$B$5,Uso!$B$6))</f>
        <v/>
      </c>
      <c r="I93" s="6" t="str">
        <f t="shared" si="1"/>
        <v/>
      </c>
      <c r="J93" t="str">
        <f>IF(COUNTIF(Cruce!$A$5:$A$14,A93)&gt;0,"SKU de muestra","Regla extrapolada")</f>
        <v>Regla extrapolada</v>
      </c>
    </row>
    <row r="94" spans="1:10" ht="30" customHeight="1">
      <c r="A94" t="s">
        <v>250</v>
      </c>
      <c r="B94" s="5" t="s">
        <v>251</v>
      </c>
      <c r="C94">
        <v>1</v>
      </c>
      <c r="D94">
        <v>1</v>
      </c>
      <c r="E94">
        <v>0</v>
      </c>
      <c r="F94" s="6">
        <v>0</v>
      </c>
      <c r="G94" s="6">
        <v>0</v>
      </c>
      <c r="H94" s="6" t="str">
        <f>IF(OR(F94&lt;=0,G94&lt;=0),"",ROUND(G94+F94*Uso!$B$5,Uso!$B$6))</f>
        <v/>
      </c>
      <c r="I94" s="6" t="str">
        <f t="shared" si="1"/>
        <v/>
      </c>
      <c r="J94" t="str">
        <f>IF(COUNTIF(Cruce!$A$5:$A$14,A94)&gt;0,"SKU de muestra","Regla extrapolada")</f>
        <v>Regla extrapolada</v>
      </c>
    </row>
    <row r="95" spans="1:10" ht="30" customHeight="1">
      <c r="A95" t="s">
        <v>252</v>
      </c>
      <c r="B95" s="5" t="s">
        <v>253</v>
      </c>
      <c r="C95">
        <v>1</v>
      </c>
      <c r="D95">
        <v>2</v>
      </c>
      <c r="E95">
        <v>0</v>
      </c>
      <c r="F95" s="6">
        <v>0</v>
      </c>
      <c r="G95" s="6">
        <v>0</v>
      </c>
      <c r="H95" s="6" t="str">
        <f>IF(OR(F95&lt;=0,G95&lt;=0),"",ROUND(G95+F95*Uso!$B$5,Uso!$B$6))</f>
        <v/>
      </c>
      <c r="I95" s="6" t="str">
        <f t="shared" si="1"/>
        <v/>
      </c>
      <c r="J95" t="str">
        <f>IF(COUNTIF(Cruce!$A$5:$A$14,A95)&gt;0,"SKU de muestra","Regla extrapolada")</f>
        <v>Regla extrapolada</v>
      </c>
    </row>
    <row r="96" spans="1:10" ht="30" customHeight="1">
      <c r="A96" t="s">
        <v>254</v>
      </c>
      <c r="B96" s="5" t="s">
        <v>255</v>
      </c>
      <c r="C96">
        <v>1</v>
      </c>
      <c r="D96">
        <v>1</v>
      </c>
      <c r="E96">
        <v>0</v>
      </c>
      <c r="F96" s="6">
        <v>0</v>
      </c>
      <c r="G96" s="6">
        <v>0</v>
      </c>
      <c r="H96" s="6" t="str">
        <f>IF(OR(F96&lt;=0,G96&lt;=0),"",ROUND(G96+F96*Uso!$B$5,Uso!$B$6))</f>
        <v/>
      </c>
      <c r="I96" s="6" t="str">
        <f t="shared" si="1"/>
        <v/>
      </c>
      <c r="J96" t="str">
        <f>IF(COUNTIF(Cruce!$A$5:$A$14,A96)&gt;0,"SKU de muestra","Regla extrapolada")</f>
        <v>Regla extrapolada</v>
      </c>
    </row>
    <row r="97" spans="1:10" ht="30" customHeight="1">
      <c r="A97" t="s">
        <v>256</v>
      </c>
      <c r="B97" s="5" t="s">
        <v>257</v>
      </c>
      <c r="C97">
        <v>1</v>
      </c>
      <c r="D97">
        <v>2</v>
      </c>
      <c r="E97">
        <v>0</v>
      </c>
      <c r="F97" s="6">
        <v>0</v>
      </c>
      <c r="G97" s="6">
        <v>0</v>
      </c>
      <c r="H97" s="6" t="str">
        <f>IF(OR(F97&lt;=0,G97&lt;=0),"",ROUND(G97+F97*Uso!$B$5,Uso!$B$6))</f>
        <v/>
      </c>
      <c r="I97" s="6" t="str">
        <f t="shared" si="1"/>
        <v/>
      </c>
      <c r="J97" t="str">
        <f>IF(COUNTIF(Cruce!$A$5:$A$14,A97)&gt;0,"SKU de muestra","Regla extrapolada")</f>
        <v>Regla extrapolada</v>
      </c>
    </row>
    <row r="98" spans="1:10" ht="30" customHeight="1">
      <c r="A98" t="s">
        <v>258</v>
      </c>
      <c r="B98" s="5" t="s">
        <v>259</v>
      </c>
      <c r="C98">
        <v>1</v>
      </c>
      <c r="D98">
        <v>2</v>
      </c>
      <c r="E98">
        <v>0</v>
      </c>
      <c r="F98" s="6">
        <v>0</v>
      </c>
      <c r="G98" s="6">
        <v>0</v>
      </c>
      <c r="H98" s="6" t="str">
        <f>IF(OR(F98&lt;=0,G98&lt;=0),"",ROUND(G98+F98*Uso!$B$5,Uso!$B$6))</f>
        <v/>
      </c>
      <c r="I98" s="6" t="str">
        <f t="shared" si="1"/>
        <v/>
      </c>
      <c r="J98" t="str">
        <f>IF(COUNTIF(Cruce!$A$5:$A$14,A98)&gt;0,"SKU de muestra","Regla extrapolada")</f>
        <v>Regla extrapolada</v>
      </c>
    </row>
    <row r="99" spans="1:10" ht="30" customHeight="1">
      <c r="A99" t="s">
        <v>260</v>
      </c>
      <c r="B99" s="5" t="s">
        <v>261</v>
      </c>
      <c r="C99">
        <v>1</v>
      </c>
      <c r="D99">
        <v>1</v>
      </c>
      <c r="E99">
        <v>0</v>
      </c>
      <c r="F99" s="6">
        <v>0</v>
      </c>
      <c r="G99" s="6">
        <v>0</v>
      </c>
      <c r="H99" s="6" t="str">
        <f>IF(OR(F99&lt;=0,G99&lt;=0),"",ROUND(G99+F99*Uso!$B$5,Uso!$B$6))</f>
        <v/>
      </c>
      <c r="I99" s="6" t="str">
        <f t="shared" si="1"/>
        <v/>
      </c>
      <c r="J99" t="str">
        <f>IF(COUNTIF(Cruce!$A$5:$A$14,A99)&gt;0,"SKU de muestra","Regla extrapolada")</f>
        <v>Regla extrapolada</v>
      </c>
    </row>
    <row r="100" spans="1:10" ht="30" customHeight="1">
      <c r="A100" t="s">
        <v>262</v>
      </c>
      <c r="B100" s="5" t="s">
        <v>263</v>
      </c>
      <c r="C100">
        <v>1</v>
      </c>
      <c r="D100">
        <v>1</v>
      </c>
      <c r="E100">
        <v>0</v>
      </c>
      <c r="F100" s="6">
        <v>0</v>
      </c>
      <c r="G100" s="6">
        <v>0</v>
      </c>
      <c r="H100" s="6" t="str">
        <f>IF(OR(F100&lt;=0,G100&lt;=0),"",ROUND(G100+F100*Uso!$B$5,Uso!$B$6))</f>
        <v/>
      </c>
      <c r="I100" s="6" t="str">
        <f t="shared" si="1"/>
        <v/>
      </c>
      <c r="J100" t="str">
        <f>IF(COUNTIF(Cruce!$A$5:$A$14,A100)&gt;0,"SKU de muestra","Regla extrapolada")</f>
        <v>Regla extrapolada</v>
      </c>
    </row>
    <row r="101" spans="1:10" ht="30" customHeight="1">
      <c r="A101" t="s">
        <v>264</v>
      </c>
      <c r="B101" s="5" t="s">
        <v>265</v>
      </c>
      <c r="C101">
        <v>1</v>
      </c>
      <c r="D101">
        <v>1</v>
      </c>
      <c r="E101">
        <v>0</v>
      </c>
      <c r="F101" s="6">
        <v>0</v>
      </c>
      <c r="G101" s="6">
        <v>0</v>
      </c>
      <c r="H101" s="6" t="str">
        <f>IF(OR(F101&lt;=0,G101&lt;=0),"",ROUND(G101+F101*Uso!$B$5,Uso!$B$6))</f>
        <v/>
      </c>
      <c r="I101" s="6" t="str">
        <f t="shared" si="1"/>
        <v/>
      </c>
      <c r="J101" t="str">
        <f>IF(COUNTIF(Cruce!$A$5:$A$14,A101)&gt;0,"SKU de muestra","Regla extrapolada")</f>
        <v>Regla extrapolada</v>
      </c>
    </row>
    <row r="102" spans="1:10" ht="30" customHeight="1">
      <c r="A102" t="s">
        <v>266</v>
      </c>
      <c r="B102" s="5" t="s">
        <v>267</v>
      </c>
      <c r="C102">
        <v>1</v>
      </c>
      <c r="D102">
        <v>1</v>
      </c>
      <c r="E102">
        <v>0</v>
      </c>
      <c r="F102" s="6">
        <v>0</v>
      </c>
      <c r="G102" s="6">
        <v>0</v>
      </c>
      <c r="H102" s="6" t="str">
        <f>IF(OR(F102&lt;=0,G102&lt;=0),"",ROUND(G102+F102*Uso!$B$5,Uso!$B$6))</f>
        <v/>
      </c>
      <c r="I102" s="6" t="str">
        <f t="shared" si="1"/>
        <v/>
      </c>
      <c r="J102" t="str">
        <f>IF(COUNTIF(Cruce!$A$5:$A$14,A102)&gt;0,"SKU de muestra","Regla extrapolada")</f>
        <v>Regla extrapolada</v>
      </c>
    </row>
    <row r="103" spans="1:10" ht="30" customHeight="1">
      <c r="A103" t="s">
        <v>268</v>
      </c>
      <c r="B103" s="5" t="s">
        <v>269</v>
      </c>
      <c r="C103">
        <v>1</v>
      </c>
      <c r="D103">
        <v>1</v>
      </c>
      <c r="E103">
        <v>0</v>
      </c>
      <c r="F103" s="6">
        <v>0</v>
      </c>
      <c r="G103" s="6">
        <v>0</v>
      </c>
      <c r="H103" s="6" t="str">
        <f>IF(OR(F103&lt;=0,G103&lt;=0),"",ROUND(G103+F103*Uso!$B$5,Uso!$B$6))</f>
        <v/>
      </c>
      <c r="I103" s="6" t="str">
        <f t="shared" si="1"/>
        <v/>
      </c>
      <c r="J103" t="str">
        <f>IF(COUNTIF(Cruce!$A$5:$A$14,A103)&gt;0,"SKU de muestra","Regla extrapolada")</f>
        <v>Regla extrapolada</v>
      </c>
    </row>
    <row r="104" spans="1:10" ht="30" customHeight="1">
      <c r="A104" t="s">
        <v>270</v>
      </c>
      <c r="B104" s="5" t="s">
        <v>271</v>
      </c>
      <c r="C104">
        <v>1</v>
      </c>
      <c r="D104">
        <v>1</v>
      </c>
      <c r="E104">
        <v>0</v>
      </c>
      <c r="F104" s="6">
        <v>0</v>
      </c>
      <c r="G104" s="6">
        <v>0</v>
      </c>
      <c r="H104" s="6" t="str">
        <f>IF(OR(F104&lt;=0,G104&lt;=0),"",ROUND(G104+F104*Uso!$B$5,Uso!$B$6))</f>
        <v/>
      </c>
      <c r="I104" s="6" t="str">
        <f t="shared" si="1"/>
        <v/>
      </c>
      <c r="J104" t="str">
        <f>IF(COUNTIF(Cruce!$A$5:$A$14,A104)&gt;0,"SKU de muestra","Regla extrapolada")</f>
        <v>Regla extrapolada</v>
      </c>
    </row>
    <row r="105" spans="1:10" ht="30" customHeight="1">
      <c r="A105" t="s">
        <v>272</v>
      </c>
      <c r="B105" s="5" t="s">
        <v>273</v>
      </c>
      <c r="C105">
        <v>1</v>
      </c>
      <c r="D105">
        <v>1</v>
      </c>
      <c r="E105">
        <v>0</v>
      </c>
      <c r="F105" s="6">
        <v>0</v>
      </c>
      <c r="G105" s="6">
        <v>0</v>
      </c>
      <c r="H105" s="6" t="str">
        <f>IF(OR(F105&lt;=0,G105&lt;=0),"",ROUND(G105+F105*Uso!$B$5,Uso!$B$6))</f>
        <v/>
      </c>
      <c r="I105" s="6" t="str">
        <f t="shared" si="1"/>
        <v/>
      </c>
      <c r="J105" t="str">
        <f>IF(COUNTIF(Cruce!$A$5:$A$14,A105)&gt;0,"SKU de muestra","Regla extrapolada")</f>
        <v>Regla extrapolada</v>
      </c>
    </row>
    <row r="106" spans="1:10" ht="30" customHeight="1">
      <c r="A106" t="s">
        <v>274</v>
      </c>
      <c r="B106" s="5" t="s">
        <v>275</v>
      </c>
      <c r="C106">
        <v>1</v>
      </c>
      <c r="D106">
        <v>1</v>
      </c>
      <c r="E106">
        <v>0</v>
      </c>
      <c r="F106" s="6">
        <v>0</v>
      </c>
      <c r="G106" s="6">
        <v>0</v>
      </c>
      <c r="H106" s="6" t="str">
        <f>IF(OR(F106&lt;=0,G106&lt;=0),"",ROUND(G106+F106*Uso!$B$5,Uso!$B$6))</f>
        <v/>
      </c>
      <c r="I106" s="6" t="str">
        <f t="shared" si="1"/>
        <v/>
      </c>
      <c r="J106" t="str">
        <f>IF(COUNTIF(Cruce!$A$5:$A$14,A106)&gt;0,"SKU de muestra","Regla extrapolada")</f>
        <v>Regla extrapolada</v>
      </c>
    </row>
    <row r="107" spans="1:10" ht="30" customHeight="1">
      <c r="A107" t="s">
        <v>276</v>
      </c>
      <c r="B107" s="5" t="s">
        <v>277</v>
      </c>
      <c r="C107">
        <v>1</v>
      </c>
      <c r="D107">
        <v>1</v>
      </c>
      <c r="E107">
        <v>0</v>
      </c>
      <c r="F107" s="6">
        <v>0</v>
      </c>
      <c r="G107" s="6">
        <v>0</v>
      </c>
      <c r="H107" s="6" t="str">
        <f>IF(OR(F107&lt;=0,G107&lt;=0),"",ROUND(G107+F107*Uso!$B$5,Uso!$B$6))</f>
        <v/>
      </c>
      <c r="I107" s="6" t="str">
        <f t="shared" si="1"/>
        <v/>
      </c>
      <c r="J107" t="str">
        <f>IF(COUNTIF(Cruce!$A$5:$A$14,A107)&gt;0,"SKU de muestra","Regla extrapolada")</f>
        <v>Regla extrapolada</v>
      </c>
    </row>
    <row r="108" spans="1:10" ht="30" customHeight="1">
      <c r="A108" t="s">
        <v>278</v>
      </c>
      <c r="B108" s="5" t="s">
        <v>279</v>
      </c>
      <c r="C108">
        <v>1</v>
      </c>
      <c r="D108">
        <v>1</v>
      </c>
      <c r="E108">
        <v>0</v>
      </c>
      <c r="F108" s="6">
        <v>0</v>
      </c>
      <c r="G108" s="6">
        <v>0</v>
      </c>
      <c r="H108" s="6" t="str">
        <f>IF(OR(F108&lt;=0,G108&lt;=0),"",ROUND(G108+F108*Uso!$B$5,Uso!$B$6))</f>
        <v/>
      </c>
      <c r="I108" s="6" t="str">
        <f t="shared" si="1"/>
        <v/>
      </c>
      <c r="J108" t="str">
        <f>IF(COUNTIF(Cruce!$A$5:$A$14,A108)&gt;0,"SKU de muestra","Regla extrapolada")</f>
        <v>Regla extrapolada</v>
      </c>
    </row>
    <row r="109" spans="1:10" ht="30" customHeight="1">
      <c r="A109" t="s">
        <v>280</v>
      </c>
      <c r="B109" s="5" t="s">
        <v>281</v>
      </c>
      <c r="C109">
        <v>1</v>
      </c>
      <c r="D109">
        <v>25</v>
      </c>
      <c r="E109">
        <v>5</v>
      </c>
      <c r="F109" s="6">
        <v>572000</v>
      </c>
      <c r="G109" s="6">
        <v>692120</v>
      </c>
      <c r="H109" s="6">
        <f>IF(OR(F109&lt;=0,G109&lt;=0),"",ROUND(G109+F109*Uso!$B$5,Uso!$B$6))</f>
        <v>709280</v>
      </c>
      <c r="I109" s="6">
        <f t="shared" si="1"/>
        <v>709280</v>
      </c>
      <c r="J109" t="str">
        <f>IF(COUNTIF(Cruce!$A$5:$A$14,A109)&gt;0,"SKU de muestra","Regla extrapolada")</f>
        <v>Regla extrapolada</v>
      </c>
    </row>
    <row r="110" spans="1:10" ht="30" customHeight="1">
      <c r="A110" t="s">
        <v>282</v>
      </c>
      <c r="B110" s="5" t="s">
        <v>283</v>
      </c>
      <c r="C110">
        <v>8</v>
      </c>
      <c r="D110">
        <v>50</v>
      </c>
      <c r="E110">
        <v>5</v>
      </c>
      <c r="F110" s="6">
        <v>993.45</v>
      </c>
      <c r="G110" s="6">
        <v>1270.855</v>
      </c>
      <c r="H110" s="6">
        <f>IF(OR(F110&lt;=0,G110&lt;=0),"",ROUND(G110+F110*Uso!$B$5,Uso!$B$6))</f>
        <v>1300.6590000000001</v>
      </c>
      <c r="I110" s="6">
        <f t="shared" si="1"/>
        <v>162.58237500000001</v>
      </c>
      <c r="J110" t="str">
        <f>IF(COUNTIF(Cruce!$A$5:$A$14,A110)&gt;0,"SKU de muestra","Regla extrapolada")</f>
        <v>Regla extrapolada</v>
      </c>
    </row>
    <row r="111" spans="1:10" ht="30" customHeight="1">
      <c r="A111" t="s">
        <v>284</v>
      </c>
      <c r="B111" s="5" t="s">
        <v>285</v>
      </c>
      <c r="C111">
        <v>1</v>
      </c>
      <c r="D111">
        <v>50</v>
      </c>
      <c r="E111">
        <v>5</v>
      </c>
      <c r="F111" s="6">
        <v>2332.59</v>
      </c>
      <c r="G111" s="6">
        <v>2822.4340000000002</v>
      </c>
      <c r="H111" s="6">
        <f>IF(OR(F111&lt;=0,G111&lt;=0),"",ROUND(G111+F111*Uso!$B$5,Uso!$B$6))</f>
        <v>2892.4119999999998</v>
      </c>
      <c r="I111" s="6">
        <f t="shared" si="1"/>
        <v>2892.4119999999998</v>
      </c>
      <c r="J111" t="str">
        <f>IF(COUNTIF(Cruce!$A$5:$A$14,A111)&gt;0,"SKU de muestra","Regla extrapolada")</f>
        <v>Regla extrapolada</v>
      </c>
    </row>
    <row r="112" spans="1:10" ht="30" customHeight="1">
      <c r="A112" t="s">
        <v>286</v>
      </c>
      <c r="B112" s="5" t="s">
        <v>287</v>
      </c>
      <c r="C112">
        <v>24</v>
      </c>
      <c r="D112">
        <v>60</v>
      </c>
      <c r="E112">
        <v>5</v>
      </c>
      <c r="F112" s="6">
        <v>3777.83</v>
      </c>
      <c r="G112" s="6">
        <v>4832.7139999999999</v>
      </c>
      <c r="H112" s="6">
        <f>IF(OR(F112&lt;=0,G112&lt;=0),"",ROUND(G112+F112*Uso!$B$5,Uso!$B$6))</f>
        <v>4946.049</v>
      </c>
      <c r="I112" s="6">
        <f t="shared" si="1"/>
        <v>206.085375</v>
      </c>
      <c r="J112" t="str">
        <f>IF(COUNTIF(Cruce!$A$5:$A$14,A112)&gt;0,"SKU de muestra","Regla extrapolada")</f>
        <v>Regla extrapolada</v>
      </c>
    </row>
    <row r="113" spans="1:10" ht="30" customHeight="1">
      <c r="A113" t="s">
        <v>288</v>
      </c>
      <c r="B113" s="5" t="s">
        <v>289</v>
      </c>
      <c r="C113">
        <v>1</v>
      </c>
      <c r="D113">
        <v>60</v>
      </c>
      <c r="E113">
        <v>5</v>
      </c>
      <c r="F113" s="6">
        <v>9701.0499999999993</v>
      </c>
      <c r="G113" s="6">
        <v>11738.271000000001</v>
      </c>
      <c r="H113" s="6">
        <f>IF(OR(F113&lt;=0,G113&lt;=0),"",ROUND(G113+F113*Uso!$B$5,Uso!$B$6))</f>
        <v>12029.303</v>
      </c>
      <c r="I113" s="6">
        <f t="shared" si="1"/>
        <v>12029.303</v>
      </c>
      <c r="J113" t="str">
        <f>IF(COUNTIF(Cruce!$A$5:$A$14,A113)&gt;0,"SKU de muestra","Regla extrapolada")</f>
        <v>Regla extrapolada</v>
      </c>
    </row>
    <row r="114" spans="1:10" ht="30" customHeight="1">
      <c r="A114" t="s">
        <v>290</v>
      </c>
      <c r="B114" s="5" t="s">
        <v>291</v>
      </c>
      <c r="C114">
        <v>8</v>
      </c>
      <c r="D114">
        <v>60</v>
      </c>
      <c r="E114">
        <v>5</v>
      </c>
      <c r="F114" s="6">
        <v>31.41</v>
      </c>
      <c r="G114" s="6">
        <v>38.006</v>
      </c>
      <c r="H114" s="6">
        <f>IF(OR(F114&lt;=0,G114&lt;=0),"",ROUND(G114+F114*Uso!$B$5,Uso!$B$6))</f>
        <v>38.948</v>
      </c>
      <c r="I114" s="6">
        <f t="shared" si="1"/>
        <v>4.8685</v>
      </c>
      <c r="J114" t="str">
        <f>IF(COUNTIF(Cruce!$A$5:$A$14,A114)&gt;0,"SKU de muestra","Regla extrapolada")</f>
        <v>Regla extrapolada</v>
      </c>
    </row>
    <row r="115" spans="1:10" ht="30" customHeight="1">
      <c r="A115" t="s">
        <v>292</v>
      </c>
      <c r="B115" s="5" t="s">
        <v>293</v>
      </c>
      <c r="C115">
        <v>1</v>
      </c>
      <c r="D115">
        <v>50</v>
      </c>
      <c r="E115">
        <v>5</v>
      </c>
      <c r="F115" s="6">
        <v>6.37</v>
      </c>
      <c r="G115" s="6">
        <v>7.7080000000000002</v>
      </c>
      <c r="H115" s="6">
        <f>IF(OR(F115&lt;=0,G115&lt;=0),"",ROUND(G115+F115*Uso!$B$5,Uso!$B$6))</f>
        <v>7.899</v>
      </c>
      <c r="I115" s="6">
        <f t="shared" si="1"/>
        <v>7.899</v>
      </c>
      <c r="J115" t="str">
        <f>IF(COUNTIF(Cruce!$A$5:$A$14,A115)&gt;0,"SKU de muestra","Regla extrapolada")</f>
        <v>Regla extrapolada</v>
      </c>
    </row>
    <row r="116" spans="1:10" ht="30" customHeight="1">
      <c r="A116" t="s">
        <v>294</v>
      </c>
      <c r="B116" s="5" t="s">
        <v>295</v>
      </c>
      <c r="C116">
        <v>1</v>
      </c>
      <c r="D116">
        <v>1</v>
      </c>
      <c r="E116">
        <v>0</v>
      </c>
      <c r="F116" s="6">
        <v>0</v>
      </c>
      <c r="G116" s="6">
        <v>0</v>
      </c>
      <c r="H116" s="6" t="str">
        <f>IF(OR(F116&lt;=0,G116&lt;=0),"",ROUND(G116+F116*Uso!$B$5,Uso!$B$6))</f>
        <v/>
      </c>
      <c r="I116" s="6" t="str">
        <f t="shared" si="1"/>
        <v/>
      </c>
      <c r="J116" t="str">
        <f>IF(COUNTIF(Cruce!$A$5:$A$14,A116)&gt;0,"SKU de muestra","Regla extrapolada")</f>
        <v>Regla extrapolada</v>
      </c>
    </row>
    <row r="117" spans="1:10" ht="30" customHeight="1">
      <c r="A117" t="s">
        <v>296</v>
      </c>
      <c r="B117" s="5" t="s">
        <v>297</v>
      </c>
      <c r="C117">
        <v>1</v>
      </c>
      <c r="D117">
        <v>1</v>
      </c>
      <c r="E117">
        <v>0</v>
      </c>
      <c r="F117" s="6">
        <v>0</v>
      </c>
      <c r="G117" s="6">
        <v>0</v>
      </c>
      <c r="H117" s="6" t="str">
        <f>IF(OR(F117&lt;=0,G117&lt;=0),"",ROUND(G117+F117*Uso!$B$5,Uso!$B$6))</f>
        <v/>
      </c>
      <c r="I117" s="6" t="str">
        <f t="shared" si="1"/>
        <v/>
      </c>
      <c r="J117" t="str">
        <f>IF(COUNTIF(Cruce!$A$5:$A$14,A117)&gt;0,"SKU de muestra","Regla extrapolada")</f>
        <v>Regla extrapolada</v>
      </c>
    </row>
    <row r="118" spans="1:10" ht="30" customHeight="1">
      <c r="A118" t="s">
        <v>298</v>
      </c>
      <c r="B118" s="5" t="s">
        <v>299</v>
      </c>
      <c r="C118">
        <v>1</v>
      </c>
      <c r="D118">
        <v>1</v>
      </c>
      <c r="E118">
        <v>0</v>
      </c>
      <c r="F118" s="6">
        <v>0</v>
      </c>
      <c r="G118" s="6">
        <v>0</v>
      </c>
      <c r="H118" s="6" t="str">
        <f>IF(OR(F118&lt;=0,G118&lt;=0),"",ROUND(G118+F118*Uso!$B$5,Uso!$B$6))</f>
        <v/>
      </c>
      <c r="I118" s="6" t="str">
        <f t="shared" si="1"/>
        <v/>
      </c>
      <c r="J118" t="str">
        <f>IF(COUNTIF(Cruce!$A$5:$A$14,A118)&gt;0,"SKU de muestra","Regla extrapolada")</f>
        <v>Regla extrapolada</v>
      </c>
    </row>
    <row r="119" spans="1:10" ht="30" customHeight="1">
      <c r="A119" t="s">
        <v>300</v>
      </c>
      <c r="B119" s="5" t="s">
        <v>301</v>
      </c>
      <c r="C119">
        <v>1</v>
      </c>
      <c r="D119">
        <v>1</v>
      </c>
      <c r="E119">
        <v>0</v>
      </c>
      <c r="F119" s="6">
        <v>0</v>
      </c>
      <c r="G119" s="6">
        <v>0</v>
      </c>
      <c r="H119" s="6" t="str">
        <f>IF(OR(F119&lt;=0,G119&lt;=0),"",ROUND(G119+F119*Uso!$B$5,Uso!$B$6))</f>
        <v/>
      </c>
      <c r="I119" s="6" t="str">
        <f t="shared" si="1"/>
        <v/>
      </c>
      <c r="J119" t="str">
        <f>IF(COUNTIF(Cruce!$A$5:$A$14,A119)&gt;0,"SKU de muestra","Regla extrapolada")</f>
        <v>Regla extrapolada</v>
      </c>
    </row>
    <row r="120" spans="1:10" ht="30" customHeight="1">
      <c r="A120" t="s">
        <v>302</v>
      </c>
      <c r="B120" s="5" t="s">
        <v>303</v>
      </c>
      <c r="C120">
        <v>1</v>
      </c>
      <c r="D120">
        <v>1</v>
      </c>
      <c r="E120">
        <v>0</v>
      </c>
      <c r="F120" s="6">
        <v>0</v>
      </c>
      <c r="G120" s="6">
        <v>0</v>
      </c>
      <c r="H120" s="6" t="str">
        <f>IF(OR(F120&lt;=0,G120&lt;=0),"",ROUND(G120+F120*Uso!$B$5,Uso!$B$6))</f>
        <v/>
      </c>
      <c r="I120" s="6" t="str">
        <f t="shared" si="1"/>
        <v/>
      </c>
      <c r="J120" t="str">
        <f>IF(COUNTIF(Cruce!$A$5:$A$14,A120)&gt;0,"SKU de muestra","Regla extrapolada")</f>
        <v>Regla extrapolada</v>
      </c>
    </row>
    <row r="121" spans="1:10" ht="30" customHeight="1">
      <c r="A121" t="s">
        <v>304</v>
      </c>
      <c r="B121" s="5" t="s">
        <v>305</v>
      </c>
      <c r="C121">
        <v>1</v>
      </c>
      <c r="D121">
        <v>1</v>
      </c>
      <c r="E121">
        <v>0</v>
      </c>
      <c r="F121" s="6">
        <v>0</v>
      </c>
      <c r="G121" s="6">
        <v>0</v>
      </c>
      <c r="H121" s="6" t="str">
        <f>IF(OR(F121&lt;=0,G121&lt;=0),"",ROUND(G121+F121*Uso!$B$5,Uso!$B$6))</f>
        <v/>
      </c>
      <c r="I121" s="6" t="str">
        <f t="shared" si="1"/>
        <v/>
      </c>
      <c r="J121" t="str">
        <f>IF(COUNTIF(Cruce!$A$5:$A$14,A121)&gt;0,"SKU de muestra","Regla extrapolada")</f>
        <v>Regla extrapolada</v>
      </c>
    </row>
    <row r="122" spans="1:10" ht="30" customHeight="1">
      <c r="A122" t="s">
        <v>306</v>
      </c>
      <c r="B122" s="5" t="s">
        <v>307</v>
      </c>
      <c r="C122">
        <v>1</v>
      </c>
      <c r="D122">
        <v>1</v>
      </c>
      <c r="E122">
        <v>0</v>
      </c>
      <c r="F122" s="6">
        <v>0</v>
      </c>
      <c r="G122" s="6">
        <v>0</v>
      </c>
      <c r="H122" s="6" t="str">
        <f>IF(OR(F122&lt;=0,G122&lt;=0),"",ROUND(G122+F122*Uso!$B$5,Uso!$B$6))</f>
        <v/>
      </c>
      <c r="I122" s="6" t="str">
        <f t="shared" si="1"/>
        <v/>
      </c>
      <c r="J122" t="str">
        <f>IF(COUNTIF(Cruce!$A$5:$A$14,A122)&gt;0,"SKU de muestra","Regla extrapolada")</f>
        <v>Regla extrapolada</v>
      </c>
    </row>
    <row r="123" spans="1:10" ht="30" customHeight="1">
      <c r="A123" t="s">
        <v>308</v>
      </c>
      <c r="B123" s="5" t="s">
        <v>309</v>
      </c>
      <c r="C123">
        <v>1</v>
      </c>
      <c r="D123">
        <v>1</v>
      </c>
      <c r="E123">
        <v>0</v>
      </c>
      <c r="F123" s="6">
        <v>0</v>
      </c>
      <c r="G123" s="6">
        <v>0</v>
      </c>
      <c r="H123" s="6" t="str">
        <f>IF(OR(F123&lt;=0,G123&lt;=0),"",ROUND(G123+F123*Uso!$B$5,Uso!$B$6))</f>
        <v/>
      </c>
      <c r="I123" s="6" t="str">
        <f t="shared" si="1"/>
        <v/>
      </c>
      <c r="J123" t="str">
        <f>IF(COUNTIF(Cruce!$A$5:$A$14,A123)&gt;0,"SKU de muestra","Regla extrapolada")</f>
        <v>Regla extrapolada</v>
      </c>
    </row>
    <row r="124" spans="1:10" ht="30" customHeight="1">
      <c r="A124" t="s">
        <v>310</v>
      </c>
      <c r="B124" s="5" t="s">
        <v>311</v>
      </c>
      <c r="C124">
        <v>1</v>
      </c>
      <c r="D124">
        <v>1</v>
      </c>
      <c r="E124">
        <v>0</v>
      </c>
      <c r="F124" s="6">
        <v>0</v>
      </c>
      <c r="G124" s="6">
        <v>0</v>
      </c>
      <c r="H124" s="6" t="str">
        <f>IF(OR(F124&lt;=0,G124&lt;=0),"",ROUND(G124+F124*Uso!$B$5,Uso!$B$6))</f>
        <v/>
      </c>
      <c r="I124" s="6" t="str">
        <f t="shared" si="1"/>
        <v/>
      </c>
      <c r="J124" t="str">
        <f>IF(COUNTIF(Cruce!$A$5:$A$14,A124)&gt;0,"SKU de muestra","Regla extrapolada")</f>
        <v>Regla extrapolada</v>
      </c>
    </row>
    <row r="125" spans="1:10" ht="30" customHeight="1">
      <c r="A125" t="s">
        <v>312</v>
      </c>
      <c r="B125" s="5" t="s">
        <v>313</v>
      </c>
      <c r="C125">
        <v>12</v>
      </c>
      <c r="D125">
        <v>50</v>
      </c>
      <c r="E125">
        <v>5</v>
      </c>
      <c r="F125" s="6">
        <v>29647.58</v>
      </c>
      <c r="G125" s="6">
        <v>38969.411999999997</v>
      </c>
      <c r="H125" s="6">
        <f>IF(OR(F125&lt;=0,G125&lt;=0),"",ROUND(G125+F125*Uso!$B$5,Uso!$B$6))</f>
        <v>39858.839</v>
      </c>
      <c r="I125" s="6">
        <f t="shared" si="1"/>
        <v>3321.5699166666668</v>
      </c>
      <c r="J125" t="str">
        <f>IF(COUNTIF(Cruce!$A$5:$A$14,A125)&gt;0,"SKU de muestra","Regla extrapolada")</f>
        <v>Regla extrapolada</v>
      </c>
    </row>
    <row r="126" spans="1:10" ht="30" customHeight="1">
      <c r="A126" t="s">
        <v>314</v>
      </c>
      <c r="B126" s="5" t="s">
        <v>315</v>
      </c>
      <c r="C126">
        <v>12</v>
      </c>
      <c r="D126">
        <v>50</v>
      </c>
      <c r="E126">
        <v>5</v>
      </c>
      <c r="F126" s="6">
        <v>29647.58</v>
      </c>
      <c r="G126" s="6">
        <v>38969.411999999997</v>
      </c>
      <c r="H126" s="6">
        <f>IF(OR(F126&lt;=0,G126&lt;=0),"",ROUND(G126+F126*Uso!$B$5,Uso!$B$6))</f>
        <v>39858.839</v>
      </c>
      <c r="I126" s="6">
        <f t="shared" si="1"/>
        <v>3321.5699166666668</v>
      </c>
      <c r="J126" t="str">
        <f>IF(COUNTIF(Cruce!$A$5:$A$14,A126)&gt;0,"SKU de muestra","Regla extrapolada")</f>
        <v>Regla extrapolada</v>
      </c>
    </row>
    <row r="127" spans="1:10" ht="30" customHeight="1">
      <c r="A127" t="s">
        <v>316</v>
      </c>
      <c r="B127" s="5" t="s">
        <v>317</v>
      </c>
      <c r="C127">
        <v>12</v>
      </c>
      <c r="D127">
        <v>50</v>
      </c>
      <c r="E127">
        <v>5</v>
      </c>
      <c r="F127" s="6">
        <v>28275.47</v>
      </c>
      <c r="G127" s="6">
        <v>37133.368999999999</v>
      </c>
      <c r="H127" s="6">
        <f>IF(OR(F127&lt;=0,G127&lt;=0),"",ROUND(G127+F127*Uso!$B$5,Uso!$B$6))</f>
        <v>37981.633000000002</v>
      </c>
      <c r="I127" s="6">
        <f t="shared" si="1"/>
        <v>3165.1360833333333</v>
      </c>
      <c r="J127" t="str">
        <f>IF(COUNTIF(Cruce!$A$5:$A$14,A127)&gt;0,"SKU de muestra","Regla extrapolada")</f>
        <v>Regla extrapolada</v>
      </c>
    </row>
    <row r="128" spans="1:10" ht="30" customHeight="1">
      <c r="A128" t="s">
        <v>318</v>
      </c>
      <c r="B128" s="5" t="s">
        <v>319</v>
      </c>
      <c r="C128">
        <v>1</v>
      </c>
      <c r="D128">
        <v>1</v>
      </c>
      <c r="E128">
        <v>0</v>
      </c>
      <c r="F128" s="6">
        <v>0</v>
      </c>
      <c r="G128" s="6">
        <v>0</v>
      </c>
      <c r="H128" s="6" t="str">
        <f>IF(OR(F128&lt;=0,G128&lt;=0),"",ROUND(G128+F128*Uso!$B$5,Uso!$B$6))</f>
        <v/>
      </c>
      <c r="I128" s="6" t="str">
        <f t="shared" si="1"/>
        <v/>
      </c>
      <c r="J128" t="str">
        <f>IF(COUNTIF(Cruce!$A$5:$A$14,A128)&gt;0,"SKU de muestra","Regla extrapolada")</f>
        <v>Regla extrapolada</v>
      </c>
    </row>
    <row r="129" spans="1:10" ht="30" customHeight="1">
      <c r="A129" t="s">
        <v>320</v>
      </c>
      <c r="B129" s="5" t="s">
        <v>321</v>
      </c>
      <c r="C129">
        <v>6</v>
      </c>
      <c r="D129">
        <v>120</v>
      </c>
      <c r="E129">
        <v>5</v>
      </c>
      <c r="F129" s="6">
        <v>14291.02</v>
      </c>
      <c r="G129" s="6">
        <v>17292.133999999998</v>
      </c>
      <c r="H129" s="6">
        <f>IF(OR(F129&lt;=0,G129&lt;=0),"",ROUND(G129+F129*Uso!$B$5,Uso!$B$6))</f>
        <v>17720.865000000002</v>
      </c>
      <c r="I129" s="6">
        <f t="shared" si="1"/>
        <v>2953.4775000000004</v>
      </c>
      <c r="J129" t="str">
        <f>IF(COUNTIF(Cruce!$A$5:$A$14,A129)&gt;0,"SKU de muestra","Regla extrapolada")</f>
        <v>Regla extrapolada</v>
      </c>
    </row>
    <row r="130" spans="1:10" ht="30" customHeight="1">
      <c r="A130" t="s">
        <v>322</v>
      </c>
      <c r="B130" s="5" t="s">
        <v>323</v>
      </c>
      <c r="C130">
        <v>6</v>
      </c>
      <c r="D130">
        <v>120</v>
      </c>
      <c r="E130">
        <v>5</v>
      </c>
      <c r="F130" s="6">
        <v>14291.02</v>
      </c>
      <c r="G130" s="6">
        <v>17292.133999999998</v>
      </c>
      <c r="H130" s="6">
        <f>IF(OR(F130&lt;=0,G130&lt;=0),"",ROUND(G130+F130*Uso!$B$5,Uso!$B$6))</f>
        <v>17720.865000000002</v>
      </c>
      <c r="I130" s="6">
        <f t="shared" si="1"/>
        <v>2953.4775000000004</v>
      </c>
      <c r="J130" t="str">
        <f>IF(COUNTIF(Cruce!$A$5:$A$14,A130)&gt;0,"SKU de muestra","Regla extrapolada")</f>
        <v>Regla extrapolada</v>
      </c>
    </row>
    <row r="131" spans="1:10" ht="30" customHeight="1">
      <c r="A131" t="s">
        <v>324</v>
      </c>
      <c r="B131" s="5" t="s">
        <v>325</v>
      </c>
      <c r="C131">
        <v>6</v>
      </c>
      <c r="D131">
        <v>120</v>
      </c>
      <c r="E131">
        <v>5</v>
      </c>
      <c r="F131" s="6">
        <v>16632.189999999999</v>
      </c>
      <c r="G131" s="6">
        <v>21190.02</v>
      </c>
      <c r="H131" s="6">
        <f>IF(OR(F131&lt;=0,G131&lt;=0),"",ROUND(G131+F131*Uso!$B$5,Uso!$B$6))</f>
        <v>21688.986000000001</v>
      </c>
      <c r="I131" s="6">
        <f t="shared" si="1"/>
        <v>3614.8310000000001</v>
      </c>
      <c r="J131" t="str">
        <f>IF(COUNTIF(Cruce!$A$5:$A$14,A131)&gt;0,"SKU de muestra","Regla extrapolada")</f>
        <v>Regla extrapolada</v>
      </c>
    </row>
    <row r="132" spans="1:10" ht="30" customHeight="1">
      <c r="A132" t="s">
        <v>326</v>
      </c>
      <c r="B132" s="5" t="s">
        <v>327</v>
      </c>
      <c r="C132">
        <v>6</v>
      </c>
      <c r="D132">
        <v>120</v>
      </c>
      <c r="E132">
        <v>5</v>
      </c>
      <c r="F132" s="6">
        <v>16632.189999999999</v>
      </c>
      <c r="G132" s="6">
        <v>21190.02</v>
      </c>
      <c r="H132" s="6">
        <f>IF(OR(F132&lt;=0,G132&lt;=0),"",ROUND(G132+F132*Uso!$B$5,Uso!$B$6))</f>
        <v>21688.986000000001</v>
      </c>
      <c r="I132" s="6">
        <f t="shared" si="1"/>
        <v>3614.8310000000001</v>
      </c>
      <c r="J132" t="str">
        <f>IF(COUNTIF(Cruce!$A$5:$A$14,A132)&gt;0,"SKU de muestra","Regla extrapolada")</f>
        <v>Regla extrapolada</v>
      </c>
    </row>
    <row r="133" spans="1:10" ht="30" customHeight="1">
      <c r="A133" t="s">
        <v>328</v>
      </c>
      <c r="B133" s="5" t="s">
        <v>329</v>
      </c>
      <c r="C133">
        <v>6</v>
      </c>
      <c r="D133">
        <v>120</v>
      </c>
      <c r="E133">
        <v>5</v>
      </c>
      <c r="F133" s="6">
        <v>10543.32</v>
      </c>
      <c r="G133" s="6">
        <v>13376.267</v>
      </c>
      <c r="H133" s="6">
        <f>IF(OR(F133&lt;=0,G133&lt;=0),"",ROUND(G133+F133*Uso!$B$5,Uso!$B$6))</f>
        <v>13692.566999999999</v>
      </c>
      <c r="I133" s="6">
        <f t="shared" ref="I133:I196" si="2">IF(OR(H133="",C133&lt;=0),"",H133/C133)</f>
        <v>2282.0944999999997</v>
      </c>
      <c r="J133" t="str">
        <f>IF(COUNTIF(Cruce!$A$5:$A$14,A133)&gt;0,"SKU de muestra","Regla extrapolada")</f>
        <v>Regla extrapolada</v>
      </c>
    </row>
    <row r="134" spans="1:10" ht="30" customHeight="1">
      <c r="A134" t="s">
        <v>330</v>
      </c>
      <c r="B134" s="5" t="s">
        <v>331</v>
      </c>
      <c r="C134">
        <v>24</v>
      </c>
      <c r="D134">
        <v>100</v>
      </c>
      <c r="E134">
        <v>5</v>
      </c>
      <c r="F134" s="6">
        <v>32789.599999999999</v>
      </c>
      <c r="G134" s="6">
        <v>43627.995999999999</v>
      </c>
      <c r="H134" s="6">
        <f>IF(OR(F134&lt;=0,G134&lt;=0),"",ROUND(G134+F134*Uso!$B$5,Uso!$B$6))</f>
        <v>44611.684000000001</v>
      </c>
      <c r="I134" s="6">
        <f t="shared" si="2"/>
        <v>1858.8201666666666</v>
      </c>
      <c r="J134" t="str">
        <f>IF(COUNTIF(Cruce!$A$5:$A$14,A134)&gt;0,"SKU de muestra","Regla extrapolada")</f>
        <v>Regla extrapolada</v>
      </c>
    </row>
    <row r="135" spans="1:10" ht="30" customHeight="1">
      <c r="A135" t="s">
        <v>332</v>
      </c>
      <c r="B135" s="5" t="s">
        <v>333</v>
      </c>
      <c r="C135">
        <v>1</v>
      </c>
      <c r="D135">
        <v>1</v>
      </c>
      <c r="E135">
        <v>0</v>
      </c>
      <c r="F135" s="6">
        <v>0</v>
      </c>
      <c r="G135" s="6">
        <v>0</v>
      </c>
      <c r="H135" s="6" t="str">
        <f>IF(OR(F135&lt;=0,G135&lt;=0),"",ROUND(G135+F135*Uso!$B$5,Uso!$B$6))</f>
        <v/>
      </c>
      <c r="I135" s="6" t="str">
        <f t="shared" si="2"/>
        <v/>
      </c>
      <c r="J135" t="str">
        <f>IF(COUNTIF(Cruce!$A$5:$A$14,A135)&gt;0,"SKU de muestra","Regla extrapolada")</f>
        <v>Regla extrapolada</v>
      </c>
    </row>
    <row r="136" spans="1:10" ht="30" customHeight="1">
      <c r="A136" t="s">
        <v>334</v>
      </c>
      <c r="B136" s="5" t="s">
        <v>335</v>
      </c>
      <c r="C136">
        <v>6</v>
      </c>
      <c r="D136">
        <v>140</v>
      </c>
      <c r="E136">
        <v>5</v>
      </c>
      <c r="F136" s="6">
        <v>4408.87</v>
      </c>
      <c r="G136" s="6">
        <v>5334.7489999999998</v>
      </c>
      <c r="H136" s="6">
        <f>IF(OR(F136&lt;=0,G136&lt;=0),"",ROUND(G136+F136*Uso!$B$5,Uso!$B$6))</f>
        <v>5467.0150000000003</v>
      </c>
      <c r="I136" s="6">
        <f t="shared" si="2"/>
        <v>911.16916666666668</v>
      </c>
      <c r="J136" t="str">
        <f>IF(COUNTIF(Cruce!$A$5:$A$14,A136)&gt;0,"SKU de muestra","Regla extrapolada")</f>
        <v>Regla extrapolada</v>
      </c>
    </row>
    <row r="137" spans="1:10" ht="30" customHeight="1">
      <c r="A137" t="s">
        <v>336</v>
      </c>
      <c r="B137" s="5" t="s">
        <v>337</v>
      </c>
      <c r="C137">
        <v>6</v>
      </c>
      <c r="D137">
        <v>140</v>
      </c>
      <c r="E137">
        <v>5</v>
      </c>
      <c r="F137" s="6">
        <v>9945.7199999999993</v>
      </c>
      <c r="G137" s="6">
        <v>12317.071</v>
      </c>
      <c r="H137" s="6">
        <f>IF(OR(F137&lt;=0,G137&lt;=0),"",ROUND(G137+F137*Uso!$B$5,Uso!$B$6))</f>
        <v>12615.442999999999</v>
      </c>
      <c r="I137" s="6">
        <f t="shared" si="2"/>
        <v>2102.5738333333334</v>
      </c>
      <c r="J137" t="str">
        <f>IF(COUNTIF(Cruce!$A$5:$A$14,A137)&gt;0,"SKU de muestra","Regla extrapolada")</f>
        <v>Regla extrapolada</v>
      </c>
    </row>
    <row r="138" spans="1:10" ht="30" customHeight="1">
      <c r="A138" t="s">
        <v>338</v>
      </c>
      <c r="B138" s="5" t="s">
        <v>339</v>
      </c>
      <c r="C138">
        <v>8</v>
      </c>
      <c r="D138">
        <v>60</v>
      </c>
      <c r="E138">
        <v>5</v>
      </c>
      <c r="F138" s="6">
        <v>22063.34</v>
      </c>
      <c r="G138" s="6">
        <v>26696.641</v>
      </c>
      <c r="H138" s="6">
        <f>IF(OR(F138&lt;=0,G138&lt;=0),"",ROUND(G138+F138*Uso!$B$5,Uso!$B$6))</f>
        <v>27358.541000000001</v>
      </c>
      <c r="I138" s="6">
        <f t="shared" si="2"/>
        <v>3419.8176250000001</v>
      </c>
      <c r="J138" t="str">
        <f>IF(COUNTIF(Cruce!$A$5:$A$14,A138)&gt;0,"SKU de muestra","Regla extrapolada")</f>
        <v>Regla extrapolada</v>
      </c>
    </row>
    <row r="139" spans="1:10" ht="30" customHeight="1">
      <c r="A139" t="s">
        <v>340</v>
      </c>
      <c r="B139" s="5" t="s">
        <v>341</v>
      </c>
      <c r="C139">
        <v>6</v>
      </c>
      <c r="D139">
        <v>60</v>
      </c>
      <c r="E139">
        <v>5</v>
      </c>
      <c r="F139" s="6">
        <v>12725.31</v>
      </c>
      <c r="G139" s="6">
        <v>16022.575000000001</v>
      </c>
      <c r="H139" s="6">
        <f>IF(OR(F139&lt;=0,G139&lt;=0),"",ROUND(G139+F139*Uso!$B$5,Uso!$B$6))</f>
        <v>16404.333999999999</v>
      </c>
      <c r="I139" s="6">
        <f t="shared" si="2"/>
        <v>2734.0556666666666</v>
      </c>
      <c r="J139" t="str">
        <f>IF(COUNTIF(Cruce!$A$5:$A$14,A139)&gt;0,"SKU de muestra","Regla extrapolada")</f>
        <v>Regla extrapolada</v>
      </c>
    </row>
    <row r="140" spans="1:10" ht="30" customHeight="1">
      <c r="A140" t="s">
        <v>342</v>
      </c>
      <c r="B140" s="5" t="s">
        <v>343</v>
      </c>
      <c r="C140">
        <v>12</v>
      </c>
      <c r="D140">
        <v>182</v>
      </c>
      <c r="E140">
        <v>5</v>
      </c>
      <c r="F140" s="6">
        <v>13300.04</v>
      </c>
      <c r="G140" s="6">
        <v>16093.048000000001</v>
      </c>
      <c r="H140" s="6">
        <f>IF(OR(F140&lt;=0,G140&lt;=0),"",ROUND(G140+F140*Uso!$B$5,Uso!$B$6))</f>
        <v>16492.048999999999</v>
      </c>
      <c r="I140" s="6">
        <f t="shared" si="2"/>
        <v>1374.3374166666665</v>
      </c>
      <c r="J140" t="str">
        <f>IF(COUNTIF(Cruce!$A$5:$A$14,A140)&gt;0,"SKU de muestra","Regla extrapolada")</f>
        <v>Regla extrapolada</v>
      </c>
    </row>
    <row r="141" spans="1:10" ht="30" customHeight="1">
      <c r="A141" t="s">
        <v>344</v>
      </c>
      <c r="B141" s="5" t="s">
        <v>345</v>
      </c>
      <c r="C141">
        <v>1</v>
      </c>
      <c r="D141">
        <v>1</v>
      </c>
      <c r="E141">
        <v>0</v>
      </c>
      <c r="F141" s="6">
        <v>0</v>
      </c>
      <c r="G141" s="6">
        <v>0</v>
      </c>
      <c r="H141" s="6" t="str">
        <f>IF(OR(F141&lt;=0,G141&lt;=0),"",ROUND(G141+F141*Uso!$B$5,Uso!$B$6))</f>
        <v/>
      </c>
      <c r="I141" s="6" t="str">
        <f t="shared" si="2"/>
        <v/>
      </c>
      <c r="J141" t="str">
        <f>IF(COUNTIF(Cruce!$A$5:$A$14,A141)&gt;0,"SKU de muestra","Regla extrapolada")</f>
        <v>Regla extrapolada</v>
      </c>
    </row>
    <row r="142" spans="1:10" ht="30" customHeight="1">
      <c r="A142" t="s">
        <v>346</v>
      </c>
      <c r="B142" s="5" t="s">
        <v>347</v>
      </c>
      <c r="C142">
        <v>1</v>
      </c>
      <c r="D142">
        <v>1</v>
      </c>
      <c r="E142">
        <v>0</v>
      </c>
      <c r="F142" s="6">
        <v>0</v>
      </c>
      <c r="G142" s="6">
        <v>0</v>
      </c>
      <c r="H142" s="6" t="str">
        <f>IF(OR(F142&lt;=0,G142&lt;=0),"",ROUND(G142+F142*Uso!$B$5,Uso!$B$6))</f>
        <v/>
      </c>
      <c r="I142" s="6" t="str">
        <f t="shared" si="2"/>
        <v/>
      </c>
      <c r="J142" t="str">
        <f>IF(COUNTIF(Cruce!$A$5:$A$14,A142)&gt;0,"SKU de muestra","Regla extrapolada")</f>
        <v>Regla extrapolada</v>
      </c>
    </row>
    <row r="143" spans="1:10" ht="30" customHeight="1">
      <c r="A143" t="s">
        <v>348</v>
      </c>
      <c r="B143" s="5" t="s">
        <v>349</v>
      </c>
      <c r="C143">
        <v>1</v>
      </c>
      <c r="D143">
        <v>1</v>
      </c>
      <c r="E143">
        <v>0</v>
      </c>
      <c r="F143" s="6">
        <v>0</v>
      </c>
      <c r="G143" s="6">
        <v>0</v>
      </c>
      <c r="H143" s="6" t="str">
        <f>IF(OR(F143&lt;=0,G143&lt;=0),"",ROUND(G143+F143*Uso!$B$5,Uso!$B$6))</f>
        <v/>
      </c>
      <c r="I143" s="6" t="str">
        <f t="shared" si="2"/>
        <v/>
      </c>
      <c r="J143" t="str">
        <f>IF(COUNTIF(Cruce!$A$5:$A$14,A143)&gt;0,"SKU de muestra","Regla extrapolada")</f>
        <v>Regla extrapolada</v>
      </c>
    </row>
    <row r="144" spans="1:10" ht="30" customHeight="1">
      <c r="A144" t="s">
        <v>350</v>
      </c>
      <c r="B144" s="5" t="s">
        <v>351</v>
      </c>
      <c r="C144">
        <v>1</v>
      </c>
      <c r="D144">
        <v>1</v>
      </c>
      <c r="E144">
        <v>0</v>
      </c>
      <c r="F144" s="6">
        <v>0</v>
      </c>
      <c r="G144" s="6">
        <v>0</v>
      </c>
      <c r="H144" s="6" t="str">
        <f>IF(OR(F144&lt;=0,G144&lt;=0),"",ROUND(G144+F144*Uso!$B$5,Uso!$B$6))</f>
        <v/>
      </c>
      <c r="I144" s="6" t="str">
        <f t="shared" si="2"/>
        <v/>
      </c>
      <c r="J144" t="str">
        <f>IF(COUNTIF(Cruce!$A$5:$A$14,A144)&gt;0,"SKU de muestra","Regla extrapolada")</f>
        <v>Regla extrapolada</v>
      </c>
    </row>
    <row r="145" spans="1:10" ht="30" customHeight="1">
      <c r="A145" t="s">
        <v>352</v>
      </c>
      <c r="B145" s="5" t="s">
        <v>353</v>
      </c>
      <c r="C145">
        <v>1</v>
      </c>
      <c r="D145">
        <v>1</v>
      </c>
      <c r="E145">
        <v>0</v>
      </c>
      <c r="F145" s="6">
        <v>0</v>
      </c>
      <c r="G145" s="6">
        <v>0</v>
      </c>
      <c r="H145" s="6" t="str">
        <f>IF(OR(F145&lt;=0,G145&lt;=0),"",ROUND(G145+F145*Uso!$B$5,Uso!$B$6))</f>
        <v/>
      </c>
      <c r="I145" s="6" t="str">
        <f t="shared" si="2"/>
        <v/>
      </c>
      <c r="J145" t="str">
        <f>IF(COUNTIF(Cruce!$A$5:$A$14,A145)&gt;0,"SKU de muestra","Regla extrapolada")</f>
        <v>Regla extrapolada</v>
      </c>
    </row>
    <row r="146" spans="1:10" ht="30" customHeight="1">
      <c r="A146" t="s">
        <v>354</v>
      </c>
      <c r="B146" s="5" t="s">
        <v>355</v>
      </c>
      <c r="C146">
        <v>1</v>
      </c>
      <c r="D146">
        <v>1</v>
      </c>
      <c r="E146">
        <v>0</v>
      </c>
      <c r="F146" s="6">
        <v>0</v>
      </c>
      <c r="G146" s="6">
        <v>0</v>
      </c>
      <c r="H146" s="6" t="str">
        <f>IF(OR(F146&lt;=0,G146&lt;=0),"",ROUND(G146+F146*Uso!$B$5,Uso!$B$6))</f>
        <v/>
      </c>
      <c r="I146" s="6" t="str">
        <f t="shared" si="2"/>
        <v/>
      </c>
      <c r="J146" t="str">
        <f>IF(COUNTIF(Cruce!$A$5:$A$14,A146)&gt;0,"SKU de muestra","Regla extrapolada")</f>
        <v>Regla extrapolada</v>
      </c>
    </row>
    <row r="147" spans="1:10" ht="30" customHeight="1">
      <c r="A147" t="s">
        <v>356</v>
      </c>
      <c r="B147" s="5" t="s">
        <v>357</v>
      </c>
      <c r="C147">
        <v>1</v>
      </c>
      <c r="D147">
        <v>1</v>
      </c>
      <c r="E147">
        <v>0</v>
      </c>
      <c r="F147" s="6">
        <v>0</v>
      </c>
      <c r="G147" s="6">
        <v>0</v>
      </c>
      <c r="H147" s="6" t="str">
        <f>IF(OR(F147&lt;=0,G147&lt;=0),"",ROUND(G147+F147*Uso!$B$5,Uso!$B$6))</f>
        <v/>
      </c>
      <c r="I147" s="6" t="str">
        <f t="shared" si="2"/>
        <v/>
      </c>
      <c r="J147" t="str">
        <f>IF(COUNTIF(Cruce!$A$5:$A$14,A147)&gt;0,"SKU de muestra","Regla extrapolada")</f>
        <v>Regla extrapolada</v>
      </c>
    </row>
    <row r="148" spans="1:10" ht="30" customHeight="1">
      <c r="A148" t="s">
        <v>358</v>
      </c>
      <c r="B148" s="5" t="s">
        <v>359</v>
      </c>
      <c r="C148">
        <v>6</v>
      </c>
      <c r="D148">
        <v>60</v>
      </c>
      <c r="E148">
        <v>5</v>
      </c>
      <c r="F148" s="6">
        <v>12725.31</v>
      </c>
      <c r="G148" s="6">
        <v>16022.575000000001</v>
      </c>
      <c r="H148" s="6">
        <f>IF(OR(F148&lt;=0,G148&lt;=0),"",ROUND(G148+F148*Uso!$B$5,Uso!$B$6))</f>
        <v>16404.333999999999</v>
      </c>
      <c r="I148" s="6">
        <f t="shared" si="2"/>
        <v>2734.0556666666666</v>
      </c>
      <c r="J148" t="str">
        <f>IF(COUNTIF(Cruce!$A$5:$A$14,A148)&gt;0,"SKU de muestra","Regla extrapolada")</f>
        <v>Regla extrapolada</v>
      </c>
    </row>
    <row r="149" spans="1:10" ht="30" customHeight="1">
      <c r="A149" t="s">
        <v>360</v>
      </c>
      <c r="B149" s="5" t="s">
        <v>361</v>
      </c>
      <c r="C149">
        <v>1</v>
      </c>
      <c r="D149">
        <v>1</v>
      </c>
      <c r="E149">
        <v>0</v>
      </c>
      <c r="F149" s="6">
        <v>0</v>
      </c>
      <c r="G149" s="6">
        <v>0</v>
      </c>
      <c r="H149" s="6" t="str">
        <f>IF(OR(F149&lt;=0,G149&lt;=0),"",ROUND(G149+F149*Uso!$B$5,Uso!$B$6))</f>
        <v/>
      </c>
      <c r="I149" s="6" t="str">
        <f t="shared" si="2"/>
        <v/>
      </c>
      <c r="J149" t="str">
        <f>IF(COUNTIF(Cruce!$A$5:$A$14,A149)&gt;0,"SKU de muestra","Regla extrapolada")</f>
        <v>Regla extrapolada</v>
      </c>
    </row>
    <row r="150" spans="1:10" ht="30" customHeight="1">
      <c r="A150" t="s">
        <v>362</v>
      </c>
      <c r="B150" s="5" t="s">
        <v>363</v>
      </c>
      <c r="C150">
        <v>1</v>
      </c>
      <c r="D150">
        <v>48</v>
      </c>
      <c r="E150">
        <v>5</v>
      </c>
      <c r="F150" s="6">
        <v>185900</v>
      </c>
      <c r="G150" s="6">
        <v>248219.4</v>
      </c>
      <c r="H150" s="6">
        <f>IF(OR(F150&lt;=0,G150&lt;=0),"",ROUND(G150+F150*Uso!$B$5,Uso!$B$6))</f>
        <v>253796.4</v>
      </c>
      <c r="I150" s="6">
        <f t="shared" si="2"/>
        <v>253796.4</v>
      </c>
      <c r="J150" t="str">
        <f>IF(COUNTIF(Cruce!$A$5:$A$14,A150)&gt;0,"SKU de muestra","Regla extrapolada")</f>
        <v>Regla extrapolada</v>
      </c>
    </row>
    <row r="151" spans="1:10" ht="30" customHeight="1">
      <c r="A151" t="s">
        <v>364</v>
      </c>
      <c r="B151" s="5" t="s">
        <v>365</v>
      </c>
      <c r="C151">
        <v>1</v>
      </c>
      <c r="D151">
        <v>24</v>
      </c>
      <c r="E151">
        <v>5</v>
      </c>
      <c r="F151" s="6">
        <v>185900</v>
      </c>
      <c r="G151" s="6">
        <v>248219.4</v>
      </c>
      <c r="H151" s="6">
        <f>IF(OR(F151&lt;=0,G151&lt;=0),"",ROUND(G151+F151*Uso!$B$5,Uso!$B$6))</f>
        <v>253796.4</v>
      </c>
      <c r="I151" s="6">
        <f t="shared" si="2"/>
        <v>253796.4</v>
      </c>
      <c r="J151" t="str">
        <f>IF(COUNTIF(Cruce!$A$5:$A$14,A151)&gt;0,"SKU de muestra","Regla extrapolada")</f>
        <v>Regla extrapolada</v>
      </c>
    </row>
    <row r="152" spans="1:10" ht="30" customHeight="1">
      <c r="A152" t="s">
        <v>366</v>
      </c>
      <c r="B152" s="5" t="s">
        <v>367</v>
      </c>
      <c r="C152">
        <v>1</v>
      </c>
      <c r="D152">
        <v>1</v>
      </c>
      <c r="E152">
        <v>0</v>
      </c>
      <c r="F152" s="6">
        <v>0</v>
      </c>
      <c r="G152" s="6">
        <v>0</v>
      </c>
      <c r="H152" s="6" t="str">
        <f>IF(OR(F152&lt;=0,G152&lt;=0),"",ROUND(G152+F152*Uso!$B$5,Uso!$B$6))</f>
        <v/>
      </c>
      <c r="I152" s="6" t="str">
        <f t="shared" si="2"/>
        <v/>
      </c>
      <c r="J152" t="str">
        <f>IF(COUNTIF(Cruce!$A$5:$A$14,A152)&gt;0,"SKU de muestra","Regla extrapolada")</f>
        <v>Regla extrapolada</v>
      </c>
    </row>
    <row r="153" spans="1:10" ht="30" customHeight="1">
      <c r="A153" t="s">
        <v>368</v>
      </c>
      <c r="B153" s="5" t="s">
        <v>369</v>
      </c>
      <c r="C153">
        <v>1</v>
      </c>
      <c r="D153">
        <v>1</v>
      </c>
      <c r="E153">
        <v>0</v>
      </c>
      <c r="F153" s="6">
        <v>0</v>
      </c>
      <c r="G153" s="6">
        <v>0</v>
      </c>
      <c r="H153" s="6" t="str">
        <f>IF(OR(F153&lt;=0,G153&lt;=0),"",ROUND(G153+F153*Uso!$B$5,Uso!$B$6))</f>
        <v/>
      </c>
      <c r="I153" s="6" t="str">
        <f t="shared" si="2"/>
        <v/>
      </c>
      <c r="J153" t="str">
        <f>IF(COUNTIF(Cruce!$A$5:$A$14,A153)&gt;0,"SKU de muestra","Regla extrapolada")</f>
        <v>Regla extrapolada</v>
      </c>
    </row>
    <row r="154" spans="1:10" ht="30" customHeight="1">
      <c r="A154" t="s">
        <v>370</v>
      </c>
      <c r="B154" s="5" t="s">
        <v>371</v>
      </c>
      <c r="C154">
        <v>1</v>
      </c>
      <c r="D154">
        <v>18</v>
      </c>
      <c r="E154">
        <v>5</v>
      </c>
      <c r="F154" s="6">
        <v>107509.6</v>
      </c>
      <c r="G154" s="6">
        <v>141909.05600000001</v>
      </c>
      <c r="H154" s="6">
        <f>IF(OR(F154&lt;=0,G154&lt;=0),"",ROUND(G154+F154*Uso!$B$5,Uso!$B$6))</f>
        <v>145134.34400000001</v>
      </c>
      <c r="I154" s="6">
        <f t="shared" si="2"/>
        <v>145134.34400000001</v>
      </c>
      <c r="J154" t="str">
        <f>IF(COUNTIF(Cruce!$A$5:$A$14,A154)&gt;0,"SKU de muestra","Regla extrapolada")</f>
        <v>Regla extrapolada</v>
      </c>
    </row>
    <row r="155" spans="1:10" ht="30" customHeight="1">
      <c r="A155" t="s">
        <v>372</v>
      </c>
      <c r="B155" s="5" t="s">
        <v>373</v>
      </c>
      <c r="C155">
        <v>1</v>
      </c>
      <c r="D155">
        <v>1</v>
      </c>
      <c r="E155">
        <v>0</v>
      </c>
      <c r="F155" s="6">
        <v>0</v>
      </c>
      <c r="G155" s="6">
        <v>0</v>
      </c>
      <c r="H155" s="6" t="str">
        <f>IF(OR(F155&lt;=0,G155&lt;=0),"",ROUND(G155+F155*Uso!$B$5,Uso!$B$6))</f>
        <v/>
      </c>
      <c r="I155" s="6" t="str">
        <f t="shared" si="2"/>
        <v/>
      </c>
      <c r="J155" t="str">
        <f>IF(COUNTIF(Cruce!$A$5:$A$14,A155)&gt;0,"SKU de muestra","Regla extrapolada")</f>
        <v>Regla extrapolada</v>
      </c>
    </row>
    <row r="156" spans="1:10" ht="30" customHeight="1">
      <c r="A156" t="s">
        <v>374</v>
      </c>
      <c r="B156" s="5" t="s">
        <v>375</v>
      </c>
      <c r="C156">
        <v>1</v>
      </c>
      <c r="D156">
        <v>1</v>
      </c>
      <c r="E156">
        <v>0</v>
      </c>
      <c r="F156" s="6">
        <v>0</v>
      </c>
      <c r="G156" s="6">
        <v>0</v>
      </c>
      <c r="H156" s="6" t="str">
        <f>IF(OR(F156&lt;=0,G156&lt;=0),"",ROUND(G156+F156*Uso!$B$5,Uso!$B$6))</f>
        <v/>
      </c>
      <c r="I156" s="6" t="str">
        <f t="shared" si="2"/>
        <v/>
      </c>
      <c r="J156" t="str">
        <f>IF(COUNTIF(Cruce!$A$5:$A$14,A156)&gt;0,"SKU de muestra","Regla extrapolada")</f>
        <v>Regla extrapolada</v>
      </c>
    </row>
    <row r="157" spans="1:10" ht="30" customHeight="1">
      <c r="A157" t="s">
        <v>376</v>
      </c>
      <c r="B157" s="5" t="s">
        <v>377</v>
      </c>
      <c r="C157">
        <v>1</v>
      </c>
      <c r="D157">
        <v>1</v>
      </c>
      <c r="E157">
        <v>0</v>
      </c>
      <c r="F157" s="6">
        <v>0</v>
      </c>
      <c r="G157" s="6">
        <v>0</v>
      </c>
      <c r="H157" s="6" t="str">
        <f>IF(OR(F157&lt;=0,G157&lt;=0),"",ROUND(G157+F157*Uso!$B$5,Uso!$B$6))</f>
        <v/>
      </c>
      <c r="I157" s="6" t="str">
        <f t="shared" si="2"/>
        <v/>
      </c>
      <c r="J157" t="str">
        <f>IF(COUNTIF(Cruce!$A$5:$A$14,A157)&gt;0,"SKU de muestra","Regla extrapolada")</f>
        <v>Regla extrapolada</v>
      </c>
    </row>
    <row r="158" spans="1:10" ht="30" customHeight="1">
      <c r="A158" t="s">
        <v>378</v>
      </c>
      <c r="B158" s="5" t="s">
        <v>379</v>
      </c>
      <c r="C158">
        <v>1</v>
      </c>
      <c r="D158">
        <v>1</v>
      </c>
      <c r="E158">
        <v>0</v>
      </c>
      <c r="F158" s="6">
        <v>0</v>
      </c>
      <c r="G158" s="6">
        <v>0</v>
      </c>
      <c r="H158" s="6" t="str">
        <f>IF(OR(F158&lt;=0,G158&lt;=0),"",ROUND(G158+F158*Uso!$B$5,Uso!$B$6))</f>
        <v/>
      </c>
      <c r="I158" s="6" t="str">
        <f t="shared" si="2"/>
        <v/>
      </c>
      <c r="J158" t="str">
        <f>IF(COUNTIF(Cruce!$A$5:$A$14,A158)&gt;0,"SKU de muestra","Regla extrapolada")</f>
        <v>Regla extrapolada</v>
      </c>
    </row>
    <row r="159" spans="1:10" ht="30" customHeight="1">
      <c r="A159" t="s">
        <v>380</v>
      </c>
      <c r="B159" s="5" t="s">
        <v>381</v>
      </c>
      <c r="C159">
        <v>1</v>
      </c>
      <c r="D159">
        <v>1</v>
      </c>
      <c r="E159">
        <v>0</v>
      </c>
      <c r="F159" s="6">
        <v>0</v>
      </c>
      <c r="G159" s="6">
        <v>0</v>
      </c>
      <c r="H159" s="6" t="str">
        <f>IF(OR(F159&lt;=0,G159&lt;=0),"",ROUND(G159+F159*Uso!$B$5,Uso!$B$6))</f>
        <v/>
      </c>
      <c r="I159" s="6" t="str">
        <f t="shared" si="2"/>
        <v/>
      </c>
      <c r="J159" t="str">
        <f>IF(COUNTIF(Cruce!$A$5:$A$14,A159)&gt;0,"SKU de muestra","Regla extrapolada")</f>
        <v>Regla extrapolada</v>
      </c>
    </row>
    <row r="160" spans="1:10" ht="30" customHeight="1">
      <c r="A160" t="s">
        <v>382</v>
      </c>
      <c r="B160" s="5" t="s">
        <v>383</v>
      </c>
      <c r="C160">
        <v>1</v>
      </c>
      <c r="D160">
        <v>1</v>
      </c>
      <c r="E160">
        <v>0</v>
      </c>
      <c r="F160" s="6">
        <v>0</v>
      </c>
      <c r="G160" s="6">
        <v>0</v>
      </c>
      <c r="H160" s="6" t="str">
        <f>IF(OR(F160&lt;=0,G160&lt;=0),"",ROUND(G160+F160*Uso!$B$5,Uso!$B$6))</f>
        <v/>
      </c>
      <c r="I160" s="6" t="str">
        <f t="shared" si="2"/>
        <v/>
      </c>
      <c r="J160" t="str">
        <f>IF(COUNTIF(Cruce!$A$5:$A$14,A160)&gt;0,"SKU de muestra","Regla extrapolada")</f>
        <v>Regla extrapolada</v>
      </c>
    </row>
    <row r="161" spans="1:10" ht="30" customHeight="1">
      <c r="A161" t="s">
        <v>384</v>
      </c>
      <c r="B161" s="5" t="s">
        <v>385</v>
      </c>
      <c r="C161">
        <v>1</v>
      </c>
      <c r="D161">
        <v>1</v>
      </c>
      <c r="E161">
        <v>0</v>
      </c>
      <c r="F161" s="6">
        <v>0</v>
      </c>
      <c r="G161" s="6">
        <v>0</v>
      </c>
      <c r="H161" s="6" t="str">
        <f>IF(OR(F161&lt;=0,G161&lt;=0),"",ROUND(G161+F161*Uso!$B$5,Uso!$B$6))</f>
        <v/>
      </c>
      <c r="I161" s="6" t="str">
        <f t="shared" si="2"/>
        <v/>
      </c>
      <c r="J161" t="str">
        <f>IF(COUNTIF(Cruce!$A$5:$A$14,A161)&gt;0,"SKU de muestra","Regla extrapolada")</f>
        <v>Regla extrapolada</v>
      </c>
    </row>
    <row r="162" spans="1:10" ht="30" customHeight="1">
      <c r="A162" t="s">
        <v>386</v>
      </c>
      <c r="B162" s="5" t="s">
        <v>387</v>
      </c>
      <c r="C162">
        <v>6</v>
      </c>
      <c r="D162">
        <v>315</v>
      </c>
      <c r="E162">
        <v>5</v>
      </c>
      <c r="F162" s="6">
        <v>10154.15</v>
      </c>
      <c r="G162" s="6">
        <v>12286.522000000001</v>
      </c>
      <c r="H162" s="6">
        <f>IF(OR(F162&lt;=0,G162&lt;=0),"",ROUND(G162+F162*Uso!$B$5,Uso!$B$6))</f>
        <v>12591.147000000001</v>
      </c>
      <c r="I162" s="6">
        <f t="shared" si="2"/>
        <v>2098.5245</v>
      </c>
      <c r="J162" t="str">
        <f>IF(COUNTIF(Cruce!$A$5:$A$14,A162)&gt;0,"SKU de muestra","Regla extrapolada")</f>
        <v>Regla extrapolada</v>
      </c>
    </row>
    <row r="163" spans="1:10" ht="30" customHeight="1">
      <c r="A163" t="s">
        <v>388</v>
      </c>
      <c r="B163" s="5" t="s">
        <v>389</v>
      </c>
      <c r="C163">
        <v>1</v>
      </c>
      <c r="D163">
        <v>1</v>
      </c>
      <c r="E163">
        <v>0</v>
      </c>
      <c r="F163" s="6">
        <v>0</v>
      </c>
      <c r="G163" s="6">
        <v>0</v>
      </c>
      <c r="H163" s="6" t="str">
        <f>IF(OR(F163&lt;=0,G163&lt;=0),"",ROUND(G163+F163*Uso!$B$5,Uso!$B$6))</f>
        <v/>
      </c>
      <c r="I163" s="6" t="str">
        <f t="shared" si="2"/>
        <v/>
      </c>
      <c r="J163" t="str">
        <f>IF(COUNTIF(Cruce!$A$5:$A$14,A163)&gt;0,"SKU de muestra","Regla extrapolada")</f>
        <v>Regla extrapolada</v>
      </c>
    </row>
    <row r="164" spans="1:10" ht="30" customHeight="1">
      <c r="A164" t="s">
        <v>390</v>
      </c>
      <c r="B164" s="5" t="s">
        <v>391</v>
      </c>
      <c r="C164">
        <v>1</v>
      </c>
      <c r="D164">
        <v>1</v>
      </c>
      <c r="E164">
        <v>0</v>
      </c>
      <c r="F164" s="6">
        <v>0</v>
      </c>
      <c r="G164" s="6">
        <v>0</v>
      </c>
      <c r="H164" s="6" t="str">
        <f>IF(OR(F164&lt;=0,G164&lt;=0),"",ROUND(G164+F164*Uso!$B$5,Uso!$B$6))</f>
        <v/>
      </c>
      <c r="I164" s="6" t="str">
        <f t="shared" si="2"/>
        <v/>
      </c>
      <c r="J164" t="str">
        <f>IF(COUNTIF(Cruce!$A$5:$A$14,A164)&gt;0,"SKU de muestra","Regla extrapolada")</f>
        <v>Regla extrapolada</v>
      </c>
    </row>
    <row r="165" spans="1:10" ht="30" customHeight="1">
      <c r="A165" t="s">
        <v>392</v>
      </c>
      <c r="B165" s="5" t="s">
        <v>393</v>
      </c>
      <c r="C165">
        <v>1</v>
      </c>
      <c r="D165">
        <v>1</v>
      </c>
      <c r="E165">
        <v>0</v>
      </c>
      <c r="F165" s="6">
        <v>0</v>
      </c>
      <c r="G165" s="6">
        <v>0</v>
      </c>
      <c r="H165" s="6" t="str">
        <f>IF(OR(F165&lt;=0,G165&lt;=0),"",ROUND(G165+F165*Uso!$B$5,Uso!$B$6))</f>
        <v/>
      </c>
      <c r="I165" s="6" t="str">
        <f t="shared" si="2"/>
        <v/>
      </c>
      <c r="J165" t="str">
        <f>IF(COUNTIF(Cruce!$A$5:$A$14,A165)&gt;0,"SKU de muestra","Regla extrapolada")</f>
        <v>Regla extrapolada</v>
      </c>
    </row>
    <row r="166" spans="1:10" ht="30" customHeight="1">
      <c r="A166" t="s">
        <v>394</v>
      </c>
      <c r="B166" s="5" t="s">
        <v>395</v>
      </c>
      <c r="C166">
        <v>1</v>
      </c>
      <c r="D166">
        <v>1</v>
      </c>
      <c r="E166">
        <v>0</v>
      </c>
      <c r="F166" s="6">
        <v>0</v>
      </c>
      <c r="G166" s="6">
        <v>0</v>
      </c>
      <c r="H166" s="6" t="str">
        <f>IF(OR(F166&lt;=0,G166&lt;=0),"",ROUND(G166+F166*Uso!$B$5,Uso!$B$6))</f>
        <v/>
      </c>
      <c r="I166" s="6" t="str">
        <f t="shared" si="2"/>
        <v/>
      </c>
      <c r="J166" t="str">
        <f>IF(COUNTIF(Cruce!$A$5:$A$14,A166)&gt;0,"SKU de muestra","Regla extrapolada")</f>
        <v>Regla extrapolada</v>
      </c>
    </row>
    <row r="167" spans="1:10" ht="30" customHeight="1">
      <c r="A167" t="s">
        <v>396</v>
      </c>
      <c r="B167" s="5" t="s">
        <v>397</v>
      </c>
      <c r="C167">
        <v>1</v>
      </c>
      <c r="D167">
        <v>1</v>
      </c>
      <c r="E167">
        <v>0</v>
      </c>
      <c r="F167" s="6">
        <v>0</v>
      </c>
      <c r="G167" s="6">
        <v>0</v>
      </c>
      <c r="H167" s="6" t="str">
        <f>IF(OR(F167&lt;=0,G167&lt;=0),"",ROUND(G167+F167*Uso!$B$5,Uso!$B$6))</f>
        <v/>
      </c>
      <c r="I167" s="6" t="str">
        <f t="shared" si="2"/>
        <v/>
      </c>
      <c r="J167" t="str">
        <f>IF(COUNTIF(Cruce!$A$5:$A$14,A167)&gt;0,"SKU de muestra","Regla extrapolada")</f>
        <v>Regla extrapolada</v>
      </c>
    </row>
    <row r="168" spans="1:10" ht="30" customHeight="1">
      <c r="A168" t="s">
        <v>398</v>
      </c>
      <c r="B168" s="5" t="s">
        <v>399</v>
      </c>
      <c r="C168">
        <v>1</v>
      </c>
      <c r="D168">
        <v>1</v>
      </c>
      <c r="E168">
        <v>0</v>
      </c>
      <c r="F168" s="6">
        <v>0</v>
      </c>
      <c r="G168" s="6">
        <v>0</v>
      </c>
      <c r="H168" s="6" t="str">
        <f>IF(OR(F168&lt;=0,G168&lt;=0),"",ROUND(G168+F168*Uso!$B$5,Uso!$B$6))</f>
        <v/>
      </c>
      <c r="I168" s="6" t="str">
        <f t="shared" si="2"/>
        <v/>
      </c>
      <c r="J168" t="str">
        <f>IF(COUNTIF(Cruce!$A$5:$A$14,A168)&gt;0,"SKU de muestra","Regla extrapolada")</f>
        <v>Regla extrapolada</v>
      </c>
    </row>
    <row r="169" spans="1:10" ht="30" customHeight="1">
      <c r="A169" t="s">
        <v>400</v>
      </c>
      <c r="B169" s="5" t="s">
        <v>401</v>
      </c>
      <c r="C169">
        <v>1</v>
      </c>
      <c r="D169">
        <v>40</v>
      </c>
      <c r="E169">
        <v>5</v>
      </c>
      <c r="F169" s="6">
        <v>106698.36</v>
      </c>
      <c r="G169" s="6">
        <v>141896.92600000001</v>
      </c>
      <c r="H169" s="6">
        <f>IF(OR(F169&lt;=0,G169&lt;=0),"",ROUND(G169+F169*Uso!$B$5,Uso!$B$6))</f>
        <v>145097.87700000001</v>
      </c>
      <c r="I169" s="6">
        <f t="shared" si="2"/>
        <v>145097.87700000001</v>
      </c>
      <c r="J169" t="str">
        <f>IF(COUNTIF(Cruce!$A$5:$A$14,A169)&gt;0,"SKU de muestra","Regla extrapolada")</f>
        <v>Regla extrapolada</v>
      </c>
    </row>
    <row r="170" spans="1:10" ht="30" customHeight="1">
      <c r="A170" t="s">
        <v>402</v>
      </c>
      <c r="B170" s="5" t="s">
        <v>403</v>
      </c>
      <c r="C170">
        <v>1</v>
      </c>
      <c r="D170">
        <v>1</v>
      </c>
      <c r="E170">
        <v>0</v>
      </c>
      <c r="F170" s="6">
        <v>0</v>
      </c>
      <c r="G170" s="6">
        <v>0</v>
      </c>
      <c r="H170" s="6" t="str">
        <f>IF(OR(F170&lt;=0,G170&lt;=0),"",ROUND(G170+F170*Uso!$B$5,Uso!$B$6))</f>
        <v/>
      </c>
      <c r="I170" s="6" t="str">
        <f t="shared" si="2"/>
        <v/>
      </c>
      <c r="J170" t="str">
        <f>IF(COUNTIF(Cruce!$A$5:$A$14,A170)&gt;0,"SKU de muestra","Regla extrapolada")</f>
        <v>Regla extrapolada</v>
      </c>
    </row>
    <row r="171" spans="1:10" ht="30" customHeight="1">
      <c r="A171" t="s">
        <v>404</v>
      </c>
      <c r="B171" s="5" t="s">
        <v>405</v>
      </c>
      <c r="C171">
        <v>1</v>
      </c>
      <c r="D171">
        <v>1</v>
      </c>
      <c r="E171">
        <v>0</v>
      </c>
      <c r="F171" s="6">
        <v>0</v>
      </c>
      <c r="G171" s="6">
        <v>0</v>
      </c>
      <c r="H171" s="6" t="str">
        <f>IF(OR(F171&lt;=0,G171&lt;=0),"",ROUND(G171+F171*Uso!$B$5,Uso!$B$6))</f>
        <v/>
      </c>
      <c r="I171" s="6" t="str">
        <f t="shared" si="2"/>
        <v/>
      </c>
      <c r="J171" t="str">
        <f>IF(COUNTIF(Cruce!$A$5:$A$14,A171)&gt;0,"SKU de muestra","Regla extrapolada")</f>
        <v>Regla extrapolada</v>
      </c>
    </row>
    <row r="172" spans="1:10" ht="30" customHeight="1">
      <c r="A172" t="s">
        <v>406</v>
      </c>
      <c r="B172" s="5" t="s">
        <v>407</v>
      </c>
      <c r="C172">
        <v>1</v>
      </c>
      <c r="D172">
        <v>1</v>
      </c>
      <c r="E172">
        <v>0</v>
      </c>
      <c r="F172" s="6">
        <v>0</v>
      </c>
      <c r="G172" s="6">
        <v>0</v>
      </c>
      <c r="H172" s="6" t="str">
        <f>IF(OR(F172&lt;=0,G172&lt;=0),"",ROUND(G172+F172*Uso!$B$5,Uso!$B$6))</f>
        <v/>
      </c>
      <c r="I172" s="6" t="str">
        <f t="shared" si="2"/>
        <v/>
      </c>
      <c r="J172" t="str">
        <f>IF(COUNTIF(Cruce!$A$5:$A$14,A172)&gt;0,"SKU de muestra","Regla extrapolada")</f>
        <v>Regla extrapolada</v>
      </c>
    </row>
    <row r="173" spans="1:10" ht="30" customHeight="1">
      <c r="A173" t="s">
        <v>408</v>
      </c>
      <c r="B173" s="5" t="s">
        <v>409</v>
      </c>
      <c r="C173">
        <v>1</v>
      </c>
      <c r="D173">
        <v>1</v>
      </c>
      <c r="E173">
        <v>0</v>
      </c>
      <c r="F173" s="6">
        <v>0</v>
      </c>
      <c r="G173" s="6">
        <v>0</v>
      </c>
      <c r="H173" s="6" t="str">
        <f>IF(OR(F173&lt;=0,G173&lt;=0),"",ROUND(G173+F173*Uso!$B$5,Uso!$B$6))</f>
        <v/>
      </c>
      <c r="I173" s="6" t="str">
        <f t="shared" si="2"/>
        <v/>
      </c>
      <c r="J173" t="str">
        <f>IF(COUNTIF(Cruce!$A$5:$A$14,A173)&gt;0,"SKU de muestra","Regla extrapolada")</f>
        <v>Regla extrapolada</v>
      </c>
    </row>
    <row r="174" spans="1:10" ht="30" customHeight="1">
      <c r="A174" t="s">
        <v>410</v>
      </c>
      <c r="B174" s="5" t="s">
        <v>411</v>
      </c>
      <c r="C174">
        <v>1</v>
      </c>
      <c r="D174">
        <v>1</v>
      </c>
      <c r="E174">
        <v>0</v>
      </c>
      <c r="F174" s="6">
        <v>0</v>
      </c>
      <c r="G174" s="6">
        <v>0</v>
      </c>
      <c r="H174" s="6" t="str">
        <f>IF(OR(F174&lt;=0,G174&lt;=0),"",ROUND(G174+F174*Uso!$B$5,Uso!$B$6))</f>
        <v/>
      </c>
      <c r="I174" s="6" t="str">
        <f t="shared" si="2"/>
        <v/>
      </c>
      <c r="J174" t="str">
        <f>IF(COUNTIF(Cruce!$A$5:$A$14,A174)&gt;0,"SKU de muestra","Regla extrapolada")</f>
        <v>Regla extrapolada</v>
      </c>
    </row>
    <row r="175" spans="1:10" ht="30" customHeight="1">
      <c r="A175" t="s">
        <v>412</v>
      </c>
      <c r="B175" s="5" t="s">
        <v>413</v>
      </c>
      <c r="C175">
        <v>1</v>
      </c>
      <c r="D175">
        <v>1</v>
      </c>
      <c r="E175">
        <v>0</v>
      </c>
      <c r="F175" s="6">
        <v>0</v>
      </c>
      <c r="G175" s="6">
        <v>0</v>
      </c>
      <c r="H175" s="6" t="str">
        <f>IF(OR(F175&lt;=0,G175&lt;=0),"",ROUND(G175+F175*Uso!$B$5,Uso!$B$6))</f>
        <v/>
      </c>
      <c r="I175" s="6" t="str">
        <f t="shared" si="2"/>
        <v/>
      </c>
      <c r="J175" t="str">
        <f>IF(COUNTIF(Cruce!$A$5:$A$14,A175)&gt;0,"SKU de muestra","Regla extrapolada")</f>
        <v>Regla extrapolada</v>
      </c>
    </row>
    <row r="176" spans="1:10" ht="30" customHeight="1">
      <c r="A176" t="s">
        <v>414</v>
      </c>
      <c r="B176" s="5" t="s">
        <v>415</v>
      </c>
      <c r="C176">
        <v>1</v>
      </c>
      <c r="D176">
        <v>1</v>
      </c>
      <c r="E176">
        <v>0</v>
      </c>
      <c r="F176" s="6">
        <v>0</v>
      </c>
      <c r="G176" s="6">
        <v>0</v>
      </c>
      <c r="H176" s="6" t="str">
        <f>IF(OR(F176&lt;=0,G176&lt;=0),"",ROUND(G176+F176*Uso!$B$5,Uso!$B$6))</f>
        <v/>
      </c>
      <c r="I176" s="6" t="str">
        <f t="shared" si="2"/>
        <v/>
      </c>
      <c r="J176" t="str">
        <f>IF(COUNTIF(Cruce!$A$5:$A$14,A176)&gt;0,"SKU de muestra","Regla extrapolada")</f>
        <v>Regla extrapolada</v>
      </c>
    </row>
    <row r="177" spans="1:10" ht="30" customHeight="1">
      <c r="A177" t="s">
        <v>416</v>
      </c>
      <c r="B177" s="5" t="s">
        <v>417</v>
      </c>
      <c r="C177">
        <v>1</v>
      </c>
      <c r="D177">
        <v>1</v>
      </c>
      <c r="E177">
        <v>0</v>
      </c>
      <c r="F177" s="6">
        <v>0</v>
      </c>
      <c r="G177" s="6">
        <v>0</v>
      </c>
      <c r="H177" s="6" t="str">
        <f>IF(OR(F177&lt;=0,G177&lt;=0),"",ROUND(G177+F177*Uso!$B$5,Uso!$B$6))</f>
        <v/>
      </c>
      <c r="I177" s="6" t="str">
        <f t="shared" si="2"/>
        <v/>
      </c>
      <c r="J177" t="str">
        <f>IF(COUNTIF(Cruce!$A$5:$A$14,A177)&gt;0,"SKU de muestra","Regla extrapolada")</f>
        <v>Regla extrapolada</v>
      </c>
    </row>
    <row r="178" spans="1:10" ht="30" customHeight="1">
      <c r="A178" t="s">
        <v>418</v>
      </c>
      <c r="B178" s="5" t="s">
        <v>419</v>
      </c>
      <c r="C178">
        <v>1</v>
      </c>
      <c r="D178">
        <v>1</v>
      </c>
      <c r="E178">
        <v>0</v>
      </c>
      <c r="F178" s="6">
        <v>0</v>
      </c>
      <c r="G178" s="6">
        <v>0</v>
      </c>
      <c r="H178" s="6" t="str">
        <f>IF(OR(F178&lt;=0,G178&lt;=0),"",ROUND(G178+F178*Uso!$B$5,Uso!$B$6))</f>
        <v/>
      </c>
      <c r="I178" s="6" t="str">
        <f t="shared" si="2"/>
        <v/>
      </c>
      <c r="J178" t="str">
        <f>IF(COUNTIF(Cruce!$A$5:$A$14,A178)&gt;0,"SKU de muestra","Regla extrapolada")</f>
        <v>Regla extrapolada</v>
      </c>
    </row>
    <row r="179" spans="1:10" ht="30" customHeight="1">
      <c r="A179" t="s">
        <v>420</v>
      </c>
      <c r="B179" s="5" t="s">
        <v>421</v>
      </c>
      <c r="C179">
        <v>1</v>
      </c>
      <c r="D179">
        <v>1</v>
      </c>
      <c r="E179">
        <v>0</v>
      </c>
      <c r="F179" s="6">
        <v>0</v>
      </c>
      <c r="G179" s="6">
        <v>0</v>
      </c>
      <c r="H179" s="6" t="str">
        <f>IF(OR(F179&lt;=0,G179&lt;=0),"",ROUND(G179+F179*Uso!$B$5,Uso!$B$6))</f>
        <v/>
      </c>
      <c r="I179" s="6" t="str">
        <f t="shared" si="2"/>
        <v/>
      </c>
      <c r="J179" t="str">
        <f>IF(COUNTIF(Cruce!$A$5:$A$14,A179)&gt;0,"SKU de muestra","Regla extrapolada")</f>
        <v>Regla extrapolada</v>
      </c>
    </row>
    <row r="180" spans="1:10" ht="30" customHeight="1">
      <c r="A180" t="s">
        <v>422</v>
      </c>
      <c r="B180" s="5" t="s">
        <v>423</v>
      </c>
      <c r="C180">
        <v>24</v>
      </c>
      <c r="D180">
        <v>100</v>
      </c>
      <c r="E180">
        <v>5</v>
      </c>
      <c r="F180" s="6">
        <v>35556.58</v>
      </c>
      <c r="G180" s="6">
        <v>47339.222000000002</v>
      </c>
      <c r="H180" s="6">
        <f>IF(OR(F180&lt;=0,G180&lt;=0),"",ROUND(G180+F180*Uso!$B$5,Uso!$B$6))</f>
        <v>48405.919000000002</v>
      </c>
      <c r="I180" s="6">
        <f t="shared" si="2"/>
        <v>2016.9132916666667</v>
      </c>
      <c r="J180" t="str">
        <f>IF(COUNTIF(Cruce!$A$5:$A$14,A180)&gt;0,"SKU de muestra","Regla extrapolada")</f>
        <v>Regla extrapolada</v>
      </c>
    </row>
    <row r="181" spans="1:10" ht="30" customHeight="1">
      <c r="A181" t="s">
        <v>424</v>
      </c>
      <c r="B181" s="5" t="s">
        <v>425</v>
      </c>
      <c r="C181">
        <v>1</v>
      </c>
      <c r="D181">
        <v>1</v>
      </c>
      <c r="E181">
        <v>0</v>
      </c>
      <c r="F181" s="6">
        <v>0</v>
      </c>
      <c r="G181" s="6">
        <v>0</v>
      </c>
      <c r="H181" s="6" t="str">
        <f>IF(OR(F181&lt;=0,G181&lt;=0),"",ROUND(G181+F181*Uso!$B$5,Uso!$B$6))</f>
        <v/>
      </c>
      <c r="I181" s="6" t="str">
        <f t="shared" si="2"/>
        <v/>
      </c>
      <c r="J181" t="str">
        <f>IF(COUNTIF(Cruce!$A$5:$A$14,A181)&gt;0,"SKU de muestra","Regla extrapolada")</f>
        <v>Regla extrapolada</v>
      </c>
    </row>
    <row r="182" spans="1:10" ht="30" customHeight="1">
      <c r="A182" t="s">
        <v>426</v>
      </c>
      <c r="B182" s="5" t="s">
        <v>427</v>
      </c>
      <c r="C182">
        <v>1</v>
      </c>
      <c r="D182">
        <v>1</v>
      </c>
      <c r="E182">
        <v>0</v>
      </c>
      <c r="F182" s="6">
        <v>0</v>
      </c>
      <c r="G182" s="6">
        <v>0</v>
      </c>
      <c r="H182" s="6" t="str">
        <f>IF(OR(F182&lt;=0,G182&lt;=0),"",ROUND(G182+F182*Uso!$B$5,Uso!$B$6))</f>
        <v/>
      </c>
      <c r="I182" s="6" t="str">
        <f t="shared" si="2"/>
        <v/>
      </c>
      <c r="J182" t="str">
        <f>IF(COUNTIF(Cruce!$A$5:$A$14,A182)&gt;0,"SKU de muestra","Regla extrapolada")</f>
        <v>Regla extrapolada</v>
      </c>
    </row>
    <row r="183" spans="1:10" ht="30" customHeight="1">
      <c r="A183" t="s">
        <v>428</v>
      </c>
      <c r="B183" s="5" t="s">
        <v>429</v>
      </c>
      <c r="C183">
        <v>1</v>
      </c>
      <c r="D183">
        <v>1</v>
      </c>
      <c r="E183">
        <v>0</v>
      </c>
      <c r="F183" s="6">
        <v>0</v>
      </c>
      <c r="G183" s="6">
        <v>0</v>
      </c>
      <c r="H183" s="6" t="str">
        <f>IF(OR(F183&lt;=0,G183&lt;=0),"",ROUND(G183+F183*Uso!$B$5,Uso!$B$6))</f>
        <v/>
      </c>
      <c r="I183" s="6" t="str">
        <f t="shared" si="2"/>
        <v/>
      </c>
      <c r="J183" t="str">
        <f>IF(COUNTIF(Cruce!$A$5:$A$14,A183)&gt;0,"SKU de muestra","Regla extrapolada")</f>
        <v>Regla extrapolada</v>
      </c>
    </row>
    <row r="184" spans="1:10" ht="30" customHeight="1">
      <c r="A184" t="s">
        <v>430</v>
      </c>
      <c r="B184" s="5" t="s">
        <v>431</v>
      </c>
      <c r="C184">
        <v>1</v>
      </c>
      <c r="D184">
        <v>1</v>
      </c>
      <c r="E184">
        <v>0</v>
      </c>
      <c r="F184" s="6">
        <v>0</v>
      </c>
      <c r="G184" s="6">
        <v>0</v>
      </c>
      <c r="H184" s="6" t="str">
        <f>IF(OR(F184&lt;=0,G184&lt;=0),"",ROUND(G184+F184*Uso!$B$5,Uso!$B$6))</f>
        <v/>
      </c>
      <c r="I184" s="6" t="str">
        <f t="shared" si="2"/>
        <v/>
      </c>
      <c r="J184" t="str">
        <f>IF(COUNTIF(Cruce!$A$5:$A$14,A184)&gt;0,"SKU de muestra","Regla extrapolada")</f>
        <v>Regla extrapolada</v>
      </c>
    </row>
    <row r="185" spans="1:10" ht="30" customHeight="1">
      <c r="A185" t="s">
        <v>432</v>
      </c>
      <c r="B185" s="5" t="s">
        <v>433</v>
      </c>
      <c r="C185">
        <v>8</v>
      </c>
      <c r="D185">
        <v>60</v>
      </c>
      <c r="E185">
        <v>5</v>
      </c>
      <c r="F185" s="6">
        <v>15250.29</v>
      </c>
      <c r="G185" s="6">
        <v>19262.841</v>
      </c>
      <c r="H185" s="6">
        <f>IF(OR(F185&lt;=0,G185&lt;=0),"",ROUND(G185+F185*Uso!$B$5,Uso!$B$6))</f>
        <v>19720.349999999999</v>
      </c>
      <c r="I185" s="6">
        <f t="shared" si="2"/>
        <v>2465.0437499999998</v>
      </c>
      <c r="J185" t="str">
        <f>IF(COUNTIF(Cruce!$A$5:$A$14,A185)&gt;0,"SKU de muestra","Regla extrapolada")</f>
        <v>Regla extrapolada</v>
      </c>
    </row>
    <row r="186" spans="1:10" ht="30" customHeight="1">
      <c r="A186" t="s">
        <v>434</v>
      </c>
      <c r="B186" s="5" t="s">
        <v>435</v>
      </c>
      <c r="C186">
        <v>1</v>
      </c>
      <c r="D186">
        <v>1</v>
      </c>
      <c r="E186">
        <v>0</v>
      </c>
      <c r="F186" s="6">
        <v>0</v>
      </c>
      <c r="G186" s="6">
        <v>0</v>
      </c>
      <c r="H186" s="6" t="str">
        <f>IF(OR(F186&lt;=0,G186&lt;=0),"",ROUND(G186+F186*Uso!$B$5,Uso!$B$6))</f>
        <v/>
      </c>
      <c r="I186" s="6" t="str">
        <f t="shared" si="2"/>
        <v/>
      </c>
      <c r="J186" t="str">
        <f>IF(COUNTIF(Cruce!$A$5:$A$14,A186)&gt;0,"SKU de muestra","Regla extrapolada")</f>
        <v>Regla extrapolada</v>
      </c>
    </row>
    <row r="187" spans="1:10" ht="30" customHeight="1">
      <c r="A187" t="s">
        <v>436</v>
      </c>
      <c r="B187" s="5" t="s">
        <v>437</v>
      </c>
      <c r="C187">
        <v>1</v>
      </c>
      <c r="D187">
        <v>1</v>
      </c>
      <c r="E187">
        <v>0</v>
      </c>
      <c r="F187" s="6">
        <v>0</v>
      </c>
      <c r="G187" s="6">
        <v>0</v>
      </c>
      <c r="H187" s="6" t="str">
        <f>IF(OR(F187&lt;=0,G187&lt;=0),"",ROUND(G187+F187*Uso!$B$5,Uso!$B$6))</f>
        <v/>
      </c>
      <c r="I187" s="6" t="str">
        <f t="shared" si="2"/>
        <v/>
      </c>
      <c r="J187" t="str">
        <f>IF(COUNTIF(Cruce!$A$5:$A$14,A187)&gt;0,"SKU de muestra","Regla extrapolada")</f>
        <v>Regla extrapolada</v>
      </c>
    </row>
    <row r="188" spans="1:10" ht="30" customHeight="1">
      <c r="A188" t="s">
        <v>438</v>
      </c>
      <c r="B188" s="5" t="s">
        <v>439</v>
      </c>
      <c r="C188">
        <v>1</v>
      </c>
      <c r="D188">
        <v>1</v>
      </c>
      <c r="E188">
        <v>0</v>
      </c>
      <c r="F188" s="6">
        <v>0</v>
      </c>
      <c r="G188" s="6">
        <v>0</v>
      </c>
      <c r="H188" s="6" t="str">
        <f>IF(OR(F188&lt;=0,G188&lt;=0),"",ROUND(G188+F188*Uso!$B$5,Uso!$B$6))</f>
        <v/>
      </c>
      <c r="I188" s="6" t="str">
        <f t="shared" si="2"/>
        <v/>
      </c>
      <c r="J188" t="str">
        <f>IF(COUNTIF(Cruce!$A$5:$A$14,A188)&gt;0,"SKU de muestra","Regla extrapolada")</f>
        <v>Regla extrapolada</v>
      </c>
    </row>
    <row r="189" spans="1:10" ht="30" customHeight="1">
      <c r="A189" t="s">
        <v>440</v>
      </c>
      <c r="B189" s="5" t="s">
        <v>441</v>
      </c>
      <c r="C189">
        <v>1</v>
      </c>
      <c r="D189">
        <v>1</v>
      </c>
      <c r="E189">
        <v>0</v>
      </c>
      <c r="F189" s="6">
        <v>0</v>
      </c>
      <c r="G189" s="6">
        <v>0</v>
      </c>
      <c r="H189" s="6" t="str">
        <f>IF(OR(F189&lt;=0,G189&lt;=0),"",ROUND(G189+F189*Uso!$B$5,Uso!$B$6))</f>
        <v/>
      </c>
      <c r="I189" s="6" t="str">
        <f t="shared" si="2"/>
        <v/>
      </c>
      <c r="J189" t="str">
        <f>IF(COUNTIF(Cruce!$A$5:$A$14,A189)&gt;0,"SKU de muestra","Regla extrapolada")</f>
        <v>Regla extrapolada</v>
      </c>
    </row>
    <row r="190" spans="1:10" ht="30" customHeight="1">
      <c r="A190" t="s">
        <v>442</v>
      </c>
      <c r="B190" s="5" t="s">
        <v>443</v>
      </c>
      <c r="C190">
        <v>1</v>
      </c>
      <c r="D190">
        <v>1</v>
      </c>
      <c r="E190">
        <v>0</v>
      </c>
      <c r="F190" s="6">
        <v>0</v>
      </c>
      <c r="G190" s="6">
        <v>0</v>
      </c>
      <c r="H190" s="6" t="str">
        <f>IF(OR(F190&lt;=0,G190&lt;=0),"",ROUND(G190+F190*Uso!$B$5,Uso!$B$6))</f>
        <v/>
      </c>
      <c r="I190" s="6" t="str">
        <f t="shared" si="2"/>
        <v/>
      </c>
      <c r="J190" t="str">
        <f>IF(COUNTIF(Cruce!$A$5:$A$14,A190)&gt;0,"SKU de muestra","Regla extrapolada")</f>
        <v>Regla extrapolada</v>
      </c>
    </row>
    <row r="191" spans="1:10" ht="30" customHeight="1">
      <c r="A191" t="s">
        <v>444</v>
      </c>
      <c r="B191" s="5" t="s">
        <v>445</v>
      </c>
      <c r="C191">
        <v>1</v>
      </c>
      <c r="D191">
        <v>1</v>
      </c>
      <c r="E191">
        <v>0</v>
      </c>
      <c r="F191" s="6">
        <v>0</v>
      </c>
      <c r="G191" s="6">
        <v>0</v>
      </c>
      <c r="H191" s="6" t="str">
        <f>IF(OR(F191&lt;=0,G191&lt;=0),"",ROUND(G191+F191*Uso!$B$5,Uso!$B$6))</f>
        <v/>
      </c>
      <c r="I191" s="6" t="str">
        <f t="shared" si="2"/>
        <v/>
      </c>
      <c r="J191" t="str">
        <f>IF(COUNTIF(Cruce!$A$5:$A$14,A191)&gt;0,"SKU de muestra","Regla extrapolada")</f>
        <v>Regla extrapolada</v>
      </c>
    </row>
    <row r="192" spans="1:10" ht="30" customHeight="1">
      <c r="A192" t="s">
        <v>446</v>
      </c>
      <c r="B192" s="5" t="s">
        <v>447</v>
      </c>
      <c r="C192">
        <v>1</v>
      </c>
      <c r="D192">
        <v>500</v>
      </c>
      <c r="E192">
        <v>0</v>
      </c>
      <c r="F192" s="6">
        <v>0</v>
      </c>
      <c r="G192" s="6">
        <v>0</v>
      </c>
      <c r="H192" s="6" t="str">
        <f>IF(OR(F192&lt;=0,G192&lt;=0),"",ROUND(G192+F192*Uso!$B$5,Uso!$B$6))</f>
        <v/>
      </c>
      <c r="I192" s="6" t="str">
        <f t="shared" si="2"/>
        <v/>
      </c>
      <c r="J192" t="str">
        <f>IF(COUNTIF(Cruce!$A$5:$A$14,A192)&gt;0,"SKU de muestra","Regla extrapolada")</f>
        <v>Regla extrapolada</v>
      </c>
    </row>
    <row r="193" spans="1:10" ht="30" customHeight="1">
      <c r="A193" t="s">
        <v>448</v>
      </c>
      <c r="B193" s="5" t="s">
        <v>449</v>
      </c>
      <c r="C193">
        <v>6</v>
      </c>
      <c r="D193">
        <v>204</v>
      </c>
      <c r="E193">
        <v>5</v>
      </c>
      <c r="F193" s="6">
        <v>13726.9</v>
      </c>
      <c r="G193" s="6">
        <v>16609.548999999999</v>
      </c>
      <c r="H193" s="6">
        <f>IF(OR(F193&lt;=0,G193&lt;=0),"",ROUND(G193+F193*Uso!$B$5,Uso!$B$6))</f>
        <v>17021.356</v>
      </c>
      <c r="I193" s="6">
        <f t="shared" si="2"/>
        <v>2836.8926666666666</v>
      </c>
      <c r="J193" t="str">
        <f>IF(COUNTIF(Cruce!$A$5:$A$14,A193)&gt;0,"SKU de muestra","Regla extrapolada")</f>
        <v>Regla extrapolada</v>
      </c>
    </row>
    <row r="194" spans="1:10" ht="30" customHeight="1">
      <c r="A194" t="s">
        <v>450</v>
      </c>
      <c r="B194" s="5" t="s">
        <v>451</v>
      </c>
      <c r="C194">
        <v>6</v>
      </c>
      <c r="D194">
        <v>204</v>
      </c>
      <c r="E194">
        <v>5</v>
      </c>
      <c r="F194" s="6">
        <v>13726.9</v>
      </c>
      <c r="G194" s="6">
        <v>16609.548999999999</v>
      </c>
      <c r="H194" s="6">
        <f>IF(OR(F194&lt;=0,G194&lt;=0),"",ROUND(G194+F194*Uso!$B$5,Uso!$B$6))</f>
        <v>17021.356</v>
      </c>
      <c r="I194" s="6">
        <f t="shared" si="2"/>
        <v>2836.8926666666666</v>
      </c>
      <c r="J194" t="str">
        <f>IF(COUNTIF(Cruce!$A$5:$A$14,A194)&gt;0,"SKU de muestra","Regla extrapolada")</f>
        <v>Regla extrapolada</v>
      </c>
    </row>
    <row r="195" spans="1:10" ht="30" customHeight="1">
      <c r="A195" t="s">
        <v>452</v>
      </c>
      <c r="B195" s="5" t="s">
        <v>453</v>
      </c>
      <c r="C195">
        <v>6</v>
      </c>
      <c r="D195">
        <v>204</v>
      </c>
      <c r="E195">
        <v>5</v>
      </c>
      <c r="F195" s="6">
        <v>13726.9</v>
      </c>
      <c r="G195" s="6">
        <v>16609.548999999999</v>
      </c>
      <c r="H195" s="6">
        <f>IF(OR(F195&lt;=0,G195&lt;=0),"",ROUND(G195+F195*Uso!$B$5,Uso!$B$6))</f>
        <v>17021.356</v>
      </c>
      <c r="I195" s="6">
        <f t="shared" si="2"/>
        <v>2836.8926666666666</v>
      </c>
      <c r="J195" t="str">
        <f>IF(COUNTIF(Cruce!$A$5:$A$14,A195)&gt;0,"SKU de muestra","Regla extrapolada")</f>
        <v>Regla extrapolada</v>
      </c>
    </row>
    <row r="196" spans="1:10" ht="30" customHeight="1">
      <c r="A196" t="s">
        <v>454</v>
      </c>
      <c r="B196" s="5" t="s">
        <v>455</v>
      </c>
      <c r="C196">
        <v>1</v>
      </c>
      <c r="D196">
        <v>1</v>
      </c>
      <c r="E196">
        <v>0</v>
      </c>
      <c r="F196" s="6">
        <v>0</v>
      </c>
      <c r="G196" s="6">
        <v>0</v>
      </c>
      <c r="H196" s="6" t="str">
        <f>IF(OR(F196&lt;=0,G196&lt;=0),"",ROUND(G196+F196*Uso!$B$5,Uso!$B$6))</f>
        <v/>
      </c>
      <c r="I196" s="6" t="str">
        <f t="shared" si="2"/>
        <v/>
      </c>
      <c r="J196" t="str">
        <f>IF(COUNTIF(Cruce!$A$5:$A$14,A196)&gt;0,"SKU de muestra","Regla extrapolada")</f>
        <v>Regla extrapolada</v>
      </c>
    </row>
    <row r="197" spans="1:10" ht="30" customHeight="1">
      <c r="A197" t="s">
        <v>456</v>
      </c>
      <c r="B197" s="5" t="s">
        <v>457</v>
      </c>
      <c r="C197">
        <v>1</v>
      </c>
      <c r="D197">
        <v>1</v>
      </c>
      <c r="E197">
        <v>0</v>
      </c>
      <c r="F197" s="6">
        <v>0</v>
      </c>
      <c r="G197" s="6">
        <v>0</v>
      </c>
      <c r="H197" s="6" t="str">
        <f>IF(OR(F197&lt;=0,G197&lt;=0),"",ROUND(G197+F197*Uso!$B$5,Uso!$B$6))</f>
        <v/>
      </c>
      <c r="I197" s="6" t="str">
        <f t="shared" ref="I197:I260" si="3">IF(OR(H197="",C197&lt;=0),"",H197/C197)</f>
        <v/>
      </c>
      <c r="J197" t="str">
        <f>IF(COUNTIF(Cruce!$A$5:$A$14,A197)&gt;0,"SKU de muestra","Regla extrapolada")</f>
        <v>Regla extrapolada</v>
      </c>
    </row>
    <row r="198" spans="1:10" ht="30" customHeight="1">
      <c r="A198" t="s">
        <v>458</v>
      </c>
      <c r="B198" s="5" t="s">
        <v>459</v>
      </c>
      <c r="C198">
        <v>1</v>
      </c>
      <c r="D198">
        <v>1</v>
      </c>
      <c r="E198">
        <v>0</v>
      </c>
      <c r="F198" s="6">
        <v>0</v>
      </c>
      <c r="G198" s="6">
        <v>0</v>
      </c>
      <c r="H198" s="6" t="str">
        <f>IF(OR(F198&lt;=0,G198&lt;=0),"",ROUND(G198+F198*Uso!$B$5,Uso!$B$6))</f>
        <v/>
      </c>
      <c r="I198" s="6" t="str">
        <f t="shared" si="3"/>
        <v/>
      </c>
      <c r="J198" t="str">
        <f>IF(COUNTIF(Cruce!$A$5:$A$14,A198)&gt;0,"SKU de muestra","Regla extrapolada")</f>
        <v>Regla extrapolada</v>
      </c>
    </row>
    <row r="199" spans="1:10" ht="30" customHeight="1">
      <c r="A199" t="s">
        <v>460</v>
      </c>
      <c r="B199" s="5" t="s">
        <v>461</v>
      </c>
      <c r="C199">
        <v>12</v>
      </c>
      <c r="D199">
        <v>203</v>
      </c>
      <c r="E199">
        <v>5</v>
      </c>
      <c r="F199" s="6">
        <v>14218.9</v>
      </c>
      <c r="G199" s="6">
        <v>17663.449000000001</v>
      </c>
      <c r="H199" s="6">
        <f>IF(OR(F199&lt;=0,G199&lt;=0),"",ROUND(G199+F199*Uso!$B$5,Uso!$B$6))</f>
        <v>18090.016</v>
      </c>
      <c r="I199" s="6">
        <f t="shared" si="3"/>
        <v>1507.5013333333334</v>
      </c>
      <c r="J199" t="str">
        <f>IF(COUNTIF(Cruce!$A$5:$A$14,A199)&gt;0,"SKU de muestra","Regla extrapolada")</f>
        <v>Regla extrapolada</v>
      </c>
    </row>
    <row r="200" spans="1:10" ht="30" customHeight="1">
      <c r="A200" t="s">
        <v>462</v>
      </c>
      <c r="B200" s="5" t="s">
        <v>463</v>
      </c>
      <c r="C200">
        <v>12</v>
      </c>
      <c r="D200">
        <v>203</v>
      </c>
      <c r="E200">
        <v>5</v>
      </c>
      <c r="F200" s="6">
        <v>14809.63</v>
      </c>
      <c r="G200" s="6">
        <v>18399.392</v>
      </c>
      <c r="H200" s="6">
        <f>IF(OR(F200&lt;=0,G200&lt;=0),"",ROUND(G200+F200*Uso!$B$5,Uso!$B$6))</f>
        <v>18843.681</v>
      </c>
      <c r="I200" s="6">
        <f t="shared" si="3"/>
        <v>1570.30675</v>
      </c>
      <c r="J200" t="str">
        <f>IF(COUNTIF(Cruce!$A$5:$A$14,A200)&gt;0,"SKU de muestra","Regla extrapolada")</f>
        <v>Regla extrapolada</v>
      </c>
    </row>
    <row r="201" spans="1:10" ht="30" customHeight="1">
      <c r="A201" t="s">
        <v>464</v>
      </c>
      <c r="B201" s="5" t="s">
        <v>465</v>
      </c>
      <c r="C201">
        <v>1</v>
      </c>
      <c r="D201">
        <v>1</v>
      </c>
      <c r="E201">
        <v>0</v>
      </c>
      <c r="F201" s="6">
        <v>0</v>
      </c>
      <c r="G201" s="6">
        <v>0</v>
      </c>
      <c r="H201" s="6" t="str">
        <f>IF(OR(F201&lt;=0,G201&lt;=0),"",ROUND(G201+F201*Uso!$B$5,Uso!$B$6))</f>
        <v/>
      </c>
      <c r="I201" s="6" t="str">
        <f t="shared" si="3"/>
        <v/>
      </c>
      <c r="J201" t="str">
        <f>IF(COUNTIF(Cruce!$A$5:$A$14,A201)&gt;0,"SKU de muestra","Regla extrapolada")</f>
        <v>Regla extrapolada</v>
      </c>
    </row>
    <row r="202" spans="1:10" ht="30" customHeight="1">
      <c r="A202" t="s">
        <v>466</v>
      </c>
      <c r="B202" s="5" t="s">
        <v>467</v>
      </c>
      <c r="C202">
        <v>24</v>
      </c>
      <c r="D202">
        <v>100</v>
      </c>
      <c r="E202">
        <v>5</v>
      </c>
      <c r="F202" s="6">
        <v>58221.89</v>
      </c>
      <c r="G202" s="6">
        <v>77739.236999999994</v>
      </c>
      <c r="H202" s="6">
        <f>IF(OR(F202&lt;=0,G202&lt;=0),"",ROUND(G202+F202*Uso!$B$5,Uso!$B$6))</f>
        <v>79485.894</v>
      </c>
      <c r="I202" s="6">
        <f t="shared" si="3"/>
        <v>3311.9122499999999</v>
      </c>
      <c r="J202" t="str">
        <f>IF(COUNTIF(Cruce!$A$5:$A$14,A202)&gt;0,"SKU de muestra","Regla extrapolada")</f>
        <v>Regla extrapolada</v>
      </c>
    </row>
    <row r="203" spans="1:10" ht="30" customHeight="1">
      <c r="A203" t="s">
        <v>468</v>
      </c>
      <c r="B203" s="5" t="s">
        <v>469</v>
      </c>
      <c r="C203">
        <v>24</v>
      </c>
      <c r="D203">
        <v>156</v>
      </c>
      <c r="E203">
        <v>0</v>
      </c>
      <c r="F203" s="6">
        <v>0</v>
      </c>
      <c r="G203" s="6">
        <v>0</v>
      </c>
      <c r="H203" s="6" t="str">
        <f>IF(OR(F203&lt;=0,G203&lt;=0),"",ROUND(G203+F203*Uso!$B$5,Uso!$B$6))</f>
        <v/>
      </c>
      <c r="I203" s="6" t="str">
        <f t="shared" si="3"/>
        <v/>
      </c>
      <c r="J203" t="str">
        <f>IF(COUNTIF(Cruce!$A$5:$A$14,A203)&gt;0,"SKU de muestra","Regla extrapolada")</f>
        <v>Regla extrapolada</v>
      </c>
    </row>
    <row r="204" spans="1:10" ht="30" customHeight="1">
      <c r="A204" t="s">
        <v>470</v>
      </c>
      <c r="B204" s="5" t="s">
        <v>471</v>
      </c>
      <c r="C204">
        <v>1</v>
      </c>
      <c r="D204">
        <v>500</v>
      </c>
      <c r="E204">
        <v>0</v>
      </c>
      <c r="F204" s="6">
        <v>0</v>
      </c>
      <c r="G204" s="6">
        <v>0</v>
      </c>
      <c r="H204" s="6" t="str">
        <f>IF(OR(F204&lt;=0,G204&lt;=0),"",ROUND(G204+F204*Uso!$B$5,Uso!$B$6))</f>
        <v/>
      </c>
      <c r="I204" s="6" t="str">
        <f t="shared" si="3"/>
        <v/>
      </c>
      <c r="J204" t="str">
        <f>IF(COUNTIF(Cruce!$A$5:$A$14,A204)&gt;0,"SKU de muestra","Regla extrapolada")</f>
        <v>Regla extrapolada</v>
      </c>
    </row>
    <row r="205" spans="1:10" ht="30" customHeight="1">
      <c r="A205" t="s">
        <v>472</v>
      </c>
      <c r="B205" s="5" t="s">
        <v>473</v>
      </c>
      <c r="C205">
        <v>24</v>
      </c>
      <c r="D205">
        <v>100</v>
      </c>
      <c r="E205">
        <v>5</v>
      </c>
      <c r="F205" s="6">
        <v>58221.89</v>
      </c>
      <c r="G205" s="6">
        <v>77739.236999999994</v>
      </c>
      <c r="H205" s="6">
        <f>IF(OR(F205&lt;=0,G205&lt;=0),"",ROUND(G205+F205*Uso!$B$5,Uso!$B$6))</f>
        <v>79485.894</v>
      </c>
      <c r="I205" s="6">
        <f t="shared" si="3"/>
        <v>3311.9122499999999</v>
      </c>
      <c r="J205" t="str">
        <f>IF(COUNTIF(Cruce!$A$5:$A$14,A205)&gt;0,"SKU de muestra","Regla extrapolada")</f>
        <v>Regla extrapolada</v>
      </c>
    </row>
    <row r="206" spans="1:10" ht="30" customHeight="1">
      <c r="A206" t="s">
        <v>62</v>
      </c>
      <c r="B206" s="5" t="s">
        <v>474</v>
      </c>
      <c r="C206">
        <v>24</v>
      </c>
      <c r="D206">
        <v>165</v>
      </c>
      <c r="E206">
        <v>5</v>
      </c>
      <c r="F206" s="6">
        <v>53107.46</v>
      </c>
      <c r="G206" s="6">
        <v>64260.027000000002</v>
      </c>
      <c r="H206" s="6">
        <f>IF(OR(F206&lt;=0,G206&lt;=0),"",ROUND(G206+F206*Uso!$B$5,Uso!$B$6))</f>
        <v>65853.251000000004</v>
      </c>
      <c r="I206" s="6">
        <f t="shared" si="3"/>
        <v>2743.8854583333336</v>
      </c>
      <c r="J206" t="str">
        <f>IF(COUNTIF(Cruce!$A$5:$A$14,A206)&gt;0,"SKU de muestra","Regla extrapolada")</f>
        <v>SKU de muestra</v>
      </c>
    </row>
    <row r="207" spans="1:10" ht="30" customHeight="1">
      <c r="A207" t="s">
        <v>475</v>
      </c>
      <c r="B207" s="5" t="s">
        <v>476</v>
      </c>
      <c r="C207">
        <v>24</v>
      </c>
      <c r="D207">
        <v>165</v>
      </c>
      <c r="E207">
        <v>5</v>
      </c>
      <c r="F207" s="6">
        <v>53107.46</v>
      </c>
      <c r="G207" s="6">
        <v>64260.027000000002</v>
      </c>
      <c r="H207" s="6">
        <f>IF(OR(F207&lt;=0,G207&lt;=0),"",ROUND(G207+F207*Uso!$B$5,Uso!$B$6))</f>
        <v>65853.251000000004</v>
      </c>
      <c r="I207" s="6">
        <f t="shared" si="3"/>
        <v>2743.8854583333336</v>
      </c>
      <c r="J207" t="str">
        <f>IF(COUNTIF(Cruce!$A$5:$A$14,A207)&gt;0,"SKU de muestra","Regla extrapolada")</f>
        <v>Regla extrapolada</v>
      </c>
    </row>
    <row r="208" spans="1:10" ht="30" customHeight="1">
      <c r="A208" t="s">
        <v>477</v>
      </c>
      <c r="B208" s="5" t="s">
        <v>478</v>
      </c>
      <c r="C208">
        <v>1</v>
      </c>
      <c r="D208">
        <v>1</v>
      </c>
      <c r="E208">
        <v>0</v>
      </c>
      <c r="F208" s="6">
        <v>0</v>
      </c>
      <c r="G208" s="6">
        <v>0</v>
      </c>
      <c r="H208" s="6" t="str">
        <f>IF(OR(F208&lt;=0,G208&lt;=0),"",ROUND(G208+F208*Uso!$B$5,Uso!$B$6))</f>
        <v/>
      </c>
      <c r="I208" s="6" t="str">
        <f t="shared" si="3"/>
        <v/>
      </c>
      <c r="J208" t="str">
        <f>IF(COUNTIF(Cruce!$A$5:$A$14,A208)&gt;0,"SKU de muestra","Regla extrapolada")</f>
        <v>Regla extrapolada</v>
      </c>
    </row>
    <row r="209" spans="1:10" ht="30" customHeight="1">
      <c r="A209" t="s">
        <v>479</v>
      </c>
      <c r="B209" s="5" t="s">
        <v>480</v>
      </c>
      <c r="C209">
        <v>1</v>
      </c>
      <c r="D209">
        <v>1</v>
      </c>
      <c r="E209">
        <v>0</v>
      </c>
      <c r="F209" s="6">
        <v>0</v>
      </c>
      <c r="G209" s="6">
        <v>0</v>
      </c>
      <c r="H209" s="6" t="str">
        <f>IF(OR(F209&lt;=0,G209&lt;=0),"",ROUND(G209+F209*Uso!$B$5,Uso!$B$6))</f>
        <v/>
      </c>
      <c r="I209" s="6" t="str">
        <f t="shared" si="3"/>
        <v/>
      </c>
      <c r="J209" t="str">
        <f>IF(COUNTIF(Cruce!$A$5:$A$14,A209)&gt;0,"SKU de muestra","Regla extrapolada")</f>
        <v>Regla extrapolada</v>
      </c>
    </row>
    <row r="210" spans="1:10" ht="30" customHeight="1">
      <c r="A210" t="s">
        <v>481</v>
      </c>
      <c r="B210" s="5" t="s">
        <v>482</v>
      </c>
      <c r="C210">
        <v>1</v>
      </c>
      <c r="D210">
        <v>1</v>
      </c>
      <c r="E210">
        <v>0</v>
      </c>
      <c r="F210" s="6">
        <v>0</v>
      </c>
      <c r="G210" s="6">
        <v>0</v>
      </c>
      <c r="H210" s="6" t="str">
        <f>IF(OR(F210&lt;=0,G210&lt;=0),"",ROUND(G210+F210*Uso!$B$5,Uso!$B$6))</f>
        <v/>
      </c>
      <c r="I210" s="6" t="str">
        <f t="shared" si="3"/>
        <v/>
      </c>
      <c r="J210" t="str">
        <f>IF(COUNTIF(Cruce!$A$5:$A$14,A210)&gt;0,"SKU de muestra","Regla extrapolada")</f>
        <v>Regla extrapolada</v>
      </c>
    </row>
    <row r="211" spans="1:10" ht="30" customHeight="1">
      <c r="A211" t="s">
        <v>483</v>
      </c>
      <c r="B211" s="5" t="s">
        <v>484</v>
      </c>
      <c r="C211">
        <v>1</v>
      </c>
      <c r="D211">
        <v>1</v>
      </c>
      <c r="E211">
        <v>0</v>
      </c>
      <c r="F211" s="6">
        <v>0</v>
      </c>
      <c r="G211" s="6">
        <v>0</v>
      </c>
      <c r="H211" s="6" t="str">
        <f>IF(OR(F211&lt;=0,G211&lt;=0),"",ROUND(G211+F211*Uso!$B$5,Uso!$B$6))</f>
        <v/>
      </c>
      <c r="I211" s="6" t="str">
        <f t="shared" si="3"/>
        <v/>
      </c>
      <c r="J211" t="str">
        <f>IF(COUNTIF(Cruce!$A$5:$A$14,A211)&gt;0,"SKU de muestra","Regla extrapolada")</f>
        <v>Regla extrapolada</v>
      </c>
    </row>
    <row r="212" spans="1:10" ht="30" customHeight="1">
      <c r="A212" t="s">
        <v>485</v>
      </c>
      <c r="B212" s="5" t="s">
        <v>486</v>
      </c>
      <c r="C212">
        <v>12</v>
      </c>
      <c r="D212">
        <v>50</v>
      </c>
      <c r="E212">
        <v>5</v>
      </c>
      <c r="F212" s="6">
        <v>37779.4</v>
      </c>
      <c r="G212" s="6">
        <v>49850.764000000003</v>
      </c>
      <c r="H212" s="6">
        <f>IF(OR(F212&lt;=0,G212&lt;=0),"",ROUND(G212+F212*Uso!$B$5,Uso!$B$6))</f>
        <v>50984.146000000001</v>
      </c>
      <c r="I212" s="6">
        <f t="shared" si="3"/>
        <v>4248.6788333333334</v>
      </c>
      <c r="J212" t="str">
        <f>IF(COUNTIF(Cruce!$A$5:$A$14,A212)&gt;0,"SKU de muestra","Regla extrapolada")</f>
        <v>Regla extrapolada</v>
      </c>
    </row>
    <row r="213" spans="1:10" ht="30" customHeight="1">
      <c r="A213" t="s">
        <v>487</v>
      </c>
      <c r="B213" s="5" t="s">
        <v>488</v>
      </c>
      <c r="C213">
        <v>1</v>
      </c>
      <c r="D213">
        <v>1</v>
      </c>
      <c r="E213">
        <v>5</v>
      </c>
      <c r="F213" s="6">
        <v>6743.8</v>
      </c>
      <c r="G213" s="6">
        <v>8159.9979999999996</v>
      </c>
      <c r="H213" s="6">
        <f>IF(OR(F213&lt;=0,G213&lt;=0),"",ROUND(G213+F213*Uso!$B$5,Uso!$B$6))</f>
        <v>8362.3119999999999</v>
      </c>
      <c r="I213" s="6">
        <f t="shared" si="3"/>
        <v>8362.3119999999999</v>
      </c>
      <c r="J213" t="str">
        <f>IF(COUNTIF(Cruce!$A$5:$A$14,A213)&gt;0,"SKU de muestra","Regla extrapolada")</f>
        <v>Regla extrapolada</v>
      </c>
    </row>
    <row r="214" spans="1:10" ht="30" customHeight="1">
      <c r="A214" t="s">
        <v>489</v>
      </c>
      <c r="B214" s="5" t="s">
        <v>490</v>
      </c>
      <c r="C214">
        <v>1</v>
      </c>
      <c r="D214">
        <v>1</v>
      </c>
      <c r="E214">
        <v>0</v>
      </c>
      <c r="F214" s="6">
        <v>0</v>
      </c>
      <c r="G214" s="6">
        <v>0</v>
      </c>
      <c r="H214" s="6" t="str">
        <f>IF(OR(F214&lt;=0,G214&lt;=0),"",ROUND(G214+F214*Uso!$B$5,Uso!$B$6))</f>
        <v/>
      </c>
      <c r="I214" s="6" t="str">
        <f t="shared" si="3"/>
        <v/>
      </c>
      <c r="J214" t="str">
        <f>IF(COUNTIF(Cruce!$A$5:$A$14,A214)&gt;0,"SKU de muestra","Regla extrapolada")</f>
        <v>Regla extrapolada</v>
      </c>
    </row>
    <row r="215" spans="1:10" ht="30" customHeight="1">
      <c r="A215" t="s">
        <v>491</v>
      </c>
      <c r="B215" s="5" t="s">
        <v>492</v>
      </c>
      <c r="C215">
        <v>1</v>
      </c>
      <c r="D215">
        <v>1</v>
      </c>
      <c r="E215">
        <v>0</v>
      </c>
      <c r="F215" s="6">
        <v>0</v>
      </c>
      <c r="G215" s="6">
        <v>0</v>
      </c>
      <c r="H215" s="6" t="str">
        <f>IF(OR(F215&lt;=0,G215&lt;=0),"",ROUND(G215+F215*Uso!$B$5,Uso!$B$6))</f>
        <v/>
      </c>
      <c r="I215" s="6" t="str">
        <f t="shared" si="3"/>
        <v/>
      </c>
      <c r="J215" t="str">
        <f>IF(COUNTIF(Cruce!$A$5:$A$14,A215)&gt;0,"SKU de muestra","Regla extrapolada")</f>
        <v>Regla extrapolada</v>
      </c>
    </row>
    <row r="216" spans="1:10" ht="30" customHeight="1">
      <c r="A216" t="s">
        <v>493</v>
      </c>
      <c r="B216" s="5" t="s">
        <v>494</v>
      </c>
      <c r="C216">
        <v>1</v>
      </c>
      <c r="D216">
        <v>1</v>
      </c>
      <c r="E216">
        <v>0</v>
      </c>
      <c r="F216" s="6">
        <v>0</v>
      </c>
      <c r="G216" s="6">
        <v>0</v>
      </c>
      <c r="H216" s="6" t="str">
        <f>IF(OR(F216&lt;=0,G216&lt;=0),"",ROUND(G216+F216*Uso!$B$5,Uso!$B$6))</f>
        <v/>
      </c>
      <c r="I216" s="6" t="str">
        <f t="shared" si="3"/>
        <v/>
      </c>
      <c r="J216" t="str">
        <f>IF(COUNTIF(Cruce!$A$5:$A$14,A216)&gt;0,"SKU de muestra","Regla extrapolada")</f>
        <v>Regla extrapolada</v>
      </c>
    </row>
    <row r="217" spans="1:10" ht="30" customHeight="1">
      <c r="A217" t="s">
        <v>495</v>
      </c>
      <c r="B217" s="5" t="s">
        <v>496</v>
      </c>
      <c r="C217">
        <v>1</v>
      </c>
      <c r="D217">
        <v>1</v>
      </c>
      <c r="E217">
        <v>0</v>
      </c>
      <c r="F217" s="6">
        <v>0</v>
      </c>
      <c r="G217" s="6">
        <v>0</v>
      </c>
      <c r="H217" s="6" t="str">
        <f>IF(OR(F217&lt;=0,G217&lt;=0),"",ROUND(G217+F217*Uso!$B$5,Uso!$B$6))</f>
        <v/>
      </c>
      <c r="I217" s="6" t="str">
        <f t="shared" si="3"/>
        <v/>
      </c>
      <c r="J217" t="str">
        <f>IF(COUNTIF(Cruce!$A$5:$A$14,A217)&gt;0,"SKU de muestra","Regla extrapolada")</f>
        <v>Regla extrapolada</v>
      </c>
    </row>
    <row r="218" spans="1:10" ht="30" customHeight="1">
      <c r="A218" t="s">
        <v>497</v>
      </c>
      <c r="B218" s="5" t="s">
        <v>498</v>
      </c>
      <c r="C218">
        <v>1</v>
      </c>
      <c r="D218">
        <v>12</v>
      </c>
      <c r="E218">
        <v>5</v>
      </c>
      <c r="F218" s="6">
        <v>185900</v>
      </c>
      <c r="G218" s="6">
        <v>248219.4</v>
      </c>
      <c r="H218" s="6">
        <f>IF(OR(F218&lt;=0,G218&lt;=0),"",ROUND(G218+F218*Uso!$B$5,Uso!$B$6))</f>
        <v>253796.4</v>
      </c>
      <c r="I218" s="6">
        <f t="shared" si="3"/>
        <v>253796.4</v>
      </c>
      <c r="J218" t="str">
        <f>IF(COUNTIF(Cruce!$A$5:$A$14,A218)&gt;0,"SKU de muestra","Regla extrapolada")</f>
        <v>Regla extrapolada</v>
      </c>
    </row>
    <row r="219" spans="1:10" ht="30" customHeight="1">
      <c r="A219" t="s">
        <v>499</v>
      </c>
      <c r="B219" s="5" t="s">
        <v>500</v>
      </c>
      <c r="C219">
        <v>1</v>
      </c>
      <c r="D219">
        <v>24</v>
      </c>
      <c r="E219">
        <v>5</v>
      </c>
      <c r="F219" s="6">
        <v>185900</v>
      </c>
      <c r="G219" s="6">
        <v>248219.4</v>
      </c>
      <c r="H219" s="6">
        <f>IF(OR(F219&lt;=0,G219&lt;=0),"",ROUND(G219+F219*Uso!$B$5,Uso!$B$6))</f>
        <v>253796.4</v>
      </c>
      <c r="I219" s="6">
        <f t="shared" si="3"/>
        <v>253796.4</v>
      </c>
      <c r="J219" t="str">
        <f>IF(COUNTIF(Cruce!$A$5:$A$14,A219)&gt;0,"SKU de muestra","Regla extrapolada")</f>
        <v>Regla extrapolada</v>
      </c>
    </row>
    <row r="220" spans="1:10" ht="30" customHeight="1">
      <c r="A220" t="s">
        <v>501</v>
      </c>
      <c r="B220" s="5" t="s">
        <v>502</v>
      </c>
      <c r="C220">
        <v>1</v>
      </c>
      <c r="D220">
        <v>24</v>
      </c>
      <c r="E220">
        <v>5</v>
      </c>
      <c r="F220" s="6">
        <v>185900</v>
      </c>
      <c r="G220" s="6">
        <v>248219.4</v>
      </c>
      <c r="H220" s="6">
        <f>IF(OR(F220&lt;=0,G220&lt;=0),"",ROUND(G220+F220*Uso!$B$5,Uso!$B$6))</f>
        <v>253796.4</v>
      </c>
      <c r="I220" s="6">
        <f t="shared" si="3"/>
        <v>253796.4</v>
      </c>
      <c r="J220" t="str">
        <f>IF(COUNTIF(Cruce!$A$5:$A$14,A220)&gt;0,"SKU de muestra","Regla extrapolada")</f>
        <v>Regla extrapolada</v>
      </c>
    </row>
    <row r="221" spans="1:10" ht="30" customHeight="1">
      <c r="A221" t="s">
        <v>503</v>
      </c>
      <c r="B221" s="5" t="s">
        <v>504</v>
      </c>
      <c r="C221">
        <v>1</v>
      </c>
      <c r="D221">
        <v>12</v>
      </c>
      <c r="E221">
        <v>5</v>
      </c>
      <c r="F221" s="6">
        <v>185900</v>
      </c>
      <c r="G221" s="6">
        <v>248219.4</v>
      </c>
      <c r="H221" s="6">
        <f>IF(OR(F221&lt;=0,G221&lt;=0),"",ROUND(G221+F221*Uso!$B$5,Uso!$B$6))</f>
        <v>253796.4</v>
      </c>
      <c r="I221" s="6">
        <f t="shared" si="3"/>
        <v>253796.4</v>
      </c>
      <c r="J221" t="str">
        <f>IF(COUNTIF(Cruce!$A$5:$A$14,A221)&gt;0,"SKU de muestra","Regla extrapolada")</f>
        <v>Regla extrapolada</v>
      </c>
    </row>
    <row r="222" spans="1:10" ht="30" customHeight="1">
      <c r="A222" t="s">
        <v>505</v>
      </c>
      <c r="B222" s="5" t="s">
        <v>506</v>
      </c>
      <c r="C222">
        <v>12</v>
      </c>
      <c r="D222">
        <v>50</v>
      </c>
      <c r="E222">
        <v>5</v>
      </c>
      <c r="F222" s="6">
        <v>11446.65</v>
      </c>
      <c r="G222" s="6">
        <v>15283.916999999999</v>
      </c>
      <c r="H222" s="6">
        <f>IF(OR(F222&lt;=0,G222&lt;=0),"",ROUND(G222+F222*Uso!$B$5,Uso!$B$6))</f>
        <v>15627.316999999999</v>
      </c>
      <c r="I222" s="6">
        <f t="shared" si="3"/>
        <v>1302.2764166666666</v>
      </c>
      <c r="J222" t="str">
        <f>IF(COUNTIF(Cruce!$A$5:$A$14,A222)&gt;0,"SKU de muestra","Regla extrapolada")</f>
        <v>Regla extrapolada</v>
      </c>
    </row>
    <row r="223" spans="1:10" ht="30" customHeight="1">
      <c r="A223" t="s">
        <v>507</v>
      </c>
      <c r="B223" s="5" t="s">
        <v>508</v>
      </c>
      <c r="C223">
        <v>12</v>
      </c>
      <c r="D223">
        <v>50</v>
      </c>
      <c r="E223">
        <v>5</v>
      </c>
      <c r="F223" s="6">
        <v>11446.65</v>
      </c>
      <c r="G223" s="6">
        <v>15283.916999999999</v>
      </c>
      <c r="H223" s="6">
        <f>IF(OR(F223&lt;=0,G223&lt;=0),"",ROUND(G223+F223*Uso!$B$5,Uso!$B$6))</f>
        <v>15627.316999999999</v>
      </c>
      <c r="I223" s="6">
        <f t="shared" si="3"/>
        <v>1302.2764166666666</v>
      </c>
      <c r="J223" t="str">
        <f>IF(COUNTIF(Cruce!$A$5:$A$14,A223)&gt;0,"SKU de muestra","Regla extrapolada")</f>
        <v>Regla extrapolada</v>
      </c>
    </row>
    <row r="224" spans="1:10" ht="30" customHeight="1">
      <c r="A224" t="s">
        <v>509</v>
      </c>
      <c r="B224" s="5" t="s">
        <v>510</v>
      </c>
      <c r="C224">
        <v>1</v>
      </c>
      <c r="D224">
        <v>50</v>
      </c>
      <c r="E224">
        <v>5</v>
      </c>
      <c r="F224" s="6">
        <v>22915.99</v>
      </c>
      <c r="G224" s="6">
        <v>27728.348000000002</v>
      </c>
      <c r="H224" s="6">
        <f>IF(OR(F224&lt;=0,G224&lt;=0),"",ROUND(G224+F224*Uso!$B$5,Uso!$B$6))</f>
        <v>28415.828000000001</v>
      </c>
      <c r="I224" s="6">
        <f t="shared" si="3"/>
        <v>28415.828000000001</v>
      </c>
      <c r="J224" t="str">
        <f>IF(COUNTIF(Cruce!$A$5:$A$14,A224)&gt;0,"SKU de muestra","Regla extrapolada")</f>
        <v>Regla extrapolada</v>
      </c>
    </row>
    <row r="225" spans="1:10" ht="30" customHeight="1">
      <c r="A225" t="s">
        <v>511</v>
      </c>
      <c r="B225" s="5" t="s">
        <v>512</v>
      </c>
      <c r="C225">
        <v>1</v>
      </c>
      <c r="D225">
        <v>1</v>
      </c>
      <c r="E225">
        <v>0</v>
      </c>
      <c r="F225" s="6">
        <v>0</v>
      </c>
      <c r="G225" s="6">
        <v>0</v>
      </c>
      <c r="H225" s="6" t="str">
        <f>IF(OR(F225&lt;=0,G225&lt;=0),"",ROUND(G225+F225*Uso!$B$5,Uso!$B$6))</f>
        <v/>
      </c>
      <c r="I225" s="6" t="str">
        <f t="shared" si="3"/>
        <v/>
      </c>
      <c r="J225" t="str">
        <f>IF(COUNTIF(Cruce!$A$5:$A$14,A225)&gt;0,"SKU de muestra","Regla extrapolada")</f>
        <v>Regla extrapolada</v>
      </c>
    </row>
    <row r="226" spans="1:10" ht="30" customHeight="1">
      <c r="A226" t="s">
        <v>513</v>
      </c>
      <c r="B226" s="5" t="s">
        <v>514</v>
      </c>
      <c r="C226">
        <v>1</v>
      </c>
      <c r="D226">
        <v>1</v>
      </c>
      <c r="E226">
        <v>0</v>
      </c>
      <c r="F226" s="6">
        <v>0</v>
      </c>
      <c r="G226" s="6">
        <v>0</v>
      </c>
      <c r="H226" s="6" t="str">
        <f>IF(OR(F226&lt;=0,G226&lt;=0),"",ROUND(G226+F226*Uso!$B$5,Uso!$B$6))</f>
        <v/>
      </c>
      <c r="I226" s="6" t="str">
        <f t="shared" si="3"/>
        <v/>
      </c>
      <c r="J226" t="str">
        <f>IF(COUNTIF(Cruce!$A$5:$A$14,A226)&gt;0,"SKU de muestra","Regla extrapolada")</f>
        <v>Regla extrapolada</v>
      </c>
    </row>
    <row r="227" spans="1:10" ht="30" customHeight="1">
      <c r="A227" t="s">
        <v>515</v>
      </c>
      <c r="B227" s="5" t="s">
        <v>516</v>
      </c>
      <c r="C227">
        <v>1</v>
      </c>
      <c r="D227">
        <v>1</v>
      </c>
      <c r="E227">
        <v>0</v>
      </c>
      <c r="F227" s="6">
        <v>0</v>
      </c>
      <c r="G227" s="6">
        <v>0</v>
      </c>
      <c r="H227" s="6" t="str">
        <f>IF(OR(F227&lt;=0,G227&lt;=0),"",ROUND(G227+F227*Uso!$B$5,Uso!$B$6))</f>
        <v/>
      </c>
      <c r="I227" s="6" t="str">
        <f t="shared" si="3"/>
        <v/>
      </c>
      <c r="J227" t="str">
        <f>IF(COUNTIF(Cruce!$A$5:$A$14,A227)&gt;0,"SKU de muestra","Regla extrapolada")</f>
        <v>Regla extrapolada</v>
      </c>
    </row>
    <row r="228" spans="1:10" ht="30" customHeight="1">
      <c r="A228" t="s">
        <v>517</v>
      </c>
      <c r="B228" s="5" t="s">
        <v>518</v>
      </c>
      <c r="C228">
        <v>1</v>
      </c>
      <c r="D228">
        <v>1</v>
      </c>
      <c r="E228">
        <v>0</v>
      </c>
      <c r="F228" s="6">
        <v>0</v>
      </c>
      <c r="G228" s="6">
        <v>0</v>
      </c>
      <c r="H228" s="6" t="str">
        <f>IF(OR(F228&lt;=0,G228&lt;=0),"",ROUND(G228+F228*Uso!$B$5,Uso!$B$6))</f>
        <v/>
      </c>
      <c r="I228" s="6" t="str">
        <f t="shared" si="3"/>
        <v/>
      </c>
      <c r="J228" t="str">
        <f>IF(COUNTIF(Cruce!$A$5:$A$14,A228)&gt;0,"SKU de muestra","Regla extrapolada")</f>
        <v>Regla extrapolada</v>
      </c>
    </row>
    <row r="229" spans="1:10" ht="30" customHeight="1">
      <c r="A229" t="s">
        <v>519</v>
      </c>
      <c r="B229" s="5" t="s">
        <v>520</v>
      </c>
      <c r="C229">
        <v>1</v>
      </c>
      <c r="D229">
        <v>1</v>
      </c>
      <c r="E229">
        <v>5</v>
      </c>
      <c r="F229" s="6">
        <v>7755.37</v>
      </c>
      <c r="G229" s="6">
        <v>9383.9979999999996</v>
      </c>
      <c r="H229" s="6">
        <f>IF(OR(F229&lt;=0,G229&lt;=0),"",ROUND(G229+F229*Uso!$B$5,Uso!$B$6))</f>
        <v>9616.6589999999997</v>
      </c>
      <c r="I229" s="6">
        <f t="shared" si="3"/>
        <v>9616.6589999999997</v>
      </c>
      <c r="J229" t="str">
        <f>IF(COUNTIF(Cruce!$A$5:$A$14,A229)&gt;0,"SKU de muestra","Regla extrapolada")</f>
        <v>Regla extrapolada</v>
      </c>
    </row>
    <row r="230" spans="1:10" ht="30" customHeight="1">
      <c r="A230" t="s">
        <v>521</v>
      </c>
      <c r="B230" s="5" t="s">
        <v>522</v>
      </c>
      <c r="C230">
        <v>24</v>
      </c>
      <c r="D230">
        <v>100</v>
      </c>
      <c r="E230">
        <v>5</v>
      </c>
      <c r="F230" s="6">
        <v>46249.24</v>
      </c>
      <c r="G230" s="6">
        <v>61680.83</v>
      </c>
      <c r="H230" s="6">
        <f>IF(OR(F230&lt;=0,G230&lt;=0),"",ROUND(G230+F230*Uso!$B$5,Uso!$B$6))</f>
        <v>63068.307000000001</v>
      </c>
      <c r="I230" s="6">
        <f t="shared" si="3"/>
        <v>2627.846125</v>
      </c>
      <c r="J230" t="str">
        <f>IF(COUNTIF(Cruce!$A$5:$A$14,A230)&gt;0,"SKU de muestra","Regla extrapolada")</f>
        <v>Regla extrapolada</v>
      </c>
    </row>
    <row r="231" spans="1:10" ht="30" customHeight="1">
      <c r="A231" t="s">
        <v>523</v>
      </c>
      <c r="B231" s="5" t="s">
        <v>524</v>
      </c>
      <c r="C231">
        <v>24</v>
      </c>
      <c r="D231">
        <v>100</v>
      </c>
      <c r="E231">
        <v>5</v>
      </c>
      <c r="F231" s="6">
        <v>46249.24</v>
      </c>
      <c r="G231" s="6">
        <v>61680.83</v>
      </c>
      <c r="H231" s="6">
        <f>IF(OR(F231&lt;=0,G231&lt;=0),"",ROUND(G231+F231*Uso!$B$5,Uso!$B$6))</f>
        <v>63068.307000000001</v>
      </c>
      <c r="I231" s="6">
        <f t="shared" si="3"/>
        <v>2627.846125</v>
      </c>
      <c r="J231" t="str">
        <f>IF(COUNTIF(Cruce!$A$5:$A$14,A231)&gt;0,"SKU de muestra","Regla extrapolada")</f>
        <v>Regla extrapolada</v>
      </c>
    </row>
    <row r="232" spans="1:10" ht="30" customHeight="1">
      <c r="A232" t="s">
        <v>525</v>
      </c>
      <c r="B232" s="5" t="s">
        <v>526</v>
      </c>
      <c r="C232">
        <v>1</v>
      </c>
      <c r="D232">
        <v>1</v>
      </c>
      <c r="E232">
        <v>0</v>
      </c>
      <c r="F232" s="6">
        <v>0</v>
      </c>
      <c r="G232" s="6">
        <v>0</v>
      </c>
      <c r="H232" s="6" t="str">
        <f>IF(OR(F232&lt;=0,G232&lt;=0),"",ROUND(G232+F232*Uso!$B$5,Uso!$B$6))</f>
        <v/>
      </c>
      <c r="I232" s="6" t="str">
        <f t="shared" si="3"/>
        <v/>
      </c>
      <c r="J232" t="str">
        <f>IF(COUNTIF(Cruce!$A$5:$A$14,A232)&gt;0,"SKU de muestra","Regla extrapolada")</f>
        <v>Regla extrapolada</v>
      </c>
    </row>
    <row r="233" spans="1:10" ht="30" customHeight="1">
      <c r="A233" t="s">
        <v>527</v>
      </c>
      <c r="B233" s="5" t="s">
        <v>528</v>
      </c>
      <c r="C233">
        <v>6</v>
      </c>
      <c r="D233">
        <v>140</v>
      </c>
      <c r="E233">
        <v>5</v>
      </c>
      <c r="F233" s="6">
        <v>21430.63</v>
      </c>
      <c r="G233" s="6">
        <v>28493.062000000002</v>
      </c>
      <c r="H233" s="6">
        <f>IF(OR(F233&lt;=0,G233&lt;=0),"",ROUND(G233+F233*Uso!$B$5,Uso!$B$6))</f>
        <v>29135.981</v>
      </c>
      <c r="I233" s="6">
        <f t="shared" si="3"/>
        <v>4855.9968333333336</v>
      </c>
      <c r="J233" t="str">
        <f>IF(COUNTIF(Cruce!$A$5:$A$14,A233)&gt;0,"SKU de muestra","Regla extrapolada")</f>
        <v>Regla extrapolada</v>
      </c>
    </row>
    <row r="234" spans="1:10" ht="30" customHeight="1">
      <c r="A234" t="s">
        <v>529</v>
      </c>
      <c r="B234" s="5" t="s">
        <v>530</v>
      </c>
      <c r="C234">
        <v>6</v>
      </c>
      <c r="D234">
        <v>140</v>
      </c>
      <c r="E234">
        <v>5</v>
      </c>
      <c r="F234" s="6">
        <v>21430.63</v>
      </c>
      <c r="G234" s="6">
        <v>28493.062000000002</v>
      </c>
      <c r="H234" s="6">
        <f>IF(OR(F234&lt;=0,G234&lt;=0),"",ROUND(G234+F234*Uso!$B$5,Uso!$B$6))</f>
        <v>29135.981</v>
      </c>
      <c r="I234" s="6">
        <f t="shared" si="3"/>
        <v>4855.9968333333336</v>
      </c>
      <c r="J234" t="str">
        <f>IF(COUNTIF(Cruce!$A$5:$A$14,A234)&gt;0,"SKU de muestra","Regla extrapolada")</f>
        <v>Regla extrapolada</v>
      </c>
    </row>
    <row r="235" spans="1:10" ht="30" customHeight="1">
      <c r="A235" t="s">
        <v>531</v>
      </c>
      <c r="B235" s="5" t="s">
        <v>532</v>
      </c>
      <c r="C235">
        <v>1</v>
      </c>
      <c r="D235">
        <v>1</v>
      </c>
      <c r="E235">
        <v>0</v>
      </c>
      <c r="F235" s="6">
        <v>0</v>
      </c>
      <c r="G235" s="6">
        <v>0</v>
      </c>
      <c r="H235" s="6" t="str">
        <f>IF(OR(F235&lt;=0,G235&lt;=0),"",ROUND(G235+F235*Uso!$B$5,Uso!$B$6))</f>
        <v/>
      </c>
      <c r="I235" s="6" t="str">
        <f t="shared" si="3"/>
        <v/>
      </c>
      <c r="J235" t="str">
        <f>IF(COUNTIF(Cruce!$A$5:$A$14,A235)&gt;0,"SKU de muestra","Regla extrapolada")</f>
        <v>Regla extrapolada</v>
      </c>
    </row>
    <row r="236" spans="1:10" ht="30" customHeight="1">
      <c r="A236" t="s">
        <v>533</v>
      </c>
      <c r="B236" s="5" t="s">
        <v>534</v>
      </c>
      <c r="C236">
        <v>1</v>
      </c>
      <c r="D236">
        <v>1</v>
      </c>
      <c r="E236">
        <v>0</v>
      </c>
      <c r="F236" s="6">
        <v>0</v>
      </c>
      <c r="G236" s="6">
        <v>0</v>
      </c>
      <c r="H236" s="6" t="str">
        <f>IF(OR(F236&lt;=0,G236&lt;=0),"",ROUND(G236+F236*Uso!$B$5,Uso!$B$6))</f>
        <v/>
      </c>
      <c r="I236" s="6" t="str">
        <f t="shared" si="3"/>
        <v/>
      </c>
      <c r="J236" t="str">
        <f>IF(COUNTIF(Cruce!$A$5:$A$14,A236)&gt;0,"SKU de muestra","Regla extrapolada")</f>
        <v>Regla extrapolada</v>
      </c>
    </row>
    <row r="237" spans="1:10" ht="30" customHeight="1">
      <c r="A237" t="s">
        <v>535</v>
      </c>
      <c r="B237" s="5" t="s">
        <v>536</v>
      </c>
      <c r="C237">
        <v>12</v>
      </c>
      <c r="D237">
        <v>203</v>
      </c>
      <c r="E237">
        <v>5</v>
      </c>
      <c r="F237" s="6">
        <v>13300.04</v>
      </c>
      <c r="G237" s="6">
        <v>16093.048000000001</v>
      </c>
      <c r="H237" s="6">
        <f>IF(OR(F237&lt;=0,G237&lt;=0),"",ROUND(G237+F237*Uso!$B$5,Uso!$B$6))</f>
        <v>16492.048999999999</v>
      </c>
      <c r="I237" s="6">
        <f t="shared" si="3"/>
        <v>1374.3374166666665</v>
      </c>
      <c r="J237" t="str">
        <f>IF(COUNTIF(Cruce!$A$5:$A$14,A237)&gt;0,"SKU de muestra","Regla extrapolada")</f>
        <v>Regla extrapolada</v>
      </c>
    </row>
    <row r="238" spans="1:10" ht="30" customHeight="1">
      <c r="A238" t="s">
        <v>537</v>
      </c>
      <c r="B238" s="5" t="s">
        <v>538</v>
      </c>
      <c r="C238">
        <v>8</v>
      </c>
      <c r="D238">
        <v>1</v>
      </c>
      <c r="E238">
        <v>5</v>
      </c>
      <c r="F238" s="6">
        <v>31.41</v>
      </c>
      <c r="G238" s="6">
        <v>38.006</v>
      </c>
      <c r="H238" s="6">
        <f>IF(OR(F238&lt;=0,G238&lt;=0),"",ROUND(G238+F238*Uso!$B$5,Uso!$B$6))</f>
        <v>38.948</v>
      </c>
      <c r="I238" s="6">
        <f t="shared" si="3"/>
        <v>4.8685</v>
      </c>
      <c r="J238" t="str">
        <f>IF(COUNTIF(Cruce!$A$5:$A$14,A238)&gt;0,"SKU de muestra","Regla extrapolada")</f>
        <v>Regla extrapolada</v>
      </c>
    </row>
    <row r="239" spans="1:10" ht="30" customHeight="1">
      <c r="A239" t="s">
        <v>539</v>
      </c>
      <c r="B239" s="5" t="s">
        <v>540</v>
      </c>
      <c r="C239">
        <v>6</v>
      </c>
      <c r="D239">
        <v>140</v>
      </c>
      <c r="E239">
        <v>5</v>
      </c>
      <c r="F239" s="6">
        <v>7805.7</v>
      </c>
      <c r="G239" s="6">
        <v>9444.8970000000008</v>
      </c>
      <c r="H239" s="6">
        <f>IF(OR(F239&lt;=0,G239&lt;=0),"",ROUND(G239+F239*Uso!$B$5,Uso!$B$6))</f>
        <v>9679.0679999999993</v>
      </c>
      <c r="I239" s="6">
        <f t="shared" si="3"/>
        <v>1613.1779999999999</v>
      </c>
      <c r="J239" t="str">
        <f>IF(COUNTIF(Cruce!$A$5:$A$14,A239)&gt;0,"SKU de muestra","Regla extrapolada")</f>
        <v>Regla extrapolada</v>
      </c>
    </row>
    <row r="240" spans="1:10" ht="30" customHeight="1">
      <c r="A240" t="s">
        <v>541</v>
      </c>
      <c r="B240" s="5" t="s">
        <v>542</v>
      </c>
      <c r="C240">
        <v>6</v>
      </c>
      <c r="D240">
        <v>100</v>
      </c>
      <c r="E240">
        <v>5</v>
      </c>
      <c r="F240" s="6">
        <v>10185.34</v>
      </c>
      <c r="G240" s="6">
        <v>12324.261</v>
      </c>
      <c r="H240" s="6">
        <f>IF(OR(F240&lt;=0,G240&lt;=0),"",ROUND(G240+F240*Uso!$B$5,Uso!$B$6))</f>
        <v>12629.821</v>
      </c>
      <c r="I240" s="6">
        <f t="shared" si="3"/>
        <v>2104.9701666666665</v>
      </c>
      <c r="J240" t="str">
        <f>IF(COUNTIF(Cruce!$A$5:$A$14,A240)&gt;0,"SKU de muestra","Regla extrapolada")</f>
        <v>Regla extrapolada</v>
      </c>
    </row>
    <row r="241" spans="1:10" ht="30" customHeight="1">
      <c r="A241" t="s">
        <v>543</v>
      </c>
      <c r="B241" s="5" t="s">
        <v>544</v>
      </c>
      <c r="C241">
        <v>12</v>
      </c>
      <c r="D241">
        <v>50</v>
      </c>
      <c r="E241">
        <v>5</v>
      </c>
      <c r="F241" s="6">
        <v>29647.58</v>
      </c>
      <c r="G241" s="6">
        <v>38969.411999999997</v>
      </c>
      <c r="H241" s="6">
        <f>IF(OR(F241&lt;=0,G241&lt;=0),"",ROUND(G241+F241*Uso!$B$5,Uso!$B$6))</f>
        <v>39858.839</v>
      </c>
      <c r="I241" s="6">
        <f t="shared" si="3"/>
        <v>3321.5699166666668</v>
      </c>
      <c r="J241" t="str">
        <f>IF(COUNTIF(Cruce!$A$5:$A$14,A241)&gt;0,"SKU de muestra","Regla extrapolada")</f>
        <v>Regla extrapolada</v>
      </c>
    </row>
    <row r="242" spans="1:10" ht="30" customHeight="1">
      <c r="A242" t="s">
        <v>545</v>
      </c>
      <c r="B242" s="5" t="s">
        <v>546</v>
      </c>
      <c r="C242">
        <v>24</v>
      </c>
      <c r="D242">
        <v>100</v>
      </c>
      <c r="E242">
        <v>5</v>
      </c>
      <c r="F242" s="6">
        <v>35525.449999999997</v>
      </c>
      <c r="G242" s="6">
        <v>47297.474999999999</v>
      </c>
      <c r="H242" s="6">
        <f>IF(OR(F242&lt;=0,G242&lt;=0),"",ROUND(G242+F242*Uso!$B$5,Uso!$B$6))</f>
        <v>48363.239000000001</v>
      </c>
      <c r="I242" s="6">
        <f t="shared" si="3"/>
        <v>2015.1349583333333</v>
      </c>
      <c r="J242" t="str">
        <f>IF(COUNTIF(Cruce!$A$5:$A$14,A242)&gt;0,"SKU de muestra","Regla extrapolada")</f>
        <v>Regla extrapolada</v>
      </c>
    </row>
    <row r="243" spans="1:10" ht="30" customHeight="1">
      <c r="A243" t="s">
        <v>547</v>
      </c>
      <c r="B243" s="5" t="s">
        <v>548</v>
      </c>
      <c r="C243">
        <v>1</v>
      </c>
      <c r="D243">
        <v>1</v>
      </c>
      <c r="E243">
        <v>0</v>
      </c>
      <c r="F243" s="6">
        <v>0</v>
      </c>
      <c r="G243" s="6">
        <v>0</v>
      </c>
      <c r="H243" s="6" t="str">
        <f>IF(OR(F243&lt;=0,G243&lt;=0),"",ROUND(G243+F243*Uso!$B$5,Uso!$B$6))</f>
        <v/>
      </c>
      <c r="I243" s="6" t="str">
        <f t="shared" si="3"/>
        <v/>
      </c>
      <c r="J243" t="str">
        <f>IF(COUNTIF(Cruce!$A$5:$A$14,A243)&gt;0,"SKU de muestra","Regla extrapolada")</f>
        <v>Regla extrapolada</v>
      </c>
    </row>
    <row r="244" spans="1:10" ht="30" customHeight="1">
      <c r="A244" t="s">
        <v>549</v>
      </c>
      <c r="B244" s="5" t="s">
        <v>550</v>
      </c>
      <c r="C244">
        <v>1</v>
      </c>
      <c r="D244">
        <v>1</v>
      </c>
      <c r="E244">
        <v>0</v>
      </c>
      <c r="F244" s="6">
        <v>0</v>
      </c>
      <c r="G244" s="6">
        <v>0</v>
      </c>
      <c r="H244" s="6" t="str">
        <f>IF(OR(F244&lt;=0,G244&lt;=0),"",ROUND(G244+F244*Uso!$B$5,Uso!$B$6))</f>
        <v/>
      </c>
      <c r="I244" s="6" t="str">
        <f t="shared" si="3"/>
        <v/>
      </c>
      <c r="J244" t="str">
        <f>IF(COUNTIF(Cruce!$A$5:$A$14,A244)&gt;0,"SKU de muestra","Regla extrapolada")</f>
        <v>Regla extrapolada</v>
      </c>
    </row>
    <row r="245" spans="1:10" ht="30" customHeight="1">
      <c r="A245" t="s">
        <v>551</v>
      </c>
      <c r="B245" s="5" t="s">
        <v>552</v>
      </c>
      <c r="C245">
        <v>1</v>
      </c>
      <c r="D245">
        <v>1</v>
      </c>
      <c r="E245">
        <v>0</v>
      </c>
      <c r="F245" s="6">
        <v>0</v>
      </c>
      <c r="G245" s="6">
        <v>0</v>
      </c>
      <c r="H245" s="6" t="str">
        <f>IF(OR(F245&lt;=0,G245&lt;=0),"",ROUND(G245+F245*Uso!$B$5,Uso!$B$6))</f>
        <v/>
      </c>
      <c r="I245" s="6" t="str">
        <f t="shared" si="3"/>
        <v/>
      </c>
      <c r="J245" t="str">
        <f>IF(COUNTIF(Cruce!$A$5:$A$14,A245)&gt;0,"SKU de muestra","Regla extrapolada")</f>
        <v>Regla extrapolada</v>
      </c>
    </row>
    <row r="246" spans="1:10" ht="30" customHeight="1">
      <c r="A246" t="s">
        <v>553</v>
      </c>
      <c r="B246" s="5" t="s">
        <v>554</v>
      </c>
      <c r="C246">
        <v>1</v>
      </c>
      <c r="D246">
        <v>1</v>
      </c>
      <c r="E246">
        <v>0</v>
      </c>
      <c r="F246" s="6">
        <v>0</v>
      </c>
      <c r="G246" s="6">
        <v>0</v>
      </c>
      <c r="H246" s="6" t="str">
        <f>IF(OR(F246&lt;=0,G246&lt;=0),"",ROUND(G246+F246*Uso!$B$5,Uso!$B$6))</f>
        <v/>
      </c>
      <c r="I246" s="6" t="str">
        <f t="shared" si="3"/>
        <v/>
      </c>
      <c r="J246" t="str">
        <f>IF(COUNTIF(Cruce!$A$5:$A$14,A246)&gt;0,"SKU de muestra","Regla extrapolada")</f>
        <v>Regla extrapolada</v>
      </c>
    </row>
    <row r="247" spans="1:10" ht="30" customHeight="1">
      <c r="A247" t="s">
        <v>555</v>
      </c>
      <c r="B247" s="5" t="s">
        <v>556</v>
      </c>
      <c r="C247">
        <v>1</v>
      </c>
      <c r="D247">
        <v>1</v>
      </c>
      <c r="E247">
        <v>0</v>
      </c>
      <c r="F247" s="6">
        <v>0</v>
      </c>
      <c r="G247" s="6">
        <v>0</v>
      </c>
      <c r="H247" s="6" t="str">
        <f>IF(OR(F247&lt;=0,G247&lt;=0),"",ROUND(G247+F247*Uso!$B$5,Uso!$B$6))</f>
        <v/>
      </c>
      <c r="I247" s="6" t="str">
        <f t="shared" si="3"/>
        <v/>
      </c>
      <c r="J247" t="str">
        <f>IF(COUNTIF(Cruce!$A$5:$A$14,A247)&gt;0,"SKU de muestra","Regla extrapolada")</f>
        <v>Regla extrapolada</v>
      </c>
    </row>
    <row r="248" spans="1:10" ht="30" customHeight="1">
      <c r="A248" t="s">
        <v>557</v>
      </c>
      <c r="B248" s="5" t="s">
        <v>558</v>
      </c>
      <c r="C248">
        <v>1</v>
      </c>
      <c r="D248">
        <v>1</v>
      </c>
      <c r="E248">
        <v>0</v>
      </c>
      <c r="F248" s="6">
        <v>0</v>
      </c>
      <c r="G248" s="6">
        <v>0</v>
      </c>
      <c r="H248" s="6" t="str">
        <f>IF(OR(F248&lt;=0,G248&lt;=0),"",ROUND(G248+F248*Uso!$B$5,Uso!$B$6))</f>
        <v/>
      </c>
      <c r="I248" s="6" t="str">
        <f t="shared" si="3"/>
        <v/>
      </c>
      <c r="J248" t="str">
        <f>IF(COUNTIF(Cruce!$A$5:$A$14,A248)&gt;0,"SKU de muestra","Regla extrapolada")</f>
        <v>Regla extrapolada</v>
      </c>
    </row>
    <row r="249" spans="1:10" ht="30" customHeight="1">
      <c r="A249" t="s">
        <v>56</v>
      </c>
      <c r="B249" s="5" t="s">
        <v>559</v>
      </c>
      <c r="C249">
        <v>12</v>
      </c>
      <c r="D249">
        <v>50</v>
      </c>
      <c r="E249">
        <v>5</v>
      </c>
      <c r="F249" s="6">
        <v>37779.4</v>
      </c>
      <c r="G249" s="6">
        <v>49850.764000000003</v>
      </c>
      <c r="H249" s="6">
        <f>IF(OR(F249&lt;=0,G249&lt;=0),"",ROUND(G249+F249*Uso!$B$5,Uso!$B$6))</f>
        <v>50984.146000000001</v>
      </c>
      <c r="I249" s="6">
        <f t="shared" si="3"/>
        <v>4248.6788333333334</v>
      </c>
      <c r="J249" t="str">
        <f>IF(COUNTIF(Cruce!$A$5:$A$14,A249)&gt;0,"SKU de muestra","Regla extrapolada")</f>
        <v>SKU de muestra</v>
      </c>
    </row>
    <row r="250" spans="1:10" ht="30" customHeight="1">
      <c r="A250" t="s">
        <v>560</v>
      </c>
      <c r="B250" s="5" t="s">
        <v>561</v>
      </c>
      <c r="C250">
        <v>24</v>
      </c>
      <c r="D250">
        <v>100</v>
      </c>
      <c r="E250">
        <v>5</v>
      </c>
      <c r="F250" s="6">
        <v>46249.24</v>
      </c>
      <c r="G250" s="6">
        <v>61680.83</v>
      </c>
      <c r="H250" s="6">
        <f>IF(OR(F250&lt;=0,G250&lt;=0),"",ROUND(G250+F250*Uso!$B$5,Uso!$B$6))</f>
        <v>63068.307000000001</v>
      </c>
      <c r="I250" s="6">
        <f t="shared" si="3"/>
        <v>2627.846125</v>
      </c>
      <c r="J250" t="str">
        <f>IF(COUNTIF(Cruce!$A$5:$A$14,A250)&gt;0,"SKU de muestra","Regla extrapolada")</f>
        <v>Regla extrapolada</v>
      </c>
    </row>
    <row r="251" spans="1:10" ht="30" customHeight="1">
      <c r="A251" t="s">
        <v>562</v>
      </c>
      <c r="B251" s="5" t="s">
        <v>563</v>
      </c>
      <c r="C251">
        <v>1</v>
      </c>
      <c r="D251">
        <v>1</v>
      </c>
      <c r="E251">
        <v>0</v>
      </c>
      <c r="F251" s="6">
        <v>0</v>
      </c>
      <c r="G251" s="6">
        <v>0</v>
      </c>
      <c r="H251" s="6" t="str">
        <f>IF(OR(F251&lt;=0,G251&lt;=0),"",ROUND(G251+F251*Uso!$B$5,Uso!$B$6))</f>
        <v/>
      </c>
      <c r="I251" s="6" t="str">
        <f t="shared" si="3"/>
        <v/>
      </c>
      <c r="J251" t="str">
        <f>IF(COUNTIF(Cruce!$A$5:$A$14,A251)&gt;0,"SKU de muestra","Regla extrapolada")</f>
        <v>Regla extrapolada</v>
      </c>
    </row>
    <row r="252" spans="1:10" ht="30" customHeight="1">
      <c r="A252" t="s">
        <v>564</v>
      </c>
      <c r="B252" s="5" t="s">
        <v>565</v>
      </c>
      <c r="C252">
        <v>1</v>
      </c>
      <c r="D252">
        <v>1</v>
      </c>
      <c r="E252">
        <v>0</v>
      </c>
      <c r="F252" s="6">
        <v>0</v>
      </c>
      <c r="G252" s="6">
        <v>0</v>
      </c>
      <c r="H252" s="6" t="str">
        <f>IF(OR(F252&lt;=0,G252&lt;=0),"",ROUND(G252+F252*Uso!$B$5,Uso!$B$6))</f>
        <v/>
      </c>
      <c r="I252" s="6" t="str">
        <f t="shared" si="3"/>
        <v/>
      </c>
      <c r="J252" t="str">
        <f>IF(COUNTIF(Cruce!$A$5:$A$14,A252)&gt;0,"SKU de muestra","Regla extrapolada")</f>
        <v>Regla extrapolada</v>
      </c>
    </row>
    <row r="253" spans="1:10" ht="30" customHeight="1">
      <c r="A253" t="s">
        <v>566</v>
      </c>
      <c r="B253" s="5" t="s">
        <v>567</v>
      </c>
      <c r="C253">
        <v>1</v>
      </c>
      <c r="D253">
        <v>1</v>
      </c>
      <c r="E253">
        <v>0</v>
      </c>
      <c r="F253" s="6">
        <v>0</v>
      </c>
      <c r="G253" s="6">
        <v>0</v>
      </c>
      <c r="H253" s="6" t="str">
        <f>IF(OR(F253&lt;=0,G253&lt;=0),"",ROUND(G253+F253*Uso!$B$5,Uso!$B$6))</f>
        <v/>
      </c>
      <c r="I253" s="6" t="str">
        <f t="shared" si="3"/>
        <v/>
      </c>
      <c r="J253" t="str">
        <f>IF(COUNTIF(Cruce!$A$5:$A$14,A253)&gt;0,"SKU de muestra","Regla extrapolada")</f>
        <v>Regla extrapolada</v>
      </c>
    </row>
    <row r="254" spans="1:10" ht="30" customHeight="1">
      <c r="A254" t="s">
        <v>568</v>
      </c>
      <c r="B254" s="5" t="s">
        <v>569</v>
      </c>
      <c r="C254">
        <v>1</v>
      </c>
      <c r="D254">
        <v>1</v>
      </c>
      <c r="E254">
        <v>0</v>
      </c>
      <c r="F254" s="6">
        <v>0</v>
      </c>
      <c r="G254" s="6">
        <v>0</v>
      </c>
      <c r="H254" s="6" t="str">
        <f>IF(OR(F254&lt;=0,G254&lt;=0),"",ROUND(G254+F254*Uso!$B$5,Uso!$B$6))</f>
        <v/>
      </c>
      <c r="I254" s="6" t="str">
        <f t="shared" si="3"/>
        <v/>
      </c>
      <c r="J254" t="str">
        <f>IF(COUNTIF(Cruce!$A$5:$A$14,A254)&gt;0,"SKU de muestra","Regla extrapolada")</f>
        <v>Regla extrapolada</v>
      </c>
    </row>
    <row r="255" spans="1:10" ht="30" customHeight="1">
      <c r="A255" t="s">
        <v>570</v>
      </c>
      <c r="B255" s="5" t="s">
        <v>571</v>
      </c>
      <c r="C255">
        <v>1</v>
      </c>
      <c r="D255">
        <v>1</v>
      </c>
      <c r="E255">
        <v>0</v>
      </c>
      <c r="F255" s="6">
        <v>0</v>
      </c>
      <c r="G255" s="6">
        <v>0</v>
      </c>
      <c r="H255" s="6" t="str">
        <f>IF(OR(F255&lt;=0,G255&lt;=0),"",ROUND(G255+F255*Uso!$B$5,Uso!$B$6))</f>
        <v/>
      </c>
      <c r="I255" s="6" t="str">
        <f t="shared" si="3"/>
        <v/>
      </c>
      <c r="J255" t="str">
        <f>IF(COUNTIF(Cruce!$A$5:$A$14,A255)&gt;0,"SKU de muestra","Regla extrapolada")</f>
        <v>Regla extrapolada</v>
      </c>
    </row>
    <row r="256" spans="1:10" ht="30" customHeight="1">
      <c r="A256" t="s">
        <v>572</v>
      </c>
      <c r="B256" s="5" t="s">
        <v>573</v>
      </c>
      <c r="C256">
        <v>12</v>
      </c>
      <c r="D256">
        <v>84</v>
      </c>
      <c r="E256">
        <v>5</v>
      </c>
      <c r="F256" s="6">
        <v>43721.71</v>
      </c>
      <c r="G256" s="6">
        <v>58223.849000000002</v>
      </c>
      <c r="H256" s="6">
        <f>IF(OR(F256&lt;=0,G256&lt;=0),"",ROUND(G256+F256*Uso!$B$5,Uso!$B$6))</f>
        <v>59535.5</v>
      </c>
      <c r="I256" s="6">
        <f t="shared" si="3"/>
        <v>4961.291666666667</v>
      </c>
      <c r="J256" t="str">
        <f>IF(COUNTIF(Cruce!$A$5:$A$14,A256)&gt;0,"SKU de muestra","Regla extrapolada")</f>
        <v>Regla extrapolada</v>
      </c>
    </row>
    <row r="257" spans="1:10" ht="30" customHeight="1">
      <c r="A257" t="s">
        <v>574</v>
      </c>
      <c r="B257" s="5" t="s">
        <v>575</v>
      </c>
      <c r="C257">
        <v>24</v>
      </c>
      <c r="D257">
        <v>100</v>
      </c>
      <c r="E257">
        <v>5</v>
      </c>
      <c r="F257" s="6">
        <v>58221.89</v>
      </c>
      <c r="G257" s="6">
        <v>77739.236999999994</v>
      </c>
      <c r="H257" s="6">
        <f>IF(OR(F257&lt;=0,G257&lt;=0),"",ROUND(G257+F257*Uso!$B$5,Uso!$B$6))</f>
        <v>79485.894</v>
      </c>
      <c r="I257" s="6">
        <f t="shared" si="3"/>
        <v>3311.9122499999999</v>
      </c>
      <c r="J257" t="str">
        <f>IF(COUNTIF(Cruce!$A$5:$A$14,A257)&gt;0,"SKU de muestra","Regla extrapolada")</f>
        <v>Regla extrapolada</v>
      </c>
    </row>
    <row r="258" spans="1:10" ht="30" customHeight="1">
      <c r="A258" t="s">
        <v>576</v>
      </c>
      <c r="B258" s="5" t="s">
        <v>577</v>
      </c>
      <c r="C258">
        <v>1</v>
      </c>
      <c r="D258">
        <v>18</v>
      </c>
      <c r="E258">
        <v>5</v>
      </c>
      <c r="F258" s="6">
        <v>107509.6</v>
      </c>
      <c r="G258" s="6">
        <v>141909.05600000001</v>
      </c>
      <c r="H258" s="6">
        <f>IF(OR(F258&lt;=0,G258&lt;=0),"",ROUND(G258+F258*Uso!$B$5,Uso!$B$6))</f>
        <v>145134.34400000001</v>
      </c>
      <c r="I258" s="6">
        <f t="shared" si="3"/>
        <v>145134.34400000001</v>
      </c>
      <c r="J258" t="str">
        <f>IF(COUNTIF(Cruce!$A$5:$A$14,A258)&gt;0,"SKU de muestra","Regla extrapolada")</f>
        <v>Regla extrapolada</v>
      </c>
    </row>
    <row r="259" spans="1:10" ht="30" customHeight="1">
      <c r="A259" t="s">
        <v>578</v>
      </c>
      <c r="B259" s="5" t="s">
        <v>579</v>
      </c>
      <c r="C259">
        <v>6</v>
      </c>
      <c r="D259">
        <v>115</v>
      </c>
      <c r="E259">
        <v>5</v>
      </c>
      <c r="F259" s="6">
        <v>11228.15</v>
      </c>
      <c r="G259" s="6">
        <v>13898.781999999999</v>
      </c>
      <c r="H259" s="6">
        <f>IF(OR(F259&lt;=0,G259&lt;=0),"",ROUND(G259+F259*Uso!$B$5,Uso!$B$6))</f>
        <v>14235.627</v>
      </c>
      <c r="I259" s="6">
        <f t="shared" si="3"/>
        <v>2372.6044999999999</v>
      </c>
      <c r="J259" t="str">
        <f>IF(COUNTIF(Cruce!$A$5:$A$14,A259)&gt;0,"SKU de muestra","Regla extrapolada")</f>
        <v>Regla extrapolada</v>
      </c>
    </row>
    <row r="260" spans="1:10" ht="30" customHeight="1">
      <c r="A260" t="s">
        <v>580</v>
      </c>
      <c r="B260" s="5" t="s">
        <v>581</v>
      </c>
      <c r="C260">
        <v>1</v>
      </c>
      <c r="D260">
        <v>1</v>
      </c>
      <c r="E260">
        <v>0</v>
      </c>
      <c r="F260" s="6">
        <v>0</v>
      </c>
      <c r="G260" s="6">
        <v>0</v>
      </c>
      <c r="H260" s="6" t="str">
        <f>IF(OR(F260&lt;=0,G260&lt;=0),"",ROUND(G260+F260*Uso!$B$5,Uso!$B$6))</f>
        <v/>
      </c>
      <c r="I260" s="6" t="str">
        <f t="shared" si="3"/>
        <v/>
      </c>
      <c r="J260" t="str">
        <f>IF(COUNTIF(Cruce!$A$5:$A$14,A260)&gt;0,"SKU de muestra","Regla extrapolada")</f>
        <v>Regla extrapolada</v>
      </c>
    </row>
    <row r="261" spans="1:10" ht="30" customHeight="1">
      <c r="A261" t="s">
        <v>582</v>
      </c>
      <c r="B261" s="5" t="s">
        <v>583</v>
      </c>
      <c r="C261">
        <v>1</v>
      </c>
      <c r="D261">
        <v>1</v>
      </c>
      <c r="E261">
        <v>0</v>
      </c>
      <c r="F261" s="6">
        <v>0</v>
      </c>
      <c r="G261" s="6">
        <v>0</v>
      </c>
      <c r="H261" s="6" t="str">
        <f>IF(OR(F261&lt;=0,G261&lt;=0),"",ROUND(G261+F261*Uso!$B$5,Uso!$B$6))</f>
        <v/>
      </c>
      <c r="I261" s="6" t="str">
        <f t="shared" ref="I261:I324" si="4">IF(OR(H261="",C261&lt;=0),"",H261/C261)</f>
        <v/>
      </c>
      <c r="J261" t="str">
        <f>IF(COUNTIF(Cruce!$A$5:$A$14,A261)&gt;0,"SKU de muestra","Regla extrapolada")</f>
        <v>Regla extrapolada</v>
      </c>
    </row>
    <row r="262" spans="1:10" ht="30" customHeight="1">
      <c r="A262" t="s">
        <v>584</v>
      </c>
      <c r="B262" s="5" t="s">
        <v>585</v>
      </c>
      <c r="C262">
        <v>1</v>
      </c>
      <c r="D262">
        <v>1</v>
      </c>
      <c r="E262">
        <v>0</v>
      </c>
      <c r="F262" s="6">
        <v>0</v>
      </c>
      <c r="G262" s="6">
        <v>0</v>
      </c>
      <c r="H262" s="6" t="str">
        <f>IF(OR(F262&lt;=0,G262&lt;=0),"",ROUND(G262+F262*Uso!$B$5,Uso!$B$6))</f>
        <v/>
      </c>
      <c r="I262" s="6" t="str">
        <f t="shared" si="4"/>
        <v/>
      </c>
      <c r="J262" t="str">
        <f>IF(COUNTIF(Cruce!$A$5:$A$14,A262)&gt;0,"SKU de muestra","Regla extrapolada")</f>
        <v>Regla extrapolada</v>
      </c>
    </row>
    <row r="263" spans="1:10" ht="30" customHeight="1">
      <c r="A263" t="s">
        <v>586</v>
      </c>
      <c r="B263" s="5" t="s">
        <v>587</v>
      </c>
      <c r="C263">
        <v>1</v>
      </c>
      <c r="D263">
        <v>1</v>
      </c>
      <c r="E263">
        <v>0</v>
      </c>
      <c r="F263" s="6">
        <v>0</v>
      </c>
      <c r="G263" s="6">
        <v>0</v>
      </c>
      <c r="H263" s="6" t="str">
        <f>IF(OR(F263&lt;=0,G263&lt;=0),"",ROUND(G263+F263*Uso!$B$5,Uso!$B$6))</f>
        <v/>
      </c>
      <c r="I263" s="6" t="str">
        <f t="shared" si="4"/>
        <v/>
      </c>
      <c r="J263" t="str">
        <f>IF(COUNTIF(Cruce!$A$5:$A$14,A263)&gt;0,"SKU de muestra","Regla extrapolada")</f>
        <v>Regla extrapolada</v>
      </c>
    </row>
    <row r="264" spans="1:10" ht="30" customHeight="1">
      <c r="A264" t="s">
        <v>588</v>
      </c>
      <c r="B264" s="5" t="s">
        <v>589</v>
      </c>
      <c r="C264">
        <v>1</v>
      </c>
      <c r="D264">
        <v>1</v>
      </c>
      <c r="E264">
        <v>0</v>
      </c>
      <c r="F264" s="6">
        <v>0</v>
      </c>
      <c r="G264" s="6">
        <v>0</v>
      </c>
      <c r="H264" s="6" t="str">
        <f>IF(OR(F264&lt;=0,G264&lt;=0),"",ROUND(G264+F264*Uso!$B$5,Uso!$B$6))</f>
        <v/>
      </c>
      <c r="I264" s="6" t="str">
        <f t="shared" si="4"/>
        <v/>
      </c>
      <c r="J264" t="str">
        <f>IF(COUNTIF(Cruce!$A$5:$A$14,A264)&gt;0,"SKU de muestra","Regla extrapolada")</f>
        <v>Regla extrapolada</v>
      </c>
    </row>
    <row r="265" spans="1:10" ht="30" customHeight="1">
      <c r="A265" t="s">
        <v>590</v>
      </c>
      <c r="B265" s="5" t="s">
        <v>591</v>
      </c>
      <c r="C265">
        <v>1</v>
      </c>
      <c r="D265">
        <v>1</v>
      </c>
      <c r="E265">
        <v>0</v>
      </c>
      <c r="F265" s="6">
        <v>0</v>
      </c>
      <c r="G265" s="6">
        <v>0</v>
      </c>
      <c r="H265" s="6" t="str">
        <f>IF(OR(F265&lt;=0,G265&lt;=0),"",ROUND(G265+F265*Uso!$B$5,Uso!$B$6))</f>
        <v/>
      </c>
      <c r="I265" s="6" t="str">
        <f t="shared" si="4"/>
        <v/>
      </c>
      <c r="J265" t="str">
        <f>IF(COUNTIF(Cruce!$A$5:$A$14,A265)&gt;0,"SKU de muestra","Regla extrapolada")</f>
        <v>Regla extrapolada</v>
      </c>
    </row>
    <row r="266" spans="1:10" ht="30" customHeight="1">
      <c r="A266" t="s">
        <v>592</v>
      </c>
      <c r="B266" s="5" t="s">
        <v>593</v>
      </c>
      <c r="C266">
        <v>1</v>
      </c>
      <c r="D266">
        <v>1</v>
      </c>
      <c r="E266">
        <v>0</v>
      </c>
      <c r="F266" s="6">
        <v>0</v>
      </c>
      <c r="G266" s="6">
        <v>0</v>
      </c>
      <c r="H266" s="6" t="str">
        <f>IF(OR(F266&lt;=0,G266&lt;=0),"",ROUND(G266+F266*Uso!$B$5,Uso!$B$6))</f>
        <v/>
      </c>
      <c r="I266" s="6" t="str">
        <f t="shared" si="4"/>
        <v/>
      </c>
      <c r="J266" t="str">
        <f>IF(COUNTIF(Cruce!$A$5:$A$14,A266)&gt;0,"SKU de muestra","Regla extrapolada")</f>
        <v>Regla extrapolada</v>
      </c>
    </row>
    <row r="267" spans="1:10" ht="30" customHeight="1">
      <c r="A267" t="s">
        <v>594</v>
      </c>
      <c r="B267" s="5" t="s">
        <v>595</v>
      </c>
      <c r="C267">
        <v>1</v>
      </c>
      <c r="D267">
        <v>1</v>
      </c>
      <c r="E267">
        <v>0</v>
      </c>
      <c r="F267" s="6">
        <v>0</v>
      </c>
      <c r="G267" s="6">
        <v>0</v>
      </c>
      <c r="H267" s="6" t="str">
        <f>IF(OR(F267&lt;=0,G267&lt;=0),"",ROUND(G267+F267*Uso!$B$5,Uso!$B$6))</f>
        <v/>
      </c>
      <c r="I267" s="6" t="str">
        <f t="shared" si="4"/>
        <v/>
      </c>
      <c r="J267" t="str">
        <f>IF(COUNTIF(Cruce!$A$5:$A$14,A267)&gt;0,"SKU de muestra","Regla extrapolada")</f>
        <v>Regla extrapolada</v>
      </c>
    </row>
    <row r="268" spans="1:10" ht="30" customHeight="1">
      <c r="A268" t="s">
        <v>63</v>
      </c>
      <c r="B268" s="5" t="s">
        <v>596</v>
      </c>
      <c r="C268">
        <v>6</v>
      </c>
      <c r="D268">
        <v>222</v>
      </c>
      <c r="E268">
        <v>5</v>
      </c>
      <c r="F268" s="6">
        <v>7887.72</v>
      </c>
      <c r="G268" s="6">
        <v>9780.3109999999997</v>
      </c>
      <c r="H268" s="6">
        <f>IF(OR(F268&lt;=0,G268&lt;=0),"",ROUND(G268+F268*Uso!$B$5,Uso!$B$6))</f>
        <v>10016.942999999999</v>
      </c>
      <c r="I268" s="6">
        <f t="shared" si="4"/>
        <v>1669.4904999999999</v>
      </c>
      <c r="J268" t="str">
        <f>IF(COUNTIF(Cruce!$A$5:$A$14,A268)&gt;0,"SKU de muestra","Regla extrapolada")</f>
        <v>SKU de muestra</v>
      </c>
    </row>
    <row r="269" spans="1:10" ht="30" customHeight="1">
      <c r="A269" t="s">
        <v>597</v>
      </c>
      <c r="B269" s="5" t="s">
        <v>598</v>
      </c>
      <c r="C269">
        <v>1</v>
      </c>
      <c r="D269">
        <v>1</v>
      </c>
      <c r="E269">
        <v>0</v>
      </c>
      <c r="F269" s="6">
        <v>0</v>
      </c>
      <c r="G269" s="6">
        <v>0</v>
      </c>
      <c r="H269" s="6" t="str">
        <f>IF(OR(F269&lt;=0,G269&lt;=0),"",ROUND(G269+F269*Uso!$B$5,Uso!$B$6))</f>
        <v/>
      </c>
      <c r="I269" s="6" t="str">
        <f t="shared" si="4"/>
        <v/>
      </c>
      <c r="J269" t="str">
        <f>IF(COUNTIF(Cruce!$A$5:$A$14,A269)&gt;0,"SKU de muestra","Regla extrapolada")</f>
        <v>Regla extrapolada</v>
      </c>
    </row>
    <row r="270" spans="1:10" ht="30" customHeight="1">
      <c r="A270" t="s">
        <v>599</v>
      </c>
      <c r="B270" s="5" t="s">
        <v>600</v>
      </c>
      <c r="C270">
        <v>1</v>
      </c>
      <c r="D270">
        <v>1</v>
      </c>
      <c r="E270">
        <v>0</v>
      </c>
      <c r="F270" s="6">
        <v>0</v>
      </c>
      <c r="G270" s="6">
        <v>0</v>
      </c>
      <c r="H270" s="6" t="str">
        <f>IF(OR(F270&lt;=0,G270&lt;=0),"",ROUND(G270+F270*Uso!$B$5,Uso!$B$6))</f>
        <v/>
      </c>
      <c r="I270" s="6" t="str">
        <f t="shared" si="4"/>
        <v/>
      </c>
      <c r="J270" t="str">
        <f>IF(COUNTIF(Cruce!$A$5:$A$14,A270)&gt;0,"SKU de muestra","Regla extrapolada")</f>
        <v>Regla extrapolada</v>
      </c>
    </row>
    <row r="271" spans="1:10" ht="30" customHeight="1">
      <c r="A271" t="s">
        <v>601</v>
      </c>
      <c r="B271" s="5" t="s">
        <v>602</v>
      </c>
      <c r="C271">
        <v>24</v>
      </c>
      <c r="D271">
        <v>117</v>
      </c>
      <c r="E271">
        <v>5</v>
      </c>
      <c r="F271" s="6">
        <v>71642.97</v>
      </c>
      <c r="G271" s="6">
        <v>86687.994000000006</v>
      </c>
      <c r="H271" s="6">
        <f>IF(OR(F271&lt;=0,G271&lt;=0),"",ROUND(G271+F271*Uso!$B$5,Uso!$B$6))</f>
        <v>88837.282999999996</v>
      </c>
      <c r="I271" s="6">
        <f t="shared" si="4"/>
        <v>3701.5534583333333</v>
      </c>
      <c r="J271" t="str">
        <f>IF(COUNTIF(Cruce!$A$5:$A$14,A271)&gt;0,"SKU de muestra","Regla extrapolada")</f>
        <v>Regla extrapolada</v>
      </c>
    </row>
    <row r="272" spans="1:10" ht="30" customHeight="1">
      <c r="A272" t="s">
        <v>603</v>
      </c>
      <c r="B272" s="5" t="s">
        <v>604</v>
      </c>
      <c r="C272">
        <v>6</v>
      </c>
      <c r="D272">
        <v>192</v>
      </c>
      <c r="E272">
        <v>5</v>
      </c>
      <c r="F272" s="6">
        <v>10409.41</v>
      </c>
      <c r="G272" s="6">
        <v>12914.636</v>
      </c>
      <c r="H272" s="6">
        <f>IF(OR(F272&lt;=0,G272&lt;=0),"",ROUND(G272+F272*Uso!$B$5,Uso!$B$6))</f>
        <v>13226.918</v>
      </c>
      <c r="I272" s="6">
        <f t="shared" si="4"/>
        <v>2204.4863333333333</v>
      </c>
      <c r="J272" t="str">
        <f>IF(COUNTIF(Cruce!$A$5:$A$14,A272)&gt;0,"SKU de muestra","Regla extrapolada")</f>
        <v>Regla extrapolada</v>
      </c>
    </row>
    <row r="273" spans="1:10" ht="30" customHeight="1">
      <c r="A273" t="s">
        <v>605</v>
      </c>
      <c r="B273" s="5" t="s">
        <v>606</v>
      </c>
      <c r="C273">
        <v>6</v>
      </c>
      <c r="D273">
        <v>110</v>
      </c>
      <c r="E273">
        <v>5</v>
      </c>
      <c r="F273" s="6">
        <v>28280.880000000001</v>
      </c>
      <c r="G273" s="6">
        <v>34219.864999999998</v>
      </c>
      <c r="H273" s="6">
        <f>IF(OR(F273&lt;=0,G273&lt;=0),"",ROUND(G273+F273*Uso!$B$5,Uso!$B$6))</f>
        <v>35068.290999999997</v>
      </c>
      <c r="I273" s="6">
        <f t="shared" si="4"/>
        <v>5844.7151666666659</v>
      </c>
      <c r="J273" t="str">
        <f>IF(COUNTIF(Cruce!$A$5:$A$14,A273)&gt;0,"SKU de muestra","Regla extrapolada")</f>
        <v>Regla extrapolada</v>
      </c>
    </row>
    <row r="274" spans="1:10" ht="30" customHeight="1">
      <c r="A274" t="s">
        <v>607</v>
      </c>
      <c r="B274" s="5" t="s">
        <v>608</v>
      </c>
      <c r="C274">
        <v>6</v>
      </c>
      <c r="D274">
        <v>150</v>
      </c>
      <c r="E274">
        <v>5</v>
      </c>
      <c r="F274" s="6">
        <v>20634.29</v>
      </c>
      <c r="G274" s="6">
        <v>24967.491000000002</v>
      </c>
      <c r="H274" s="6">
        <f>IF(OR(F274&lt;=0,G274&lt;=0),"",ROUND(G274+F274*Uso!$B$5,Uso!$B$6))</f>
        <v>25586.52</v>
      </c>
      <c r="I274" s="6">
        <f t="shared" si="4"/>
        <v>4264.42</v>
      </c>
      <c r="J274" t="str">
        <f>IF(COUNTIF(Cruce!$A$5:$A$14,A274)&gt;0,"SKU de muestra","Regla extrapolada")</f>
        <v>Regla extrapolada</v>
      </c>
    </row>
    <row r="275" spans="1:10" ht="30" customHeight="1">
      <c r="A275" t="s">
        <v>609</v>
      </c>
      <c r="B275" s="5" t="s">
        <v>610</v>
      </c>
      <c r="C275">
        <v>6</v>
      </c>
      <c r="D275">
        <v>70</v>
      </c>
      <c r="E275">
        <v>5</v>
      </c>
      <c r="F275" s="6">
        <v>195247.93</v>
      </c>
      <c r="G275" s="6">
        <v>236249.995</v>
      </c>
      <c r="H275" s="6">
        <f>IF(OR(F275&lt;=0,G275&lt;=0),"",ROUND(G275+F275*Uso!$B$5,Uso!$B$6))</f>
        <v>242107.43299999999</v>
      </c>
      <c r="I275" s="6">
        <f t="shared" si="4"/>
        <v>40351.238833333329</v>
      </c>
      <c r="J275" t="str">
        <f>IF(COUNTIF(Cruce!$A$5:$A$14,A275)&gt;0,"SKU de muestra","Regla extrapolada")</f>
        <v>Regla extrapolada</v>
      </c>
    </row>
    <row r="276" spans="1:10" ht="30" customHeight="1">
      <c r="A276" t="s">
        <v>611</v>
      </c>
      <c r="B276" s="5" t="s">
        <v>612</v>
      </c>
      <c r="C276">
        <v>6</v>
      </c>
      <c r="D276">
        <v>70</v>
      </c>
      <c r="E276">
        <v>5</v>
      </c>
      <c r="F276" s="6">
        <v>195247.93</v>
      </c>
      <c r="G276" s="6">
        <v>236249.995</v>
      </c>
      <c r="H276" s="6">
        <f>IF(OR(F276&lt;=0,G276&lt;=0),"",ROUND(G276+F276*Uso!$B$5,Uso!$B$6))</f>
        <v>242107.43299999999</v>
      </c>
      <c r="I276" s="6">
        <f t="shared" si="4"/>
        <v>40351.238833333329</v>
      </c>
      <c r="J276" t="str">
        <f>IF(COUNTIF(Cruce!$A$5:$A$14,A276)&gt;0,"SKU de muestra","Regla extrapolada")</f>
        <v>Regla extrapolada</v>
      </c>
    </row>
    <row r="277" spans="1:10" ht="30" customHeight="1">
      <c r="A277" t="s">
        <v>613</v>
      </c>
      <c r="B277" s="5" t="s">
        <v>614</v>
      </c>
      <c r="C277">
        <v>1</v>
      </c>
      <c r="D277">
        <v>0</v>
      </c>
      <c r="E277">
        <v>0</v>
      </c>
      <c r="F277" s="6">
        <v>0</v>
      </c>
      <c r="G277" s="6">
        <v>0</v>
      </c>
      <c r="H277" s="6" t="str">
        <f>IF(OR(F277&lt;=0,G277&lt;=0),"",ROUND(G277+F277*Uso!$B$5,Uso!$B$6))</f>
        <v/>
      </c>
      <c r="I277" s="6" t="str">
        <f t="shared" si="4"/>
        <v/>
      </c>
      <c r="J277" t="str">
        <f>IF(COUNTIF(Cruce!$A$5:$A$14,A277)&gt;0,"SKU de muestra","Regla extrapolada")</f>
        <v>Regla extrapolada</v>
      </c>
    </row>
    <row r="278" spans="1:10" ht="30" customHeight="1">
      <c r="A278" t="s">
        <v>615</v>
      </c>
      <c r="B278" s="5" t="s">
        <v>616</v>
      </c>
      <c r="C278">
        <v>8</v>
      </c>
      <c r="D278">
        <v>60</v>
      </c>
      <c r="E278">
        <v>5</v>
      </c>
      <c r="F278" s="6">
        <v>14738.66</v>
      </c>
      <c r="G278" s="6">
        <v>18606.278999999999</v>
      </c>
      <c r="H278" s="6">
        <f>IF(OR(F278&lt;=0,G278&lt;=0),"",ROUND(G278+F278*Uso!$B$5,Uso!$B$6))</f>
        <v>19048.438999999998</v>
      </c>
      <c r="I278" s="6">
        <f t="shared" si="4"/>
        <v>2381.0548749999998</v>
      </c>
      <c r="J278" t="str">
        <f>IF(COUNTIF(Cruce!$A$5:$A$14,A278)&gt;0,"SKU de muestra","Regla extrapolada")</f>
        <v>Regla extrapolada</v>
      </c>
    </row>
    <row r="279" spans="1:10" ht="30" customHeight="1">
      <c r="A279" t="s">
        <v>617</v>
      </c>
      <c r="B279" s="5" t="s">
        <v>618</v>
      </c>
      <c r="C279">
        <v>1</v>
      </c>
      <c r="D279">
        <v>220</v>
      </c>
      <c r="E279">
        <v>5</v>
      </c>
      <c r="F279" s="6">
        <v>0.01</v>
      </c>
      <c r="G279" s="6">
        <v>1.2E-2</v>
      </c>
      <c r="H279" s="6">
        <f>IF(OR(F279&lt;=0,G279&lt;=0),"",ROUND(G279+F279*Uso!$B$5,Uso!$B$6))</f>
        <v>1.2E-2</v>
      </c>
      <c r="I279" s="6">
        <f t="shared" si="4"/>
        <v>1.2E-2</v>
      </c>
      <c r="J279" t="str">
        <f>IF(COUNTIF(Cruce!$A$5:$A$14,A279)&gt;0,"SKU de muestra","Regla extrapolada")</f>
        <v>Regla extrapolada</v>
      </c>
    </row>
    <row r="280" spans="1:10" ht="30" customHeight="1">
      <c r="A280" t="s">
        <v>619</v>
      </c>
      <c r="B280" s="5" t="s">
        <v>620</v>
      </c>
      <c r="C280">
        <v>1</v>
      </c>
      <c r="D280">
        <v>1</v>
      </c>
      <c r="E280">
        <v>5</v>
      </c>
      <c r="F280" s="6">
        <v>0</v>
      </c>
      <c r="G280" s="6">
        <v>0</v>
      </c>
      <c r="H280" s="6" t="str">
        <f>IF(OR(F280&lt;=0,G280&lt;=0),"",ROUND(G280+F280*Uso!$B$5,Uso!$B$6))</f>
        <v/>
      </c>
      <c r="I280" s="6" t="str">
        <f t="shared" si="4"/>
        <v/>
      </c>
      <c r="J280" t="str">
        <f>IF(COUNTIF(Cruce!$A$5:$A$14,A280)&gt;0,"SKU de muestra","Regla extrapolada")</f>
        <v>Regla extrapolada</v>
      </c>
    </row>
    <row r="281" spans="1:10" ht="30" customHeight="1">
      <c r="A281" t="s">
        <v>621</v>
      </c>
      <c r="B281" s="5" t="s">
        <v>622</v>
      </c>
      <c r="C281">
        <v>1</v>
      </c>
      <c r="D281">
        <v>1</v>
      </c>
      <c r="E281">
        <v>5</v>
      </c>
      <c r="F281" s="6">
        <v>18882.64</v>
      </c>
      <c r="G281" s="6">
        <v>22847.993999999999</v>
      </c>
      <c r="H281" s="6">
        <f>IF(OR(F281&lt;=0,G281&lt;=0),"",ROUND(G281+F281*Uso!$B$5,Uso!$B$6))</f>
        <v>23414.473000000002</v>
      </c>
      <c r="I281" s="6">
        <f t="shared" si="4"/>
        <v>23414.473000000002</v>
      </c>
      <c r="J281" t="str">
        <f>IF(COUNTIF(Cruce!$A$5:$A$14,A281)&gt;0,"SKU de muestra","Regla extrapolada")</f>
        <v>Regla extrapolada</v>
      </c>
    </row>
    <row r="282" spans="1:10" ht="30" customHeight="1">
      <c r="A282" t="s">
        <v>623</v>
      </c>
      <c r="B282" s="5" t="s">
        <v>624</v>
      </c>
      <c r="C282">
        <v>1</v>
      </c>
      <c r="D282">
        <v>1</v>
      </c>
      <c r="E282">
        <v>0</v>
      </c>
      <c r="F282" s="6">
        <v>0</v>
      </c>
      <c r="G282" s="6">
        <v>0</v>
      </c>
      <c r="H282" s="6" t="str">
        <f>IF(OR(F282&lt;=0,G282&lt;=0),"",ROUND(G282+F282*Uso!$B$5,Uso!$B$6))</f>
        <v/>
      </c>
      <c r="I282" s="6" t="str">
        <f t="shared" si="4"/>
        <v/>
      </c>
      <c r="J282" t="str">
        <f>IF(COUNTIF(Cruce!$A$5:$A$14,A282)&gt;0,"SKU de muestra","Regla extrapolada")</f>
        <v>Regla extrapolada</v>
      </c>
    </row>
    <row r="283" spans="1:10" ht="30" customHeight="1">
      <c r="A283" t="s">
        <v>625</v>
      </c>
      <c r="B283" s="5" t="s">
        <v>626</v>
      </c>
      <c r="C283">
        <v>1</v>
      </c>
      <c r="D283">
        <v>1</v>
      </c>
      <c r="E283">
        <v>0</v>
      </c>
      <c r="F283" s="6">
        <v>0</v>
      </c>
      <c r="G283" s="6">
        <v>0</v>
      </c>
      <c r="H283" s="6" t="str">
        <f>IF(OR(F283&lt;=0,G283&lt;=0),"",ROUND(G283+F283*Uso!$B$5,Uso!$B$6))</f>
        <v/>
      </c>
      <c r="I283" s="6" t="str">
        <f t="shared" si="4"/>
        <v/>
      </c>
      <c r="J283" t="str">
        <f>IF(COUNTIF(Cruce!$A$5:$A$14,A283)&gt;0,"SKU de muestra","Regla extrapolada")</f>
        <v>Regla extrapolada</v>
      </c>
    </row>
    <row r="284" spans="1:10" ht="30" customHeight="1">
      <c r="A284" t="s">
        <v>627</v>
      </c>
      <c r="B284" s="5" t="s">
        <v>628</v>
      </c>
      <c r="C284">
        <v>6</v>
      </c>
      <c r="D284">
        <v>120</v>
      </c>
      <c r="E284">
        <v>5</v>
      </c>
      <c r="F284" s="6">
        <v>16632.189999999999</v>
      </c>
      <c r="G284" s="6">
        <v>21190.02</v>
      </c>
      <c r="H284" s="6">
        <f>IF(OR(F284&lt;=0,G284&lt;=0),"",ROUND(G284+F284*Uso!$B$5,Uso!$B$6))</f>
        <v>21688.986000000001</v>
      </c>
      <c r="I284" s="6">
        <f t="shared" si="4"/>
        <v>3614.8310000000001</v>
      </c>
      <c r="J284" t="str">
        <f>IF(COUNTIF(Cruce!$A$5:$A$14,A284)&gt;0,"SKU de muestra","Regla extrapolada")</f>
        <v>Regla extrapolada</v>
      </c>
    </row>
    <row r="285" spans="1:10" ht="30" customHeight="1">
      <c r="A285" t="s">
        <v>629</v>
      </c>
      <c r="B285" s="5" t="s">
        <v>630</v>
      </c>
      <c r="C285">
        <v>6</v>
      </c>
      <c r="D285">
        <v>336</v>
      </c>
      <c r="E285">
        <v>5</v>
      </c>
      <c r="F285" s="6">
        <v>7743.62</v>
      </c>
      <c r="G285" s="6">
        <v>10003.32</v>
      </c>
      <c r="H285" s="6">
        <f>IF(OR(F285&lt;=0,G285&lt;=0),"",ROUND(G285+F285*Uso!$B$5,Uso!$B$6))</f>
        <v>10235.629000000001</v>
      </c>
      <c r="I285" s="6">
        <f t="shared" si="4"/>
        <v>1705.9381666666668</v>
      </c>
      <c r="J285" t="str">
        <f>IF(COUNTIF(Cruce!$A$5:$A$14,A285)&gt;0,"SKU de muestra","Regla extrapolada")</f>
        <v>Regla extrapolada</v>
      </c>
    </row>
    <row r="286" spans="1:10" ht="30" customHeight="1">
      <c r="A286" t="s">
        <v>631</v>
      </c>
      <c r="B286" s="5" t="s">
        <v>632</v>
      </c>
      <c r="C286">
        <v>8</v>
      </c>
      <c r="D286">
        <v>60</v>
      </c>
      <c r="E286">
        <v>5</v>
      </c>
      <c r="F286" s="6">
        <v>20716.09</v>
      </c>
      <c r="G286" s="6">
        <v>26277.019</v>
      </c>
      <c r="H286" s="6">
        <f>IF(OR(F286&lt;=0,G286&lt;=0),"",ROUND(G286+F286*Uso!$B$5,Uso!$B$6))</f>
        <v>26898.502</v>
      </c>
      <c r="I286" s="6">
        <f t="shared" si="4"/>
        <v>3362.3127500000001</v>
      </c>
      <c r="J286" t="str">
        <f>IF(COUNTIF(Cruce!$A$5:$A$14,A286)&gt;0,"SKU de muestra","Regla extrapolada")</f>
        <v>Regla extrapolada</v>
      </c>
    </row>
    <row r="287" spans="1:10" ht="30" customHeight="1">
      <c r="A287" t="s">
        <v>633</v>
      </c>
      <c r="B287" s="5" t="s">
        <v>634</v>
      </c>
      <c r="C287">
        <v>6</v>
      </c>
      <c r="D287">
        <v>140</v>
      </c>
      <c r="E287">
        <v>5</v>
      </c>
      <c r="F287" s="6">
        <v>19474.8</v>
      </c>
      <c r="G287" s="6">
        <v>25869.788</v>
      </c>
      <c r="H287" s="6">
        <f>IF(OR(F287&lt;=0,G287&lt;=0),"",ROUND(G287+F287*Uso!$B$5,Uso!$B$6))</f>
        <v>26454.031999999999</v>
      </c>
      <c r="I287" s="6">
        <f t="shared" si="4"/>
        <v>4409.0053333333335</v>
      </c>
      <c r="J287" t="str">
        <f>IF(COUNTIF(Cruce!$A$5:$A$14,A287)&gt;0,"SKU de muestra","Regla extrapolada")</f>
        <v>Regla extrapolada</v>
      </c>
    </row>
    <row r="288" spans="1:10" ht="30" customHeight="1">
      <c r="A288" t="s">
        <v>635</v>
      </c>
      <c r="B288" s="5" t="s">
        <v>636</v>
      </c>
      <c r="C288">
        <v>1</v>
      </c>
      <c r="D288">
        <v>1</v>
      </c>
      <c r="E288">
        <v>0</v>
      </c>
      <c r="F288" s="6">
        <v>0</v>
      </c>
      <c r="G288" s="6">
        <v>0</v>
      </c>
      <c r="H288" s="6" t="str">
        <f>IF(OR(F288&lt;=0,G288&lt;=0),"",ROUND(G288+F288*Uso!$B$5,Uso!$B$6))</f>
        <v/>
      </c>
      <c r="I288" s="6" t="str">
        <f t="shared" si="4"/>
        <v/>
      </c>
      <c r="J288" t="str">
        <f>IF(COUNTIF(Cruce!$A$5:$A$14,A288)&gt;0,"SKU de muestra","Regla extrapolada")</f>
        <v>Regla extrapolada</v>
      </c>
    </row>
    <row r="289" spans="1:10" ht="30" customHeight="1">
      <c r="A289" t="s">
        <v>637</v>
      </c>
      <c r="B289" s="5" t="s">
        <v>638</v>
      </c>
      <c r="C289">
        <v>24</v>
      </c>
      <c r="D289">
        <v>84</v>
      </c>
      <c r="E289">
        <v>5</v>
      </c>
      <c r="F289" s="6">
        <v>54464.83</v>
      </c>
      <c r="G289" s="6">
        <v>72633.134000000005</v>
      </c>
      <c r="H289" s="6">
        <f>IF(OR(F289&lt;=0,G289&lt;=0),"",ROUND(G289+F289*Uso!$B$5,Uso!$B$6))</f>
        <v>74267.078999999998</v>
      </c>
      <c r="I289" s="6">
        <f t="shared" si="4"/>
        <v>3094.4616249999999</v>
      </c>
      <c r="J289" t="str">
        <f>IF(COUNTIF(Cruce!$A$5:$A$14,A289)&gt;0,"SKU de muestra","Regla extrapolada")</f>
        <v>Regla extrapolada</v>
      </c>
    </row>
    <row r="290" spans="1:10" ht="30" customHeight="1">
      <c r="A290" t="s">
        <v>639</v>
      </c>
      <c r="B290" s="5" t="s">
        <v>640</v>
      </c>
      <c r="C290">
        <v>1</v>
      </c>
      <c r="D290">
        <v>600</v>
      </c>
      <c r="E290">
        <v>5</v>
      </c>
      <c r="F290" s="6">
        <v>11499.44</v>
      </c>
      <c r="G290" s="6">
        <v>13914.322</v>
      </c>
      <c r="H290" s="6">
        <f>IF(OR(F290&lt;=0,G290&lt;=0),"",ROUND(G290+F290*Uso!$B$5,Uso!$B$6))</f>
        <v>14259.305</v>
      </c>
      <c r="I290" s="6">
        <f t="shared" si="4"/>
        <v>14259.305</v>
      </c>
      <c r="J290" t="str">
        <f>IF(COUNTIF(Cruce!$A$5:$A$14,A290)&gt;0,"SKU de muestra","Regla extrapolada")</f>
        <v>Regla extrapolada</v>
      </c>
    </row>
    <row r="291" spans="1:10" ht="30" customHeight="1">
      <c r="A291" t="s">
        <v>641</v>
      </c>
      <c r="B291" s="5" t="s">
        <v>642</v>
      </c>
      <c r="C291">
        <v>1</v>
      </c>
      <c r="D291">
        <v>50</v>
      </c>
      <c r="E291">
        <v>0</v>
      </c>
      <c r="F291" s="6">
        <v>0</v>
      </c>
      <c r="G291" s="6">
        <v>0</v>
      </c>
      <c r="H291" s="6" t="str">
        <f>IF(OR(F291&lt;=0,G291&lt;=0),"",ROUND(G291+F291*Uso!$B$5,Uso!$B$6))</f>
        <v/>
      </c>
      <c r="I291" s="6" t="str">
        <f t="shared" si="4"/>
        <v/>
      </c>
      <c r="J291" t="str">
        <f>IF(COUNTIF(Cruce!$A$5:$A$14,A291)&gt;0,"SKU de muestra","Regla extrapolada")</f>
        <v>Regla extrapolada</v>
      </c>
    </row>
    <row r="292" spans="1:10" ht="30" customHeight="1">
      <c r="A292" t="s">
        <v>643</v>
      </c>
      <c r="B292" s="5" t="s">
        <v>644</v>
      </c>
      <c r="C292">
        <v>1</v>
      </c>
      <c r="D292">
        <v>50</v>
      </c>
      <c r="E292">
        <v>0</v>
      </c>
      <c r="F292" s="6">
        <v>0</v>
      </c>
      <c r="G292" s="6">
        <v>0</v>
      </c>
      <c r="H292" s="6" t="str">
        <f>IF(OR(F292&lt;=0,G292&lt;=0),"",ROUND(G292+F292*Uso!$B$5,Uso!$B$6))</f>
        <v/>
      </c>
      <c r="I292" s="6" t="str">
        <f t="shared" si="4"/>
        <v/>
      </c>
      <c r="J292" t="str">
        <f>IF(COUNTIF(Cruce!$A$5:$A$14,A292)&gt;0,"SKU de muestra","Regla extrapolada")</f>
        <v>Regla extrapolada</v>
      </c>
    </row>
    <row r="293" spans="1:10" ht="30" customHeight="1">
      <c r="A293" t="s">
        <v>645</v>
      </c>
      <c r="B293" s="5" t="s">
        <v>646</v>
      </c>
      <c r="C293">
        <v>1</v>
      </c>
      <c r="D293">
        <v>50</v>
      </c>
      <c r="E293">
        <v>0</v>
      </c>
      <c r="F293" s="6">
        <v>0</v>
      </c>
      <c r="G293" s="6">
        <v>0</v>
      </c>
      <c r="H293" s="6" t="str">
        <f>IF(OR(F293&lt;=0,G293&lt;=0),"",ROUND(G293+F293*Uso!$B$5,Uso!$B$6))</f>
        <v/>
      </c>
      <c r="I293" s="6" t="str">
        <f t="shared" si="4"/>
        <v/>
      </c>
      <c r="J293" t="str">
        <f>IF(COUNTIF(Cruce!$A$5:$A$14,A293)&gt;0,"SKU de muestra","Regla extrapolada")</f>
        <v>Regla extrapolada</v>
      </c>
    </row>
    <row r="294" spans="1:10" ht="30" customHeight="1">
      <c r="A294" t="s">
        <v>647</v>
      </c>
      <c r="B294" s="5" t="s">
        <v>648</v>
      </c>
      <c r="C294">
        <v>1</v>
      </c>
      <c r="D294">
        <v>1</v>
      </c>
      <c r="E294">
        <v>5</v>
      </c>
      <c r="F294" s="6">
        <v>8834.3799999999992</v>
      </c>
      <c r="G294" s="6">
        <v>10689.6</v>
      </c>
      <c r="H294" s="6">
        <f>IF(OR(F294&lt;=0,G294&lt;=0),"",ROUND(G294+F294*Uso!$B$5,Uso!$B$6))</f>
        <v>10954.630999999999</v>
      </c>
      <c r="I294" s="6">
        <f t="shared" si="4"/>
        <v>10954.630999999999</v>
      </c>
      <c r="J294" t="str">
        <f>IF(COUNTIF(Cruce!$A$5:$A$14,A294)&gt;0,"SKU de muestra","Regla extrapolada")</f>
        <v>Regla extrapolada</v>
      </c>
    </row>
    <row r="295" spans="1:10" ht="30" customHeight="1">
      <c r="A295" t="s">
        <v>649</v>
      </c>
      <c r="B295" s="5" t="s">
        <v>650</v>
      </c>
      <c r="C295">
        <v>1</v>
      </c>
      <c r="D295">
        <v>1</v>
      </c>
      <c r="E295">
        <v>0</v>
      </c>
      <c r="F295" s="6">
        <v>0</v>
      </c>
      <c r="G295" s="6">
        <v>0</v>
      </c>
      <c r="H295" s="6" t="str">
        <f>IF(OR(F295&lt;=0,G295&lt;=0),"",ROUND(G295+F295*Uso!$B$5,Uso!$B$6))</f>
        <v/>
      </c>
      <c r="I295" s="6" t="str">
        <f t="shared" si="4"/>
        <v/>
      </c>
      <c r="J295" t="str">
        <f>IF(COUNTIF(Cruce!$A$5:$A$14,A295)&gt;0,"SKU de muestra","Regla extrapolada")</f>
        <v>Regla extrapolada</v>
      </c>
    </row>
    <row r="296" spans="1:10" ht="30" customHeight="1">
      <c r="A296" t="s">
        <v>651</v>
      </c>
      <c r="B296" s="5" t="s">
        <v>652</v>
      </c>
      <c r="C296">
        <v>1</v>
      </c>
      <c r="D296">
        <v>1</v>
      </c>
      <c r="E296">
        <v>0</v>
      </c>
      <c r="F296" s="6">
        <v>0</v>
      </c>
      <c r="G296" s="6">
        <v>0</v>
      </c>
      <c r="H296" s="6" t="str">
        <f>IF(OR(F296&lt;=0,G296&lt;=0),"",ROUND(G296+F296*Uso!$B$5,Uso!$B$6))</f>
        <v/>
      </c>
      <c r="I296" s="6" t="str">
        <f t="shared" si="4"/>
        <v/>
      </c>
      <c r="J296" t="str">
        <f>IF(COUNTIF(Cruce!$A$5:$A$14,A296)&gt;0,"SKU de muestra","Regla extrapolada")</f>
        <v>Regla extrapolada</v>
      </c>
    </row>
    <row r="297" spans="1:10" ht="30" customHeight="1">
      <c r="A297" t="s">
        <v>653</v>
      </c>
      <c r="B297" s="5" t="s">
        <v>654</v>
      </c>
      <c r="C297">
        <v>24</v>
      </c>
      <c r="D297">
        <v>100</v>
      </c>
      <c r="E297">
        <v>5</v>
      </c>
      <c r="F297" s="6">
        <v>52770.17</v>
      </c>
      <c r="G297" s="6">
        <v>70427.076000000001</v>
      </c>
      <c r="H297" s="6">
        <f>IF(OR(F297&lt;=0,G297&lt;=0),"",ROUND(G297+F297*Uso!$B$5,Uso!$B$6))</f>
        <v>72010.180999999997</v>
      </c>
      <c r="I297" s="6">
        <f t="shared" si="4"/>
        <v>3000.4242083333334</v>
      </c>
      <c r="J297" t="str">
        <f>IF(COUNTIF(Cruce!$A$5:$A$14,A297)&gt;0,"SKU de muestra","Regla extrapolada")</f>
        <v>Regla extrapolada</v>
      </c>
    </row>
    <row r="298" spans="1:10" ht="30" customHeight="1">
      <c r="A298" t="s">
        <v>655</v>
      </c>
      <c r="B298" s="5" t="s">
        <v>656</v>
      </c>
      <c r="C298">
        <v>12</v>
      </c>
      <c r="D298">
        <v>50</v>
      </c>
      <c r="E298">
        <v>5</v>
      </c>
      <c r="F298" s="6">
        <v>43884.32</v>
      </c>
      <c r="G298" s="6">
        <v>58019.877</v>
      </c>
      <c r="H298" s="6">
        <f>IF(OR(F298&lt;=0,G298&lt;=0),"",ROUND(G298+F298*Uso!$B$5,Uso!$B$6))</f>
        <v>59336.406999999999</v>
      </c>
      <c r="I298" s="6">
        <f t="shared" si="4"/>
        <v>4944.7005833333333</v>
      </c>
      <c r="J298" t="str">
        <f>IF(COUNTIF(Cruce!$A$5:$A$14,A298)&gt;0,"SKU de muestra","Regla extrapolada")</f>
        <v>Regla extrapolada</v>
      </c>
    </row>
    <row r="299" spans="1:10" ht="30" customHeight="1">
      <c r="A299" t="s">
        <v>657</v>
      </c>
      <c r="B299" s="5" t="s">
        <v>658</v>
      </c>
      <c r="C299">
        <v>6</v>
      </c>
      <c r="D299">
        <v>140</v>
      </c>
      <c r="E299">
        <v>5</v>
      </c>
      <c r="F299" s="6">
        <v>19474.8</v>
      </c>
      <c r="G299" s="6">
        <v>25869.788</v>
      </c>
      <c r="H299" s="6">
        <f>IF(OR(F299&lt;=0,G299&lt;=0),"",ROUND(G299+F299*Uso!$B$5,Uso!$B$6))</f>
        <v>26454.031999999999</v>
      </c>
      <c r="I299" s="6">
        <f t="shared" si="4"/>
        <v>4409.0053333333335</v>
      </c>
      <c r="J299" t="str">
        <f>IF(COUNTIF(Cruce!$A$5:$A$14,A299)&gt;0,"SKU de muestra","Regla extrapolada")</f>
        <v>Regla extrapolada</v>
      </c>
    </row>
    <row r="300" spans="1:10" ht="30" customHeight="1">
      <c r="A300" t="s">
        <v>659</v>
      </c>
      <c r="B300" s="5" t="s">
        <v>660</v>
      </c>
      <c r="C300">
        <v>1</v>
      </c>
      <c r="D300">
        <v>1</v>
      </c>
      <c r="E300">
        <v>0</v>
      </c>
      <c r="F300" s="6">
        <v>0</v>
      </c>
      <c r="G300" s="6">
        <v>0</v>
      </c>
      <c r="H300" s="6" t="str">
        <f>IF(OR(F300&lt;=0,G300&lt;=0),"",ROUND(G300+F300*Uso!$B$5,Uso!$B$6))</f>
        <v/>
      </c>
      <c r="I300" s="6" t="str">
        <f t="shared" si="4"/>
        <v/>
      </c>
      <c r="J300" t="str">
        <f>IF(COUNTIF(Cruce!$A$5:$A$14,A300)&gt;0,"SKU de muestra","Regla extrapolada")</f>
        <v>Regla extrapolada</v>
      </c>
    </row>
    <row r="301" spans="1:10" ht="30" customHeight="1">
      <c r="A301" t="s">
        <v>661</v>
      </c>
      <c r="B301" s="5" t="s">
        <v>662</v>
      </c>
      <c r="C301">
        <v>1</v>
      </c>
      <c r="D301">
        <v>18</v>
      </c>
      <c r="E301">
        <v>5</v>
      </c>
      <c r="F301" s="6">
        <v>95910.39</v>
      </c>
      <c r="G301" s="6">
        <v>126387.942</v>
      </c>
      <c r="H301" s="6">
        <f>IF(OR(F301&lt;=0,G301&lt;=0),"",ROUND(G301+F301*Uso!$B$5,Uso!$B$6))</f>
        <v>129265.254</v>
      </c>
      <c r="I301" s="6">
        <f t="shared" si="4"/>
        <v>129265.254</v>
      </c>
      <c r="J301" t="str">
        <f>IF(COUNTIF(Cruce!$A$5:$A$14,A301)&gt;0,"SKU de muestra","Regla extrapolada")</f>
        <v>Regla extrapolada</v>
      </c>
    </row>
    <row r="302" spans="1:10" ht="30" customHeight="1">
      <c r="A302" t="s">
        <v>663</v>
      </c>
      <c r="B302" s="5" t="s">
        <v>664</v>
      </c>
      <c r="C302">
        <v>24</v>
      </c>
      <c r="D302">
        <v>84</v>
      </c>
      <c r="E302">
        <v>5</v>
      </c>
      <c r="F302" s="6">
        <v>50007.33</v>
      </c>
      <c r="G302" s="6">
        <v>66654.479000000007</v>
      </c>
      <c r="H302" s="6">
        <f>IF(OR(F302&lt;=0,G302&lt;=0),"",ROUND(G302+F302*Uso!$B$5,Uso!$B$6))</f>
        <v>68154.698999999993</v>
      </c>
      <c r="I302" s="6">
        <f t="shared" si="4"/>
        <v>2839.7791249999996</v>
      </c>
      <c r="J302" t="str">
        <f>IF(COUNTIF(Cruce!$A$5:$A$14,A302)&gt;0,"SKU de muestra","Regla extrapolada")</f>
        <v>Regla extrapolada</v>
      </c>
    </row>
    <row r="303" spans="1:10" ht="30" customHeight="1">
      <c r="A303" t="s">
        <v>59</v>
      </c>
      <c r="B303" s="5" t="s">
        <v>665</v>
      </c>
      <c r="C303">
        <v>24</v>
      </c>
      <c r="D303">
        <v>100</v>
      </c>
      <c r="E303">
        <v>5</v>
      </c>
      <c r="F303" s="6">
        <v>52770.17</v>
      </c>
      <c r="G303" s="6">
        <v>70427.076000000001</v>
      </c>
      <c r="H303" s="6">
        <f>IF(OR(F303&lt;=0,G303&lt;=0),"",ROUND(G303+F303*Uso!$B$5,Uso!$B$6))</f>
        <v>72010.180999999997</v>
      </c>
      <c r="I303" s="6">
        <f t="shared" si="4"/>
        <v>3000.4242083333334</v>
      </c>
      <c r="J303" t="str">
        <f>IF(COUNTIF(Cruce!$A$5:$A$14,A303)&gt;0,"SKU de muestra","Regla extrapolada")</f>
        <v>SKU de muestra</v>
      </c>
    </row>
    <row r="304" spans="1:10" ht="30" customHeight="1">
      <c r="A304" t="s">
        <v>666</v>
      </c>
      <c r="B304" s="5" t="s">
        <v>667</v>
      </c>
      <c r="C304">
        <v>1</v>
      </c>
      <c r="D304">
        <v>1</v>
      </c>
      <c r="E304">
        <v>5</v>
      </c>
      <c r="F304" s="6">
        <v>22915.99</v>
      </c>
      <c r="G304" s="6">
        <v>30598.137999999999</v>
      </c>
      <c r="H304" s="6">
        <f>IF(OR(F304&lt;=0,G304&lt;=0),"",ROUND(G304+F304*Uso!$B$5,Uso!$B$6))</f>
        <v>31285.617999999999</v>
      </c>
      <c r="I304" s="6">
        <f t="shared" si="4"/>
        <v>31285.617999999999</v>
      </c>
      <c r="J304" t="str">
        <f>IF(COUNTIF(Cruce!$A$5:$A$14,A304)&gt;0,"SKU de muestra","Regla extrapolada")</f>
        <v>Regla extrapolada</v>
      </c>
    </row>
    <row r="305" spans="1:10" ht="30" customHeight="1">
      <c r="A305" t="s">
        <v>668</v>
      </c>
      <c r="B305" s="5" t="s">
        <v>669</v>
      </c>
      <c r="C305">
        <v>1</v>
      </c>
      <c r="D305">
        <v>1</v>
      </c>
      <c r="E305">
        <v>5</v>
      </c>
      <c r="F305" s="6">
        <v>8535.1200000000008</v>
      </c>
      <c r="G305" s="6">
        <v>10327.495000000001</v>
      </c>
      <c r="H305" s="6">
        <f>IF(OR(F305&lt;=0,G305&lt;=0),"",ROUND(G305+F305*Uso!$B$5,Uso!$B$6))</f>
        <v>10583.549000000001</v>
      </c>
      <c r="I305" s="6">
        <f t="shared" si="4"/>
        <v>10583.549000000001</v>
      </c>
      <c r="J305" t="str">
        <f>IF(COUNTIF(Cruce!$A$5:$A$14,A305)&gt;0,"SKU de muestra","Regla extrapolada")</f>
        <v>Regla extrapolada</v>
      </c>
    </row>
    <row r="306" spans="1:10" ht="30" customHeight="1">
      <c r="A306" t="s">
        <v>670</v>
      </c>
      <c r="B306" s="5" t="s">
        <v>671</v>
      </c>
      <c r="C306">
        <v>6</v>
      </c>
      <c r="D306">
        <v>140</v>
      </c>
      <c r="E306">
        <v>5</v>
      </c>
      <c r="F306" s="6">
        <v>21430.63</v>
      </c>
      <c r="G306" s="6">
        <v>28493.062000000002</v>
      </c>
      <c r="H306" s="6">
        <f>IF(OR(F306&lt;=0,G306&lt;=0),"",ROUND(G306+F306*Uso!$B$5,Uso!$B$6))</f>
        <v>29135.981</v>
      </c>
      <c r="I306" s="6">
        <f t="shared" si="4"/>
        <v>4855.9968333333336</v>
      </c>
      <c r="J306" t="str">
        <f>IF(COUNTIF(Cruce!$A$5:$A$14,A306)&gt;0,"SKU de muestra","Regla extrapolada")</f>
        <v>Regla extrapolada</v>
      </c>
    </row>
    <row r="307" spans="1:10" ht="30" customHeight="1">
      <c r="A307" t="s">
        <v>672</v>
      </c>
      <c r="B307" s="5" t="s">
        <v>673</v>
      </c>
      <c r="C307">
        <v>1</v>
      </c>
      <c r="D307">
        <v>1</v>
      </c>
      <c r="E307">
        <v>0</v>
      </c>
      <c r="F307" s="6">
        <v>0</v>
      </c>
      <c r="G307" s="6">
        <v>0</v>
      </c>
      <c r="H307" s="6" t="str">
        <f>IF(OR(F307&lt;=0,G307&lt;=0),"",ROUND(G307+F307*Uso!$B$5,Uso!$B$6))</f>
        <v/>
      </c>
      <c r="I307" s="6" t="str">
        <f t="shared" si="4"/>
        <v/>
      </c>
      <c r="J307" t="str">
        <f>IF(COUNTIF(Cruce!$A$5:$A$14,A307)&gt;0,"SKU de muestra","Regla extrapolada")</f>
        <v>Regla extrapolada</v>
      </c>
    </row>
    <row r="308" spans="1:10" ht="30" customHeight="1">
      <c r="A308" t="s">
        <v>674</v>
      </c>
      <c r="B308" s="5" t="s">
        <v>675</v>
      </c>
      <c r="C308">
        <v>6</v>
      </c>
      <c r="D308">
        <v>336</v>
      </c>
      <c r="E308">
        <v>5</v>
      </c>
      <c r="F308" s="6">
        <v>7839.01</v>
      </c>
      <c r="G308" s="6">
        <v>10004.742</v>
      </c>
      <c r="H308" s="6">
        <f>IF(OR(F308&lt;=0,G308&lt;=0),"",ROUND(G308+F308*Uso!$B$5,Uso!$B$6))</f>
        <v>10239.912</v>
      </c>
      <c r="I308" s="6">
        <f t="shared" si="4"/>
        <v>1706.652</v>
      </c>
      <c r="J308" t="str">
        <f>IF(COUNTIF(Cruce!$A$5:$A$14,A308)&gt;0,"SKU de muestra","Regla extrapolada")</f>
        <v>Regla extrapolada</v>
      </c>
    </row>
    <row r="309" spans="1:10" ht="30" customHeight="1">
      <c r="A309" t="s">
        <v>676</v>
      </c>
      <c r="B309" s="5" t="s">
        <v>677</v>
      </c>
      <c r="C309">
        <v>1</v>
      </c>
      <c r="D309">
        <v>1</v>
      </c>
      <c r="E309">
        <v>0</v>
      </c>
      <c r="F309" s="6">
        <v>0</v>
      </c>
      <c r="G309" s="6">
        <v>0</v>
      </c>
      <c r="H309" s="6" t="str">
        <f>IF(OR(F309&lt;=0,G309&lt;=0),"",ROUND(G309+F309*Uso!$B$5,Uso!$B$6))</f>
        <v/>
      </c>
      <c r="I309" s="6" t="str">
        <f t="shared" si="4"/>
        <v/>
      </c>
      <c r="J309" t="str">
        <f>IF(COUNTIF(Cruce!$A$5:$A$14,A309)&gt;0,"SKU de muestra","Regla extrapolada")</f>
        <v>Regla extrapolada</v>
      </c>
    </row>
    <row r="310" spans="1:10" ht="30" customHeight="1">
      <c r="A310" t="s">
        <v>678</v>
      </c>
      <c r="B310" s="5" t="s">
        <v>679</v>
      </c>
      <c r="C310">
        <v>1</v>
      </c>
      <c r="D310">
        <v>50</v>
      </c>
      <c r="E310">
        <v>5</v>
      </c>
      <c r="F310" s="6">
        <v>11446.65</v>
      </c>
      <c r="G310" s="6">
        <v>15283.916999999999</v>
      </c>
      <c r="H310" s="6">
        <f>IF(OR(F310&lt;=0,G310&lt;=0),"",ROUND(G310+F310*Uso!$B$5,Uso!$B$6))</f>
        <v>15627.316999999999</v>
      </c>
      <c r="I310" s="6">
        <f t="shared" si="4"/>
        <v>15627.316999999999</v>
      </c>
      <c r="J310" t="str">
        <f>IF(COUNTIF(Cruce!$A$5:$A$14,A310)&gt;0,"SKU de muestra","Regla extrapolada")</f>
        <v>Regla extrapolada</v>
      </c>
    </row>
    <row r="311" spans="1:10" ht="30" customHeight="1">
      <c r="A311" t="s">
        <v>680</v>
      </c>
      <c r="B311" s="5" t="s">
        <v>681</v>
      </c>
      <c r="C311">
        <v>1</v>
      </c>
      <c r="D311">
        <v>50</v>
      </c>
      <c r="E311">
        <v>5</v>
      </c>
      <c r="F311" s="6">
        <v>22915.99</v>
      </c>
      <c r="G311" s="6">
        <v>30598.137999999999</v>
      </c>
      <c r="H311" s="6">
        <f>IF(OR(F311&lt;=0,G311&lt;=0),"",ROUND(G311+F311*Uso!$B$5,Uso!$B$6))</f>
        <v>31285.617999999999</v>
      </c>
      <c r="I311" s="6">
        <f t="shared" si="4"/>
        <v>31285.617999999999</v>
      </c>
      <c r="J311" t="str">
        <f>IF(COUNTIF(Cruce!$A$5:$A$14,A311)&gt;0,"SKU de muestra","Regla extrapolada")</f>
        <v>Regla extrapolada</v>
      </c>
    </row>
    <row r="312" spans="1:10" ht="30" customHeight="1">
      <c r="A312" t="s">
        <v>682</v>
      </c>
      <c r="B312" s="5" t="s">
        <v>683</v>
      </c>
      <c r="C312">
        <v>6</v>
      </c>
      <c r="D312">
        <v>336</v>
      </c>
      <c r="E312">
        <v>5</v>
      </c>
      <c r="F312" s="6">
        <v>7839.01</v>
      </c>
      <c r="G312" s="6">
        <v>10004.752</v>
      </c>
      <c r="H312" s="6">
        <f>IF(OR(F312&lt;=0,G312&lt;=0),"",ROUND(G312+F312*Uso!$B$5,Uso!$B$6))</f>
        <v>10239.922</v>
      </c>
      <c r="I312" s="6">
        <f t="shared" si="4"/>
        <v>1706.6536666666668</v>
      </c>
      <c r="J312" t="str">
        <f>IF(COUNTIF(Cruce!$A$5:$A$14,A312)&gt;0,"SKU de muestra","Regla extrapolada")</f>
        <v>Regla extrapolada</v>
      </c>
    </row>
    <row r="313" spans="1:10" ht="30" customHeight="1">
      <c r="A313" t="s">
        <v>684</v>
      </c>
      <c r="B313" s="5" t="s">
        <v>685</v>
      </c>
      <c r="C313">
        <v>1</v>
      </c>
      <c r="D313">
        <v>1</v>
      </c>
      <c r="E313">
        <v>0</v>
      </c>
      <c r="F313" s="6">
        <v>0</v>
      </c>
      <c r="G313" s="6">
        <v>0</v>
      </c>
      <c r="H313" s="6" t="str">
        <f>IF(OR(F313&lt;=0,G313&lt;=0),"",ROUND(G313+F313*Uso!$B$5,Uso!$B$6))</f>
        <v/>
      </c>
      <c r="I313" s="6" t="str">
        <f t="shared" si="4"/>
        <v/>
      </c>
      <c r="J313" t="str">
        <f>IF(COUNTIF(Cruce!$A$5:$A$14,A313)&gt;0,"SKU de muestra","Regla extrapolada")</f>
        <v>Regla extrapolada</v>
      </c>
    </row>
    <row r="314" spans="1:10" ht="30" customHeight="1">
      <c r="A314" t="s">
        <v>686</v>
      </c>
      <c r="B314" s="5" t="s">
        <v>687</v>
      </c>
      <c r="C314">
        <v>6</v>
      </c>
      <c r="D314">
        <v>125</v>
      </c>
      <c r="E314">
        <v>5</v>
      </c>
      <c r="F314" s="6">
        <v>63547.11</v>
      </c>
      <c r="G314" s="6">
        <v>76892.002999999997</v>
      </c>
      <c r="H314" s="6">
        <f>IF(OR(F314&lt;=0,G314&lt;=0),"",ROUND(G314+F314*Uso!$B$5,Uso!$B$6))</f>
        <v>78798.415999999997</v>
      </c>
      <c r="I314" s="6">
        <f t="shared" si="4"/>
        <v>13133.069333333333</v>
      </c>
      <c r="J314" t="str">
        <f>IF(COUNTIF(Cruce!$A$5:$A$14,A314)&gt;0,"SKU de muestra","Regla extrapolada")</f>
        <v>Regla extrapolada</v>
      </c>
    </row>
    <row r="315" spans="1:10" ht="30" customHeight="1">
      <c r="A315" t="s">
        <v>688</v>
      </c>
      <c r="B315" s="5" t="s">
        <v>689</v>
      </c>
      <c r="C315">
        <v>6</v>
      </c>
      <c r="D315">
        <v>125</v>
      </c>
      <c r="E315">
        <v>5</v>
      </c>
      <c r="F315" s="6">
        <v>63547.11</v>
      </c>
      <c r="G315" s="6">
        <v>76892.002999999997</v>
      </c>
      <c r="H315" s="6">
        <f>IF(OR(F315&lt;=0,G315&lt;=0),"",ROUND(G315+F315*Uso!$B$5,Uso!$B$6))</f>
        <v>78798.415999999997</v>
      </c>
      <c r="I315" s="6">
        <f t="shared" si="4"/>
        <v>13133.069333333333</v>
      </c>
      <c r="J315" t="str">
        <f>IF(COUNTIF(Cruce!$A$5:$A$14,A315)&gt;0,"SKU de muestra","Regla extrapolada")</f>
        <v>Regla extrapolada</v>
      </c>
    </row>
    <row r="316" spans="1:10" ht="30" customHeight="1">
      <c r="A316" t="s">
        <v>690</v>
      </c>
      <c r="B316" s="5" t="s">
        <v>691</v>
      </c>
      <c r="C316">
        <v>6</v>
      </c>
      <c r="D316">
        <v>110</v>
      </c>
      <c r="E316">
        <v>5</v>
      </c>
      <c r="F316" s="6">
        <v>35439.699999999997</v>
      </c>
      <c r="G316" s="6">
        <v>42882.036999999997</v>
      </c>
      <c r="H316" s="6">
        <f>IF(OR(F316&lt;=0,G316&lt;=0),"",ROUND(G316+F316*Uso!$B$5,Uso!$B$6))</f>
        <v>43945.228000000003</v>
      </c>
      <c r="I316" s="6">
        <f t="shared" si="4"/>
        <v>7324.2046666666674</v>
      </c>
      <c r="J316" t="str">
        <f>IF(COUNTIF(Cruce!$A$5:$A$14,A316)&gt;0,"SKU de muestra","Regla extrapolada")</f>
        <v>Regla extrapolada</v>
      </c>
    </row>
    <row r="317" spans="1:10" ht="30" customHeight="1">
      <c r="A317" t="s">
        <v>692</v>
      </c>
      <c r="B317" s="5" t="s">
        <v>693</v>
      </c>
      <c r="C317">
        <v>6</v>
      </c>
      <c r="D317">
        <v>125</v>
      </c>
      <c r="E317">
        <v>5</v>
      </c>
      <c r="F317" s="6">
        <v>27712.639999999999</v>
      </c>
      <c r="G317" s="6">
        <v>33532.294000000002</v>
      </c>
      <c r="H317" s="6">
        <f>IF(OR(F317&lt;=0,G317&lt;=0),"",ROUND(G317+F317*Uso!$B$5,Uso!$B$6))</f>
        <v>34363.673000000003</v>
      </c>
      <c r="I317" s="6">
        <f t="shared" si="4"/>
        <v>5727.2788333333338</v>
      </c>
      <c r="J317" t="str">
        <f>IF(COUNTIF(Cruce!$A$5:$A$14,A317)&gt;0,"SKU de muestra","Regla extrapolada")</f>
        <v>Regla extrapolada</v>
      </c>
    </row>
    <row r="318" spans="1:10" ht="30" customHeight="1">
      <c r="A318" t="s">
        <v>694</v>
      </c>
      <c r="B318" s="5" t="s">
        <v>695</v>
      </c>
      <c r="C318">
        <v>6</v>
      </c>
      <c r="D318">
        <v>110</v>
      </c>
      <c r="E318">
        <v>5</v>
      </c>
      <c r="F318" s="6">
        <v>21060.44</v>
      </c>
      <c r="G318" s="6">
        <v>25483.132000000001</v>
      </c>
      <c r="H318" s="6">
        <f>IF(OR(F318&lt;=0,G318&lt;=0),"",ROUND(G318+F318*Uso!$B$5,Uso!$B$6))</f>
        <v>26114.945</v>
      </c>
      <c r="I318" s="6">
        <f t="shared" si="4"/>
        <v>4352.4908333333333</v>
      </c>
      <c r="J318" t="str">
        <f>IF(COUNTIF(Cruce!$A$5:$A$14,A318)&gt;0,"SKU de muestra","Regla extrapolada")</f>
        <v>Regla extrapolada</v>
      </c>
    </row>
    <row r="319" spans="1:10" ht="30" customHeight="1">
      <c r="A319" t="s">
        <v>696</v>
      </c>
      <c r="B319" s="5" t="s">
        <v>697</v>
      </c>
      <c r="C319">
        <v>6</v>
      </c>
      <c r="D319">
        <v>110</v>
      </c>
      <c r="E319">
        <v>5</v>
      </c>
      <c r="F319" s="6">
        <v>21060.44</v>
      </c>
      <c r="G319" s="6">
        <v>25483.132000000001</v>
      </c>
      <c r="H319" s="6">
        <f>IF(OR(F319&lt;=0,G319&lt;=0),"",ROUND(G319+F319*Uso!$B$5,Uso!$B$6))</f>
        <v>26114.945</v>
      </c>
      <c r="I319" s="6">
        <f t="shared" si="4"/>
        <v>4352.4908333333333</v>
      </c>
      <c r="J319" t="str">
        <f>IF(COUNTIF(Cruce!$A$5:$A$14,A319)&gt;0,"SKU de muestra","Regla extrapolada")</f>
        <v>Regla extrapolada</v>
      </c>
    </row>
    <row r="320" spans="1:10" ht="30" customHeight="1">
      <c r="A320" t="s">
        <v>698</v>
      </c>
      <c r="B320" s="5" t="s">
        <v>699</v>
      </c>
      <c r="C320">
        <v>6</v>
      </c>
      <c r="D320">
        <v>110</v>
      </c>
      <c r="E320">
        <v>5</v>
      </c>
      <c r="F320" s="6">
        <v>21060.44</v>
      </c>
      <c r="G320" s="6">
        <v>25483.132000000001</v>
      </c>
      <c r="H320" s="6">
        <f>IF(OR(F320&lt;=0,G320&lt;=0),"",ROUND(G320+F320*Uso!$B$5,Uso!$B$6))</f>
        <v>26114.945</v>
      </c>
      <c r="I320" s="6">
        <f t="shared" si="4"/>
        <v>4352.4908333333333</v>
      </c>
      <c r="J320" t="str">
        <f>IF(COUNTIF(Cruce!$A$5:$A$14,A320)&gt;0,"SKU de muestra","Regla extrapolada")</f>
        <v>Regla extrapolada</v>
      </c>
    </row>
    <row r="321" spans="1:10" ht="30" customHeight="1">
      <c r="A321" t="s">
        <v>700</v>
      </c>
      <c r="B321" s="5" t="s">
        <v>701</v>
      </c>
      <c r="C321">
        <v>6</v>
      </c>
      <c r="D321">
        <v>110</v>
      </c>
      <c r="E321">
        <v>5</v>
      </c>
      <c r="F321" s="6">
        <v>21060.44</v>
      </c>
      <c r="G321" s="6">
        <v>25483.132000000001</v>
      </c>
      <c r="H321" s="6">
        <f>IF(OR(F321&lt;=0,G321&lt;=0),"",ROUND(G321+F321*Uso!$B$5,Uso!$B$6))</f>
        <v>26114.945</v>
      </c>
      <c r="I321" s="6">
        <f t="shared" si="4"/>
        <v>4352.4908333333333</v>
      </c>
      <c r="J321" t="str">
        <f>IF(COUNTIF(Cruce!$A$5:$A$14,A321)&gt;0,"SKU de muestra","Regla extrapolada")</f>
        <v>Regla extrapolada</v>
      </c>
    </row>
    <row r="322" spans="1:10" ht="30" customHeight="1">
      <c r="A322" t="s">
        <v>702</v>
      </c>
      <c r="B322" s="5" t="s">
        <v>703</v>
      </c>
      <c r="C322">
        <v>1</v>
      </c>
      <c r="D322">
        <v>1</v>
      </c>
      <c r="E322">
        <v>0</v>
      </c>
      <c r="F322" s="6">
        <v>0</v>
      </c>
      <c r="G322" s="6">
        <v>0</v>
      </c>
      <c r="H322" s="6" t="str">
        <f>IF(OR(F322&lt;=0,G322&lt;=0),"",ROUND(G322+F322*Uso!$B$5,Uso!$B$6))</f>
        <v/>
      </c>
      <c r="I322" s="6" t="str">
        <f t="shared" si="4"/>
        <v/>
      </c>
      <c r="J322" t="str">
        <f>IF(COUNTIF(Cruce!$A$5:$A$14,A322)&gt;0,"SKU de muestra","Regla extrapolada")</f>
        <v>Regla extrapolada</v>
      </c>
    </row>
    <row r="323" spans="1:10" ht="30" customHeight="1">
      <c r="A323" t="s">
        <v>704</v>
      </c>
      <c r="B323" s="5" t="s">
        <v>705</v>
      </c>
      <c r="C323">
        <v>1</v>
      </c>
      <c r="D323">
        <v>1</v>
      </c>
      <c r="E323">
        <v>0</v>
      </c>
      <c r="F323" s="6">
        <v>0</v>
      </c>
      <c r="G323" s="6">
        <v>0</v>
      </c>
      <c r="H323" s="6" t="str">
        <f>IF(OR(F323&lt;=0,G323&lt;=0),"",ROUND(G323+F323*Uso!$B$5,Uso!$B$6))</f>
        <v/>
      </c>
      <c r="I323" s="6" t="str">
        <f t="shared" si="4"/>
        <v/>
      </c>
      <c r="J323" t="str">
        <f>IF(COUNTIF(Cruce!$A$5:$A$14,A323)&gt;0,"SKU de muestra","Regla extrapolada")</f>
        <v>Regla extrapolada</v>
      </c>
    </row>
    <row r="324" spans="1:10" ht="30" customHeight="1">
      <c r="A324" t="s">
        <v>706</v>
      </c>
      <c r="B324" s="5" t="s">
        <v>707</v>
      </c>
      <c r="C324">
        <v>1</v>
      </c>
      <c r="D324">
        <v>1</v>
      </c>
      <c r="E324">
        <v>0</v>
      </c>
      <c r="F324" s="6">
        <v>0</v>
      </c>
      <c r="G324" s="6">
        <v>0</v>
      </c>
      <c r="H324" s="6" t="str">
        <f>IF(OR(F324&lt;=0,G324&lt;=0),"",ROUND(G324+F324*Uso!$B$5,Uso!$B$6))</f>
        <v/>
      </c>
      <c r="I324" s="6" t="str">
        <f t="shared" si="4"/>
        <v/>
      </c>
      <c r="J324" t="str">
        <f>IF(COUNTIF(Cruce!$A$5:$A$14,A324)&gt;0,"SKU de muestra","Regla extrapolada")</f>
        <v>Regla extrapolada</v>
      </c>
    </row>
    <row r="325" spans="1:10" ht="30" customHeight="1">
      <c r="A325" t="s">
        <v>708</v>
      </c>
      <c r="B325" s="5" t="s">
        <v>709</v>
      </c>
      <c r="C325">
        <v>1</v>
      </c>
      <c r="D325">
        <v>1</v>
      </c>
      <c r="E325">
        <v>0</v>
      </c>
      <c r="F325" s="6">
        <v>0</v>
      </c>
      <c r="G325" s="6">
        <v>0</v>
      </c>
      <c r="H325" s="6" t="str">
        <f>IF(OR(F325&lt;=0,G325&lt;=0),"",ROUND(G325+F325*Uso!$B$5,Uso!$B$6))</f>
        <v/>
      </c>
      <c r="I325" s="6" t="str">
        <f t="shared" ref="I325:I388" si="5">IF(OR(H325="",C325&lt;=0),"",H325/C325)</f>
        <v/>
      </c>
      <c r="J325" t="str">
        <f>IF(COUNTIF(Cruce!$A$5:$A$14,A325)&gt;0,"SKU de muestra","Regla extrapolada")</f>
        <v>Regla extrapolada</v>
      </c>
    </row>
    <row r="326" spans="1:10" ht="30" customHeight="1">
      <c r="A326" t="s">
        <v>710</v>
      </c>
      <c r="B326" s="5" t="s">
        <v>711</v>
      </c>
      <c r="C326">
        <v>1</v>
      </c>
      <c r="D326">
        <v>1</v>
      </c>
      <c r="E326">
        <v>5</v>
      </c>
      <c r="F326" s="6">
        <v>22915.99</v>
      </c>
      <c r="G326" s="6">
        <v>30598.137999999999</v>
      </c>
      <c r="H326" s="6">
        <f>IF(OR(F326&lt;=0,G326&lt;=0),"",ROUND(G326+F326*Uso!$B$5,Uso!$B$6))</f>
        <v>31285.617999999999</v>
      </c>
      <c r="I326" s="6">
        <f t="shared" si="5"/>
        <v>31285.617999999999</v>
      </c>
      <c r="J326" t="str">
        <f>IF(COUNTIF(Cruce!$A$5:$A$14,A326)&gt;0,"SKU de muestra","Regla extrapolada")</f>
        <v>Regla extrapolada</v>
      </c>
    </row>
    <row r="327" spans="1:10" ht="30" customHeight="1">
      <c r="A327" t="s">
        <v>712</v>
      </c>
      <c r="B327" s="5" t="s">
        <v>713</v>
      </c>
      <c r="C327">
        <v>12</v>
      </c>
      <c r="D327">
        <v>50</v>
      </c>
      <c r="E327">
        <v>5</v>
      </c>
      <c r="F327" s="6">
        <v>11446.65</v>
      </c>
      <c r="G327" s="6">
        <v>15283.916999999999</v>
      </c>
      <c r="H327" s="6">
        <f>IF(OR(F327&lt;=0,G327&lt;=0),"",ROUND(G327+F327*Uso!$B$5,Uso!$B$6))</f>
        <v>15627.316999999999</v>
      </c>
      <c r="I327" s="6">
        <f t="shared" si="5"/>
        <v>1302.2764166666666</v>
      </c>
      <c r="J327" t="str">
        <f>IF(COUNTIF(Cruce!$A$5:$A$14,A327)&gt;0,"SKU de muestra","Regla extrapolada")</f>
        <v>Regla extrapolada</v>
      </c>
    </row>
    <row r="328" spans="1:10" ht="30" customHeight="1">
      <c r="A328" t="s">
        <v>714</v>
      </c>
      <c r="B328" s="5" t="s">
        <v>715</v>
      </c>
      <c r="C328">
        <v>24</v>
      </c>
      <c r="D328">
        <v>165</v>
      </c>
      <c r="E328">
        <v>5</v>
      </c>
      <c r="F328" s="6">
        <v>53107.46</v>
      </c>
      <c r="G328" s="6">
        <v>64260.027000000002</v>
      </c>
      <c r="H328" s="6">
        <f>IF(OR(F328&lt;=0,G328&lt;=0),"",ROUND(G328+F328*Uso!$B$5,Uso!$B$6))</f>
        <v>65853.251000000004</v>
      </c>
      <c r="I328" s="6">
        <f t="shared" si="5"/>
        <v>2743.8854583333336</v>
      </c>
      <c r="J328" t="str">
        <f>IF(COUNTIF(Cruce!$A$5:$A$14,A328)&gt;0,"SKU de muestra","Regla extrapolada")</f>
        <v>Regla extrapolada</v>
      </c>
    </row>
    <row r="329" spans="1:10" ht="30" customHeight="1">
      <c r="A329" t="s">
        <v>716</v>
      </c>
      <c r="B329" s="5" t="s">
        <v>717</v>
      </c>
      <c r="C329">
        <v>1</v>
      </c>
      <c r="D329">
        <v>1</v>
      </c>
      <c r="E329">
        <v>0</v>
      </c>
      <c r="F329" s="6">
        <v>0</v>
      </c>
      <c r="G329" s="6">
        <v>0</v>
      </c>
      <c r="H329" s="6" t="str">
        <f>IF(OR(F329&lt;=0,G329&lt;=0),"",ROUND(G329+F329*Uso!$B$5,Uso!$B$6))</f>
        <v/>
      </c>
      <c r="I329" s="6" t="str">
        <f t="shared" si="5"/>
        <v/>
      </c>
      <c r="J329" t="str">
        <f>IF(COUNTIF(Cruce!$A$5:$A$14,A329)&gt;0,"SKU de muestra","Regla extrapolada")</f>
        <v>Regla extrapolada</v>
      </c>
    </row>
    <row r="330" spans="1:10" ht="30" customHeight="1">
      <c r="A330" t="s">
        <v>718</v>
      </c>
      <c r="B330" s="5" t="s">
        <v>719</v>
      </c>
      <c r="C330">
        <v>1</v>
      </c>
      <c r="D330">
        <v>1</v>
      </c>
      <c r="E330">
        <v>0</v>
      </c>
      <c r="F330" s="6">
        <v>0</v>
      </c>
      <c r="G330" s="6">
        <v>0</v>
      </c>
      <c r="H330" s="6" t="str">
        <f>IF(OR(F330&lt;=0,G330&lt;=0),"",ROUND(G330+F330*Uso!$B$5,Uso!$B$6))</f>
        <v/>
      </c>
      <c r="I330" s="6" t="str">
        <f t="shared" si="5"/>
        <v/>
      </c>
      <c r="J330" t="str">
        <f>IF(COUNTIF(Cruce!$A$5:$A$14,A330)&gt;0,"SKU de muestra","Regla extrapolada")</f>
        <v>Regla extrapolada</v>
      </c>
    </row>
    <row r="331" spans="1:10" ht="30" customHeight="1">
      <c r="A331" t="s">
        <v>720</v>
      </c>
      <c r="B331" s="5" t="s">
        <v>721</v>
      </c>
      <c r="C331">
        <v>1</v>
      </c>
      <c r="D331">
        <v>1</v>
      </c>
      <c r="E331">
        <v>0</v>
      </c>
      <c r="F331" s="6">
        <v>0</v>
      </c>
      <c r="G331" s="6">
        <v>0</v>
      </c>
      <c r="H331" s="6" t="str">
        <f>IF(OR(F331&lt;=0,G331&lt;=0),"",ROUND(G331+F331*Uso!$B$5,Uso!$B$6))</f>
        <v/>
      </c>
      <c r="I331" s="6" t="str">
        <f t="shared" si="5"/>
        <v/>
      </c>
      <c r="J331" t="str">
        <f>IF(COUNTIF(Cruce!$A$5:$A$14,A331)&gt;0,"SKU de muestra","Regla extrapolada")</f>
        <v>Regla extrapolada</v>
      </c>
    </row>
    <row r="332" spans="1:10" ht="30" customHeight="1">
      <c r="A332" t="s">
        <v>722</v>
      </c>
      <c r="B332" s="5" t="s">
        <v>723</v>
      </c>
      <c r="C332">
        <v>1</v>
      </c>
      <c r="D332">
        <v>1</v>
      </c>
      <c r="E332">
        <v>0</v>
      </c>
      <c r="F332" s="6">
        <v>0</v>
      </c>
      <c r="G332" s="6">
        <v>0</v>
      </c>
      <c r="H332" s="6" t="str">
        <f>IF(OR(F332&lt;=0,G332&lt;=0),"",ROUND(G332+F332*Uso!$B$5,Uso!$B$6))</f>
        <v/>
      </c>
      <c r="I332" s="6" t="str">
        <f t="shared" si="5"/>
        <v/>
      </c>
      <c r="J332" t="str">
        <f>IF(COUNTIF(Cruce!$A$5:$A$14,A332)&gt;0,"SKU de muestra","Regla extrapolada")</f>
        <v>Regla extrapolada</v>
      </c>
    </row>
    <row r="333" spans="1:10" ht="30" customHeight="1">
      <c r="A333" t="s">
        <v>724</v>
      </c>
      <c r="B333" s="5" t="s">
        <v>725</v>
      </c>
      <c r="C333">
        <v>1</v>
      </c>
      <c r="D333">
        <v>1</v>
      </c>
      <c r="E333">
        <v>0</v>
      </c>
      <c r="F333" s="6">
        <v>0</v>
      </c>
      <c r="G333" s="6">
        <v>0</v>
      </c>
      <c r="H333" s="6" t="str">
        <f>IF(OR(F333&lt;=0,G333&lt;=0),"",ROUND(G333+F333*Uso!$B$5,Uso!$B$6))</f>
        <v/>
      </c>
      <c r="I333" s="6" t="str">
        <f t="shared" si="5"/>
        <v/>
      </c>
      <c r="J333" t="str">
        <f>IF(COUNTIF(Cruce!$A$5:$A$14,A333)&gt;0,"SKU de muestra","Regla extrapolada")</f>
        <v>Regla extrapolada</v>
      </c>
    </row>
    <row r="334" spans="1:10" ht="30" customHeight="1">
      <c r="A334" t="s">
        <v>726</v>
      </c>
      <c r="B334" s="5" t="s">
        <v>727</v>
      </c>
      <c r="C334">
        <v>1</v>
      </c>
      <c r="D334">
        <v>1</v>
      </c>
      <c r="E334">
        <v>0</v>
      </c>
      <c r="F334" s="6">
        <v>0</v>
      </c>
      <c r="G334" s="6">
        <v>0</v>
      </c>
      <c r="H334" s="6" t="str">
        <f>IF(OR(F334&lt;=0,G334&lt;=0),"",ROUND(G334+F334*Uso!$B$5,Uso!$B$6))</f>
        <v/>
      </c>
      <c r="I334" s="6" t="str">
        <f t="shared" si="5"/>
        <v/>
      </c>
      <c r="J334" t="str">
        <f>IF(COUNTIF(Cruce!$A$5:$A$14,A334)&gt;0,"SKU de muestra","Regla extrapolada")</f>
        <v>Regla extrapolada</v>
      </c>
    </row>
    <row r="335" spans="1:10" ht="30" customHeight="1">
      <c r="A335" t="s">
        <v>728</v>
      </c>
      <c r="B335" s="5" t="s">
        <v>729</v>
      </c>
      <c r="C335">
        <v>1</v>
      </c>
      <c r="D335">
        <v>1</v>
      </c>
      <c r="E335">
        <v>0</v>
      </c>
      <c r="F335" s="6">
        <v>0</v>
      </c>
      <c r="G335" s="6">
        <v>0</v>
      </c>
      <c r="H335" s="6" t="str">
        <f>IF(OR(F335&lt;=0,G335&lt;=0),"",ROUND(G335+F335*Uso!$B$5,Uso!$B$6))</f>
        <v/>
      </c>
      <c r="I335" s="6" t="str">
        <f t="shared" si="5"/>
        <v/>
      </c>
      <c r="J335" t="str">
        <f>IF(COUNTIF(Cruce!$A$5:$A$14,A335)&gt;0,"SKU de muestra","Regla extrapolada")</f>
        <v>Regla extrapolada</v>
      </c>
    </row>
    <row r="336" spans="1:10" ht="30" customHeight="1">
      <c r="A336" t="s">
        <v>730</v>
      </c>
      <c r="B336" s="5" t="s">
        <v>731</v>
      </c>
      <c r="C336">
        <v>1</v>
      </c>
      <c r="D336">
        <v>1</v>
      </c>
      <c r="E336">
        <v>0</v>
      </c>
      <c r="F336" s="6">
        <v>0</v>
      </c>
      <c r="G336" s="6">
        <v>0</v>
      </c>
      <c r="H336" s="6" t="str">
        <f>IF(OR(F336&lt;=0,G336&lt;=0),"",ROUND(G336+F336*Uso!$B$5,Uso!$B$6))</f>
        <v/>
      </c>
      <c r="I336" s="6" t="str">
        <f t="shared" si="5"/>
        <v/>
      </c>
      <c r="J336" t="str">
        <f>IF(COUNTIF(Cruce!$A$5:$A$14,A336)&gt;0,"SKU de muestra","Regla extrapolada")</f>
        <v>Regla extrapolada</v>
      </c>
    </row>
    <row r="337" spans="1:10" ht="30" customHeight="1">
      <c r="A337" t="s">
        <v>732</v>
      </c>
      <c r="B337" s="5" t="s">
        <v>733</v>
      </c>
      <c r="C337">
        <v>1</v>
      </c>
      <c r="D337">
        <v>1</v>
      </c>
      <c r="E337">
        <v>0</v>
      </c>
      <c r="F337" s="6">
        <v>0</v>
      </c>
      <c r="G337" s="6">
        <v>0</v>
      </c>
      <c r="H337" s="6" t="str">
        <f>IF(OR(F337&lt;=0,G337&lt;=0),"",ROUND(G337+F337*Uso!$B$5,Uso!$B$6))</f>
        <v/>
      </c>
      <c r="I337" s="6" t="str">
        <f t="shared" si="5"/>
        <v/>
      </c>
      <c r="J337" t="str">
        <f>IF(COUNTIF(Cruce!$A$5:$A$14,A337)&gt;0,"SKU de muestra","Regla extrapolada")</f>
        <v>Regla extrapolada</v>
      </c>
    </row>
    <row r="338" spans="1:10" ht="30" customHeight="1">
      <c r="A338" t="s">
        <v>734</v>
      </c>
      <c r="B338" s="5" t="s">
        <v>735</v>
      </c>
      <c r="C338">
        <v>1</v>
      </c>
      <c r="D338">
        <v>1</v>
      </c>
      <c r="E338">
        <v>0</v>
      </c>
      <c r="F338" s="6">
        <v>0</v>
      </c>
      <c r="G338" s="6">
        <v>0</v>
      </c>
      <c r="H338" s="6" t="str">
        <f>IF(OR(F338&lt;=0,G338&lt;=0),"",ROUND(G338+F338*Uso!$B$5,Uso!$B$6))</f>
        <v/>
      </c>
      <c r="I338" s="6" t="str">
        <f t="shared" si="5"/>
        <v/>
      </c>
      <c r="J338" t="str">
        <f>IF(COUNTIF(Cruce!$A$5:$A$14,A338)&gt;0,"SKU de muestra","Regla extrapolada")</f>
        <v>Regla extrapolada</v>
      </c>
    </row>
    <row r="339" spans="1:10" ht="30" customHeight="1">
      <c r="A339" t="s">
        <v>736</v>
      </c>
      <c r="B339" s="5" t="s">
        <v>737</v>
      </c>
      <c r="C339">
        <v>1</v>
      </c>
      <c r="D339">
        <v>1</v>
      </c>
      <c r="E339">
        <v>0</v>
      </c>
      <c r="F339" s="6">
        <v>0</v>
      </c>
      <c r="G339" s="6">
        <v>0</v>
      </c>
      <c r="H339" s="6" t="str">
        <f>IF(OR(F339&lt;=0,G339&lt;=0),"",ROUND(G339+F339*Uso!$B$5,Uso!$B$6))</f>
        <v/>
      </c>
      <c r="I339" s="6" t="str">
        <f t="shared" si="5"/>
        <v/>
      </c>
      <c r="J339" t="str">
        <f>IF(COUNTIF(Cruce!$A$5:$A$14,A339)&gt;0,"SKU de muestra","Regla extrapolada")</f>
        <v>Regla extrapolada</v>
      </c>
    </row>
    <row r="340" spans="1:10" ht="30" customHeight="1">
      <c r="A340" t="s">
        <v>738</v>
      </c>
      <c r="B340" s="5" t="s">
        <v>739</v>
      </c>
      <c r="C340">
        <v>1</v>
      </c>
      <c r="D340">
        <v>1</v>
      </c>
      <c r="E340">
        <v>0</v>
      </c>
      <c r="F340" s="6">
        <v>0</v>
      </c>
      <c r="G340" s="6">
        <v>0</v>
      </c>
      <c r="H340" s="6" t="str">
        <f>IF(OR(F340&lt;=0,G340&lt;=0),"",ROUND(G340+F340*Uso!$B$5,Uso!$B$6))</f>
        <v/>
      </c>
      <c r="I340" s="6" t="str">
        <f t="shared" si="5"/>
        <v/>
      </c>
      <c r="J340" t="str">
        <f>IF(COUNTIF(Cruce!$A$5:$A$14,A340)&gt;0,"SKU de muestra","Regla extrapolada")</f>
        <v>Regla extrapolada</v>
      </c>
    </row>
    <row r="341" spans="1:10" ht="30" customHeight="1">
      <c r="A341" t="s">
        <v>740</v>
      </c>
      <c r="B341" s="5" t="s">
        <v>741</v>
      </c>
      <c r="C341">
        <v>1</v>
      </c>
      <c r="D341">
        <v>1</v>
      </c>
      <c r="E341">
        <v>0</v>
      </c>
      <c r="F341" s="6">
        <v>0</v>
      </c>
      <c r="G341" s="6">
        <v>0</v>
      </c>
      <c r="H341" s="6" t="str">
        <f>IF(OR(F341&lt;=0,G341&lt;=0),"",ROUND(G341+F341*Uso!$B$5,Uso!$B$6))</f>
        <v/>
      </c>
      <c r="I341" s="6" t="str">
        <f t="shared" si="5"/>
        <v/>
      </c>
      <c r="J341" t="str">
        <f>IF(COUNTIF(Cruce!$A$5:$A$14,A341)&gt;0,"SKU de muestra","Regla extrapolada")</f>
        <v>Regla extrapolada</v>
      </c>
    </row>
    <row r="342" spans="1:10" ht="30" customHeight="1">
      <c r="A342" t="s">
        <v>742</v>
      </c>
      <c r="B342" s="5" t="s">
        <v>743</v>
      </c>
      <c r="C342">
        <v>1</v>
      </c>
      <c r="D342">
        <v>1</v>
      </c>
      <c r="E342">
        <v>0</v>
      </c>
      <c r="F342" s="6">
        <v>0</v>
      </c>
      <c r="G342" s="6">
        <v>0</v>
      </c>
      <c r="H342" s="6" t="str">
        <f>IF(OR(F342&lt;=0,G342&lt;=0),"",ROUND(G342+F342*Uso!$B$5,Uso!$B$6))</f>
        <v/>
      </c>
      <c r="I342" s="6" t="str">
        <f t="shared" si="5"/>
        <v/>
      </c>
      <c r="J342" t="str">
        <f>IF(COUNTIF(Cruce!$A$5:$A$14,A342)&gt;0,"SKU de muestra","Regla extrapolada")</f>
        <v>Regla extrapolada</v>
      </c>
    </row>
    <row r="343" spans="1:10" ht="30" customHeight="1">
      <c r="A343" t="s">
        <v>744</v>
      </c>
      <c r="B343" s="5" t="s">
        <v>745</v>
      </c>
      <c r="C343">
        <v>1</v>
      </c>
      <c r="D343">
        <v>1</v>
      </c>
      <c r="E343">
        <v>0</v>
      </c>
      <c r="F343" s="6">
        <v>0</v>
      </c>
      <c r="G343" s="6">
        <v>0</v>
      </c>
      <c r="H343" s="6" t="str">
        <f>IF(OR(F343&lt;=0,G343&lt;=0),"",ROUND(G343+F343*Uso!$B$5,Uso!$B$6))</f>
        <v/>
      </c>
      <c r="I343" s="6" t="str">
        <f t="shared" si="5"/>
        <v/>
      </c>
      <c r="J343" t="str">
        <f>IF(COUNTIF(Cruce!$A$5:$A$14,A343)&gt;0,"SKU de muestra","Regla extrapolada")</f>
        <v>Regla extrapolada</v>
      </c>
    </row>
    <row r="344" spans="1:10" ht="30" customHeight="1">
      <c r="A344" t="s">
        <v>746</v>
      </c>
      <c r="B344" s="5" t="s">
        <v>747</v>
      </c>
      <c r="C344">
        <v>1</v>
      </c>
      <c r="D344">
        <v>1</v>
      </c>
      <c r="E344">
        <v>0</v>
      </c>
      <c r="F344" s="6">
        <v>0</v>
      </c>
      <c r="G344" s="6">
        <v>0</v>
      </c>
      <c r="H344" s="6" t="str">
        <f>IF(OR(F344&lt;=0,G344&lt;=0),"",ROUND(G344+F344*Uso!$B$5,Uso!$B$6))</f>
        <v/>
      </c>
      <c r="I344" s="6" t="str">
        <f t="shared" si="5"/>
        <v/>
      </c>
      <c r="J344" t="str">
        <f>IF(COUNTIF(Cruce!$A$5:$A$14,A344)&gt;0,"SKU de muestra","Regla extrapolada")</f>
        <v>Regla extrapolada</v>
      </c>
    </row>
    <row r="345" spans="1:10" ht="30" customHeight="1">
      <c r="A345" t="s">
        <v>748</v>
      </c>
      <c r="B345" s="5" t="s">
        <v>749</v>
      </c>
      <c r="C345">
        <v>6</v>
      </c>
      <c r="D345">
        <v>252</v>
      </c>
      <c r="E345">
        <v>5</v>
      </c>
      <c r="F345" s="6">
        <v>9676.15</v>
      </c>
      <c r="G345" s="6">
        <v>12013.882</v>
      </c>
      <c r="H345" s="6">
        <f>IF(OR(F345&lt;=0,G345&lt;=0),"",ROUND(G345+F345*Uso!$B$5,Uso!$B$6))</f>
        <v>12304.166999999999</v>
      </c>
      <c r="I345" s="6">
        <f t="shared" si="5"/>
        <v>2050.6945000000001</v>
      </c>
      <c r="J345" t="str">
        <f>IF(COUNTIF(Cruce!$A$5:$A$14,A345)&gt;0,"SKU de muestra","Regla extrapolada")</f>
        <v>Regla extrapolada</v>
      </c>
    </row>
    <row r="346" spans="1:10" ht="30" customHeight="1">
      <c r="A346" t="s">
        <v>750</v>
      </c>
      <c r="B346" s="5" t="s">
        <v>751</v>
      </c>
      <c r="C346">
        <v>1</v>
      </c>
      <c r="D346">
        <v>1</v>
      </c>
      <c r="E346">
        <v>0</v>
      </c>
      <c r="F346" s="6">
        <v>0</v>
      </c>
      <c r="G346" s="6">
        <v>0</v>
      </c>
      <c r="H346" s="6" t="str">
        <f>IF(OR(F346&lt;=0,G346&lt;=0),"",ROUND(G346+F346*Uso!$B$5,Uso!$B$6))</f>
        <v/>
      </c>
      <c r="I346" s="6" t="str">
        <f t="shared" si="5"/>
        <v/>
      </c>
      <c r="J346" t="str">
        <f>IF(COUNTIF(Cruce!$A$5:$A$14,A346)&gt;0,"SKU de muestra","Regla extrapolada")</f>
        <v>Regla extrapolada</v>
      </c>
    </row>
    <row r="347" spans="1:10" ht="30" customHeight="1">
      <c r="A347" t="s">
        <v>752</v>
      </c>
      <c r="B347" s="5" t="s">
        <v>753</v>
      </c>
      <c r="C347">
        <v>1</v>
      </c>
      <c r="D347">
        <v>1</v>
      </c>
      <c r="E347">
        <v>0</v>
      </c>
      <c r="F347" s="6">
        <v>0</v>
      </c>
      <c r="G347" s="6">
        <v>0</v>
      </c>
      <c r="H347" s="6" t="str">
        <f>IF(OR(F347&lt;=0,G347&lt;=0),"",ROUND(G347+F347*Uso!$B$5,Uso!$B$6))</f>
        <v/>
      </c>
      <c r="I347" s="6" t="str">
        <f t="shared" si="5"/>
        <v/>
      </c>
      <c r="J347" t="str">
        <f>IF(COUNTIF(Cruce!$A$5:$A$14,A347)&gt;0,"SKU de muestra","Regla extrapolada")</f>
        <v>Regla extrapolada</v>
      </c>
    </row>
    <row r="348" spans="1:10" ht="30" customHeight="1">
      <c r="A348" t="s">
        <v>754</v>
      </c>
      <c r="B348" s="5" t="s">
        <v>755</v>
      </c>
      <c r="C348">
        <v>1</v>
      </c>
      <c r="D348">
        <v>1</v>
      </c>
      <c r="E348">
        <v>0</v>
      </c>
      <c r="F348" s="6">
        <v>0</v>
      </c>
      <c r="G348" s="6">
        <v>0</v>
      </c>
      <c r="H348" s="6" t="str">
        <f>IF(OR(F348&lt;=0,G348&lt;=0),"",ROUND(G348+F348*Uso!$B$5,Uso!$B$6))</f>
        <v/>
      </c>
      <c r="I348" s="6" t="str">
        <f t="shared" si="5"/>
        <v/>
      </c>
      <c r="J348" t="str">
        <f>IF(COUNTIF(Cruce!$A$5:$A$14,A348)&gt;0,"SKU de muestra","Regla extrapolada")</f>
        <v>Regla extrapolada</v>
      </c>
    </row>
    <row r="349" spans="1:10" ht="30" customHeight="1">
      <c r="A349" t="s">
        <v>756</v>
      </c>
      <c r="B349" s="5" t="s">
        <v>757</v>
      </c>
      <c r="C349">
        <v>1</v>
      </c>
      <c r="D349">
        <v>1</v>
      </c>
      <c r="E349">
        <v>0</v>
      </c>
      <c r="F349" s="6">
        <v>0</v>
      </c>
      <c r="G349" s="6">
        <v>0</v>
      </c>
      <c r="H349" s="6" t="str">
        <f>IF(OR(F349&lt;=0,G349&lt;=0),"",ROUND(G349+F349*Uso!$B$5,Uso!$B$6))</f>
        <v/>
      </c>
      <c r="I349" s="6" t="str">
        <f t="shared" si="5"/>
        <v/>
      </c>
      <c r="J349" t="str">
        <f>IF(COUNTIF(Cruce!$A$5:$A$14,A349)&gt;0,"SKU de muestra","Regla extrapolada")</f>
        <v>Regla extrapolada</v>
      </c>
    </row>
    <row r="350" spans="1:10" ht="30" customHeight="1">
      <c r="A350" t="s">
        <v>758</v>
      </c>
      <c r="B350" s="5" t="s">
        <v>759</v>
      </c>
      <c r="C350">
        <v>24</v>
      </c>
      <c r="D350">
        <v>100</v>
      </c>
      <c r="E350">
        <v>5</v>
      </c>
      <c r="F350" s="6">
        <v>35556.58</v>
      </c>
      <c r="G350" s="6">
        <v>47339.222000000002</v>
      </c>
      <c r="H350" s="6">
        <f>IF(OR(F350&lt;=0,G350&lt;=0),"",ROUND(G350+F350*Uso!$B$5,Uso!$B$6))</f>
        <v>48405.919000000002</v>
      </c>
      <c r="I350" s="6">
        <f t="shared" si="5"/>
        <v>2016.9132916666667</v>
      </c>
      <c r="J350" t="str">
        <f>IF(COUNTIF(Cruce!$A$5:$A$14,A350)&gt;0,"SKU de muestra","Regla extrapolada")</f>
        <v>Regla extrapolada</v>
      </c>
    </row>
    <row r="351" spans="1:10" ht="30" customHeight="1">
      <c r="A351" t="s">
        <v>760</v>
      </c>
      <c r="B351" s="5" t="s">
        <v>761</v>
      </c>
      <c r="C351">
        <v>12</v>
      </c>
      <c r="D351">
        <v>90</v>
      </c>
      <c r="E351">
        <v>5</v>
      </c>
      <c r="F351" s="6">
        <v>22044.81</v>
      </c>
      <c r="G351" s="6">
        <v>26674.22</v>
      </c>
      <c r="H351" s="6">
        <f>IF(OR(F351&lt;=0,G351&lt;=0),"",ROUND(G351+F351*Uso!$B$5,Uso!$B$6))</f>
        <v>27335.563999999998</v>
      </c>
      <c r="I351" s="6">
        <f t="shared" si="5"/>
        <v>2277.9636666666665</v>
      </c>
      <c r="J351" t="str">
        <f>IF(COUNTIF(Cruce!$A$5:$A$14,A351)&gt;0,"SKU de muestra","Regla extrapolada")</f>
        <v>Regla extrapolada</v>
      </c>
    </row>
    <row r="352" spans="1:10" ht="30" customHeight="1">
      <c r="A352" t="s">
        <v>762</v>
      </c>
      <c r="B352" s="5" t="s">
        <v>763</v>
      </c>
      <c r="C352">
        <v>4</v>
      </c>
      <c r="D352">
        <v>150</v>
      </c>
      <c r="E352">
        <v>5</v>
      </c>
      <c r="F352" s="6">
        <v>45259</v>
      </c>
      <c r="G352" s="6">
        <v>54763.39</v>
      </c>
      <c r="H352" s="6">
        <f>IF(OR(F352&lt;=0,G352&lt;=0),"",ROUND(G352+F352*Uso!$B$5,Uso!$B$6))</f>
        <v>56121.16</v>
      </c>
      <c r="I352" s="6">
        <f t="shared" si="5"/>
        <v>14030.29</v>
      </c>
      <c r="J352" t="str">
        <f>IF(COUNTIF(Cruce!$A$5:$A$14,A352)&gt;0,"SKU de muestra","Regla extrapolada")</f>
        <v>Regla extrapolada</v>
      </c>
    </row>
    <row r="353" spans="1:10" ht="30" customHeight="1">
      <c r="A353" t="s">
        <v>764</v>
      </c>
      <c r="B353" s="5" t="s">
        <v>765</v>
      </c>
      <c r="C353">
        <v>24</v>
      </c>
      <c r="D353">
        <v>32</v>
      </c>
      <c r="E353">
        <v>5</v>
      </c>
      <c r="F353" s="6">
        <v>220600.13</v>
      </c>
      <c r="G353" s="6">
        <v>266926.15700000001</v>
      </c>
      <c r="H353" s="6">
        <f>IF(OR(F353&lt;=0,G353&lt;=0),"",ROUND(G353+F353*Uso!$B$5,Uso!$B$6))</f>
        <v>273544.16100000002</v>
      </c>
      <c r="I353" s="6">
        <f t="shared" si="5"/>
        <v>11397.673375</v>
      </c>
      <c r="J353" t="str">
        <f>IF(COUNTIF(Cruce!$A$5:$A$14,A353)&gt;0,"SKU de muestra","Regla extrapolada")</f>
        <v>Regla extrapolada</v>
      </c>
    </row>
    <row r="354" spans="1:10" ht="30" customHeight="1">
      <c r="A354" t="s">
        <v>766</v>
      </c>
      <c r="B354" s="5" t="s">
        <v>767</v>
      </c>
      <c r="C354">
        <v>16</v>
      </c>
      <c r="D354">
        <v>96</v>
      </c>
      <c r="E354">
        <v>5</v>
      </c>
      <c r="F354" s="6">
        <v>34632.94</v>
      </c>
      <c r="G354" s="6">
        <v>46085.747000000003</v>
      </c>
      <c r="H354" s="6">
        <f>IF(OR(F354&lt;=0,G354&lt;=0),"",ROUND(G354+F354*Uso!$B$5,Uso!$B$6))</f>
        <v>47124.735000000001</v>
      </c>
      <c r="I354" s="6">
        <f t="shared" si="5"/>
        <v>2945.2959375</v>
      </c>
      <c r="J354" t="str">
        <f>IF(COUNTIF(Cruce!$A$5:$A$14,A354)&gt;0,"SKU de muestra","Regla extrapolada")</f>
        <v>Regla extrapolada</v>
      </c>
    </row>
    <row r="355" spans="1:10" ht="30" customHeight="1">
      <c r="A355" t="s">
        <v>768</v>
      </c>
      <c r="B355" s="5" t="s">
        <v>769</v>
      </c>
      <c r="C355">
        <v>24</v>
      </c>
      <c r="D355">
        <v>84</v>
      </c>
      <c r="E355">
        <v>5</v>
      </c>
      <c r="F355" s="6">
        <v>44630.87</v>
      </c>
      <c r="G355" s="6">
        <v>54003.353000000003</v>
      </c>
      <c r="H355" s="6">
        <f>IF(OR(F355&lt;=0,G355&lt;=0),"",ROUND(G355+F355*Uso!$B$5,Uso!$B$6))</f>
        <v>55342.279000000002</v>
      </c>
      <c r="I355" s="6">
        <f t="shared" si="5"/>
        <v>2305.9282916666666</v>
      </c>
      <c r="J355" t="str">
        <f>IF(COUNTIF(Cruce!$A$5:$A$14,A355)&gt;0,"SKU de muestra","Regla extrapolada")</f>
        <v>Regla extrapolada</v>
      </c>
    </row>
    <row r="356" spans="1:10" ht="30" customHeight="1">
      <c r="A356" t="s">
        <v>770</v>
      </c>
      <c r="B356" s="5" t="s">
        <v>771</v>
      </c>
      <c r="C356">
        <v>24</v>
      </c>
      <c r="D356">
        <v>84</v>
      </c>
      <c r="E356">
        <v>5</v>
      </c>
      <c r="F356" s="6">
        <v>44630.87</v>
      </c>
      <c r="G356" s="6">
        <v>54003.353000000003</v>
      </c>
      <c r="H356" s="6">
        <f>IF(OR(F356&lt;=0,G356&lt;=0),"",ROUND(G356+F356*Uso!$B$5,Uso!$B$6))</f>
        <v>55342.279000000002</v>
      </c>
      <c r="I356" s="6">
        <f t="shared" si="5"/>
        <v>2305.9282916666666</v>
      </c>
      <c r="J356" t="str">
        <f>IF(COUNTIF(Cruce!$A$5:$A$14,A356)&gt;0,"SKU de muestra","Regla extrapolada")</f>
        <v>Regla extrapolada</v>
      </c>
    </row>
    <row r="357" spans="1:10" ht="30" customHeight="1">
      <c r="A357" t="s">
        <v>772</v>
      </c>
      <c r="B357" s="5" t="s">
        <v>773</v>
      </c>
      <c r="C357">
        <v>12</v>
      </c>
      <c r="D357">
        <v>50</v>
      </c>
      <c r="E357">
        <v>5</v>
      </c>
      <c r="F357" s="6">
        <v>29647.58</v>
      </c>
      <c r="G357" s="6">
        <v>38969.411999999997</v>
      </c>
      <c r="H357" s="6">
        <f>IF(OR(F357&lt;=0,G357&lt;=0),"",ROUND(G357+F357*Uso!$B$5,Uso!$B$6))</f>
        <v>39858.839</v>
      </c>
      <c r="I357" s="6">
        <f t="shared" si="5"/>
        <v>3321.5699166666668</v>
      </c>
      <c r="J357" t="str">
        <f>IF(COUNTIF(Cruce!$A$5:$A$14,A357)&gt;0,"SKU de muestra","Regla extrapolada")</f>
        <v>Regla extrapolada</v>
      </c>
    </row>
    <row r="358" spans="1:10" ht="30" customHeight="1">
      <c r="A358" t="s">
        <v>774</v>
      </c>
      <c r="B358" s="5" t="s">
        <v>775</v>
      </c>
      <c r="C358">
        <v>1</v>
      </c>
      <c r="D358">
        <v>1</v>
      </c>
      <c r="E358">
        <v>0</v>
      </c>
      <c r="F358" s="6">
        <v>0</v>
      </c>
      <c r="G358" s="6">
        <v>0</v>
      </c>
      <c r="H358" s="6" t="str">
        <f>IF(OR(F358&lt;=0,G358&lt;=0),"",ROUND(G358+F358*Uso!$B$5,Uso!$B$6))</f>
        <v/>
      </c>
      <c r="I358" s="6" t="str">
        <f t="shared" si="5"/>
        <v/>
      </c>
      <c r="J358" t="str">
        <f>IF(COUNTIF(Cruce!$A$5:$A$14,A358)&gt;0,"SKU de muestra","Regla extrapolada")</f>
        <v>Regla extrapolada</v>
      </c>
    </row>
    <row r="359" spans="1:10" ht="30" customHeight="1">
      <c r="A359" t="s">
        <v>776</v>
      </c>
      <c r="B359" s="5" t="s">
        <v>777</v>
      </c>
      <c r="C359">
        <v>1</v>
      </c>
      <c r="D359">
        <v>1</v>
      </c>
      <c r="E359">
        <v>0</v>
      </c>
      <c r="F359" s="6">
        <v>0</v>
      </c>
      <c r="G359" s="6">
        <v>0</v>
      </c>
      <c r="H359" s="6" t="str">
        <f>IF(OR(F359&lt;=0,G359&lt;=0),"",ROUND(G359+F359*Uso!$B$5,Uso!$B$6))</f>
        <v/>
      </c>
      <c r="I359" s="6" t="str">
        <f t="shared" si="5"/>
        <v/>
      </c>
      <c r="J359" t="str">
        <f>IF(COUNTIF(Cruce!$A$5:$A$14,A359)&gt;0,"SKU de muestra","Regla extrapolada")</f>
        <v>Regla extrapolada</v>
      </c>
    </row>
    <row r="360" spans="1:10" ht="30" customHeight="1">
      <c r="A360" t="s">
        <v>778</v>
      </c>
      <c r="B360" s="5" t="s">
        <v>779</v>
      </c>
      <c r="C360">
        <v>1</v>
      </c>
      <c r="D360">
        <v>1</v>
      </c>
      <c r="E360">
        <v>0</v>
      </c>
      <c r="F360" s="6">
        <v>0</v>
      </c>
      <c r="G360" s="6">
        <v>0</v>
      </c>
      <c r="H360" s="6" t="str">
        <f>IF(OR(F360&lt;=0,G360&lt;=0),"",ROUND(G360+F360*Uso!$B$5,Uso!$B$6))</f>
        <v/>
      </c>
      <c r="I360" s="6" t="str">
        <f t="shared" si="5"/>
        <v/>
      </c>
      <c r="J360" t="str">
        <f>IF(COUNTIF(Cruce!$A$5:$A$14,A360)&gt;0,"SKU de muestra","Regla extrapolada")</f>
        <v>Regla extrapolada</v>
      </c>
    </row>
    <row r="361" spans="1:10" ht="30" customHeight="1">
      <c r="A361" t="s">
        <v>780</v>
      </c>
      <c r="B361" s="5" t="s">
        <v>781</v>
      </c>
      <c r="C361">
        <v>1</v>
      </c>
      <c r="D361">
        <v>1</v>
      </c>
      <c r="E361">
        <v>0</v>
      </c>
      <c r="F361" s="6">
        <v>0</v>
      </c>
      <c r="G361" s="6">
        <v>0</v>
      </c>
      <c r="H361" s="6" t="str">
        <f>IF(OR(F361&lt;=0,G361&lt;=0),"",ROUND(G361+F361*Uso!$B$5,Uso!$B$6))</f>
        <v/>
      </c>
      <c r="I361" s="6" t="str">
        <f t="shared" si="5"/>
        <v/>
      </c>
      <c r="J361" t="str">
        <f>IF(COUNTIF(Cruce!$A$5:$A$14,A361)&gt;0,"SKU de muestra","Regla extrapolada")</f>
        <v>Regla extrapolada</v>
      </c>
    </row>
    <row r="362" spans="1:10" ht="30" customHeight="1">
      <c r="A362" t="s">
        <v>782</v>
      </c>
      <c r="B362" s="5" t="s">
        <v>783</v>
      </c>
      <c r="C362">
        <v>1</v>
      </c>
      <c r="D362">
        <v>1</v>
      </c>
      <c r="E362">
        <v>0</v>
      </c>
      <c r="F362" s="6">
        <v>0</v>
      </c>
      <c r="G362" s="6">
        <v>0</v>
      </c>
      <c r="H362" s="6" t="str">
        <f>IF(OR(F362&lt;=0,G362&lt;=0),"",ROUND(G362+F362*Uso!$B$5,Uso!$B$6))</f>
        <v/>
      </c>
      <c r="I362" s="6" t="str">
        <f t="shared" si="5"/>
        <v/>
      </c>
      <c r="J362" t="str">
        <f>IF(COUNTIF(Cruce!$A$5:$A$14,A362)&gt;0,"SKU de muestra","Regla extrapolada")</f>
        <v>Regla extrapolada</v>
      </c>
    </row>
    <row r="363" spans="1:10" ht="30" customHeight="1">
      <c r="A363" t="s">
        <v>784</v>
      </c>
      <c r="B363" s="5" t="s">
        <v>785</v>
      </c>
      <c r="C363">
        <v>1</v>
      </c>
      <c r="D363">
        <v>1</v>
      </c>
      <c r="E363">
        <v>0</v>
      </c>
      <c r="F363" s="6">
        <v>0</v>
      </c>
      <c r="G363" s="6">
        <v>0</v>
      </c>
      <c r="H363" s="6" t="str">
        <f>IF(OR(F363&lt;=0,G363&lt;=0),"",ROUND(G363+F363*Uso!$B$5,Uso!$B$6))</f>
        <v/>
      </c>
      <c r="I363" s="6" t="str">
        <f t="shared" si="5"/>
        <v/>
      </c>
      <c r="J363" t="str">
        <f>IF(COUNTIF(Cruce!$A$5:$A$14,A363)&gt;0,"SKU de muestra","Regla extrapolada")</f>
        <v>Regla extrapolada</v>
      </c>
    </row>
    <row r="364" spans="1:10" ht="30" customHeight="1">
      <c r="A364" t="s">
        <v>786</v>
      </c>
      <c r="B364" s="5" t="s">
        <v>787</v>
      </c>
      <c r="C364">
        <v>1</v>
      </c>
      <c r="D364">
        <v>1</v>
      </c>
      <c r="E364">
        <v>0</v>
      </c>
      <c r="F364" s="6">
        <v>0</v>
      </c>
      <c r="G364" s="6">
        <v>0</v>
      </c>
      <c r="H364" s="6" t="str">
        <f>IF(OR(F364&lt;=0,G364&lt;=0),"",ROUND(G364+F364*Uso!$B$5,Uso!$B$6))</f>
        <v/>
      </c>
      <c r="I364" s="6" t="str">
        <f t="shared" si="5"/>
        <v/>
      </c>
      <c r="J364" t="str">
        <f>IF(COUNTIF(Cruce!$A$5:$A$14,A364)&gt;0,"SKU de muestra","Regla extrapolada")</f>
        <v>Regla extrapolada</v>
      </c>
    </row>
    <row r="365" spans="1:10" ht="30" customHeight="1">
      <c r="A365" t="s">
        <v>788</v>
      </c>
      <c r="B365" s="5" t="s">
        <v>789</v>
      </c>
      <c r="C365">
        <v>1</v>
      </c>
      <c r="D365">
        <v>1</v>
      </c>
      <c r="E365">
        <v>0</v>
      </c>
      <c r="F365" s="6">
        <v>0</v>
      </c>
      <c r="G365" s="6">
        <v>0</v>
      </c>
      <c r="H365" s="6" t="str">
        <f>IF(OR(F365&lt;=0,G365&lt;=0),"",ROUND(G365+F365*Uso!$B$5,Uso!$B$6))</f>
        <v/>
      </c>
      <c r="I365" s="6" t="str">
        <f t="shared" si="5"/>
        <v/>
      </c>
      <c r="J365" t="str">
        <f>IF(COUNTIF(Cruce!$A$5:$A$14,A365)&gt;0,"SKU de muestra","Regla extrapolada")</f>
        <v>Regla extrapolada</v>
      </c>
    </row>
    <row r="366" spans="1:10" ht="30" customHeight="1">
      <c r="A366" t="s">
        <v>790</v>
      </c>
      <c r="B366" s="5" t="s">
        <v>791</v>
      </c>
      <c r="C366">
        <v>1</v>
      </c>
      <c r="D366">
        <v>1</v>
      </c>
      <c r="E366">
        <v>0</v>
      </c>
      <c r="F366" s="6">
        <v>0</v>
      </c>
      <c r="G366" s="6">
        <v>0</v>
      </c>
      <c r="H366" s="6" t="str">
        <f>IF(OR(F366&lt;=0,G366&lt;=0),"",ROUND(G366+F366*Uso!$B$5,Uso!$B$6))</f>
        <v/>
      </c>
      <c r="I366" s="6" t="str">
        <f t="shared" si="5"/>
        <v/>
      </c>
      <c r="J366" t="str">
        <f>IF(COUNTIF(Cruce!$A$5:$A$14,A366)&gt;0,"SKU de muestra","Regla extrapolada")</f>
        <v>Regla extrapolada</v>
      </c>
    </row>
    <row r="367" spans="1:10" ht="30" customHeight="1">
      <c r="A367" t="s">
        <v>792</v>
      </c>
      <c r="B367" s="5" t="s">
        <v>793</v>
      </c>
      <c r="C367">
        <v>1</v>
      </c>
      <c r="D367">
        <v>1</v>
      </c>
      <c r="E367">
        <v>0</v>
      </c>
      <c r="F367" s="6">
        <v>0</v>
      </c>
      <c r="G367" s="6">
        <v>0</v>
      </c>
      <c r="H367" s="6" t="str">
        <f>IF(OR(F367&lt;=0,G367&lt;=0),"",ROUND(G367+F367*Uso!$B$5,Uso!$B$6))</f>
        <v/>
      </c>
      <c r="I367" s="6" t="str">
        <f t="shared" si="5"/>
        <v/>
      </c>
      <c r="J367" t="str">
        <f>IF(COUNTIF(Cruce!$A$5:$A$14,A367)&gt;0,"SKU de muestra","Regla extrapolada")</f>
        <v>Regla extrapolada</v>
      </c>
    </row>
    <row r="368" spans="1:10" ht="30" customHeight="1">
      <c r="A368" t="s">
        <v>794</v>
      </c>
      <c r="B368" s="5" t="s">
        <v>795</v>
      </c>
      <c r="C368">
        <v>1</v>
      </c>
      <c r="D368">
        <v>1</v>
      </c>
      <c r="E368">
        <v>0</v>
      </c>
      <c r="F368" s="6">
        <v>0</v>
      </c>
      <c r="G368" s="6">
        <v>0</v>
      </c>
      <c r="H368" s="6" t="str">
        <f>IF(OR(F368&lt;=0,G368&lt;=0),"",ROUND(G368+F368*Uso!$B$5,Uso!$B$6))</f>
        <v/>
      </c>
      <c r="I368" s="6" t="str">
        <f t="shared" si="5"/>
        <v/>
      </c>
      <c r="J368" t="str">
        <f>IF(COUNTIF(Cruce!$A$5:$A$14,A368)&gt;0,"SKU de muestra","Regla extrapolada")</f>
        <v>Regla extrapolada</v>
      </c>
    </row>
    <row r="369" spans="1:10" ht="30" customHeight="1">
      <c r="A369" t="s">
        <v>796</v>
      </c>
      <c r="B369" s="5" t="s">
        <v>797</v>
      </c>
      <c r="C369">
        <v>1</v>
      </c>
      <c r="D369">
        <v>1</v>
      </c>
      <c r="E369">
        <v>0</v>
      </c>
      <c r="F369" s="6">
        <v>0</v>
      </c>
      <c r="G369" s="6">
        <v>0</v>
      </c>
      <c r="H369" s="6" t="str">
        <f>IF(OR(F369&lt;=0,G369&lt;=0),"",ROUND(G369+F369*Uso!$B$5,Uso!$B$6))</f>
        <v/>
      </c>
      <c r="I369" s="6" t="str">
        <f t="shared" si="5"/>
        <v/>
      </c>
      <c r="J369" t="str">
        <f>IF(COUNTIF(Cruce!$A$5:$A$14,A369)&gt;0,"SKU de muestra","Regla extrapolada")</f>
        <v>Regla extrapolada</v>
      </c>
    </row>
    <row r="370" spans="1:10" ht="30" customHeight="1">
      <c r="A370" t="s">
        <v>798</v>
      </c>
      <c r="B370" s="5" t="s">
        <v>799</v>
      </c>
      <c r="C370">
        <v>1</v>
      </c>
      <c r="D370">
        <v>1</v>
      </c>
      <c r="E370">
        <v>0</v>
      </c>
      <c r="F370" s="6">
        <v>0</v>
      </c>
      <c r="G370" s="6">
        <v>0</v>
      </c>
      <c r="H370" s="6" t="str">
        <f>IF(OR(F370&lt;=0,G370&lt;=0),"",ROUND(G370+F370*Uso!$B$5,Uso!$B$6))</f>
        <v/>
      </c>
      <c r="I370" s="6" t="str">
        <f t="shared" si="5"/>
        <v/>
      </c>
      <c r="J370" t="str">
        <f>IF(COUNTIF(Cruce!$A$5:$A$14,A370)&gt;0,"SKU de muestra","Regla extrapolada")</f>
        <v>Regla extrapolada</v>
      </c>
    </row>
    <row r="371" spans="1:10" ht="30" customHeight="1">
      <c r="A371" t="s">
        <v>800</v>
      </c>
      <c r="B371" s="5" t="s">
        <v>801</v>
      </c>
      <c r="C371">
        <v>1</v>
      </c>
      <c r="D371">
        <v>1</v>
      </c>
      <c r="E371">
        <v>0</v>
      </c>
      <c r="F371" s="6">
        <v>0</v>
      </c>
      <c r="G371" s="6">
        <v>0</v>
      </c>
      <c r="H371" s="6" t="str">
        <f>IF(OR(F371&lt;=0,G371&lt;=0),"",ROUND(G371+F371*Uso!$B$5,Uso!$B$6))</f>
        <v/>
      </c>
      <c r="I371" s="6" t="str">
        <f t="shared" si="5"/>
        <v/>
      </c>
      <c r="J371" t="str">
        <f>IF(COUNTIF(Cruce!$A$5:$A$14,A371)&gt;0,"SKU de muestra","Regla extrapolada")</f>
        <v>Regla extrapolada</v>
      </c>
    </row>
    <row r="372" spans="1:10" ht="30" customHeight="1">
      <c r="A372" t="s">
        <v>802</v>
      </c>
      <c r="B372" s="5" t="s">
        <v>803</v>
      </c>
      <c r="C372">
        <v>1</v>
      </c>
      <c r="D372">
        <v>1</v>
      </c>
      <c r="E372">
        <v>0</v>
      </c>
      <c r="F372" s="6">
        <v>0</v>
      </c>
      <c r="G372" s="6">
        <v>0</v>
      </c>
      <c r="H372" s="6" t="str">
        <f>IF(OR(F372&lt;=0,G372&lt;=0),"",ROUND(G372+F372*Uso!$B$5,Uso!$B$6))</f>
        <v/>
      </c>
      <c r="I372" s="6" t="str">
        <f t="shared" si="5"/>
        <v/>
      </c>
      <c r="J372" t="str">
        <f>IF(COUNTIF(Cruce!$A$5:$A$14,A372)&gt;0,"SKU de muestra","Regla extrapolada")</f>
        <v>Regla extrapolada</v>
      </c>
    </row>
    <row r="373" spans="1:10" ht="30" customHeight="1">
      <c r="A373" t="s">
        <v>804</v>
      </c>
      <c r="B373" s="5" t="s">
        <v>805</v>
      </c>
      <c r="C373">
        <v>16</v>
      </c>
      <c r="D373">
        <v>96</v>
      </c>
      <c r="E373">
        <v>5</v>
      </c>
      <c r="F373" s="6">
        <v>51704.18</v>
      </c>
      <c r="G373" s="6">
        <v>68982.668000000005</v>
      </c>
      <c r="H373" s="6">
        <f>IF(OR(F373&lt;=0,G373&lt;=0),"",ROUND(G373+F373*Uso!$B$5,Uso!$B$6))</f>
        <v>70533.793000000005</v>
      </c>
      <c r="I373" s="6">
        <f t="shared" si="5"/>
        <v>4408.3620625000003</v>
      </c>
      <c r="J373" t="str">
        <f>IF(COUNTIF(Cruce!$A$5:$A$14,A373)&gt;0,"SKU de muestra","Regla extrapolada")</f>
        <v>Regla extrapolada</v>
      </c>
    </row>
    <row r="374" spans="1:10" ht="30" customHeight="1">
      <c r="A374" t="s">
        <v>806</v>
      </c>
      <c r="B374" s="5" t="s">
        <v>807</v>
      </c>
      <c r="C374">
        <v>12</v>
      </c>
      <c r="D374">
        <v>50</v>
      </c>
      <c r="E374">
        <v>5</v>
      </c>
      <c r="F374" s="6">
        <v>24262.45</v>
      </c>
      <c r="G374" s="6">
        <v>31763.465</v>
      </c>
      <c r="H374" s="6">
        <f>IF(OR(F374&lt;=0,G374&lt;=0),"",ROUND(G374+F374*Uso!$B$5,Uso!$B$6))</f>
        <v>32491.339</v>
      </c>
      <c r="I374" s="6">
        <f t="shared" si="5"/>
        <v>2707.6115833333333</v>
      </c>
      <c r="J374" t="str">
        <f>IF(COUNTIF(Cruce!$A$5:$A$14,A374)&gt;0,"SKU de muestra","Regla extrapolada")</f>
        <v>Regla extrapolada</v>
      </c>
    </row>
    <row r="375" spans="1:10" ht="30" customHeight="1">
      <c r="A375" t="s">
        <v>808</v>
      </c>
      <c r="B375" s="5" t="s">
        <v>809</v>
      </c>
      <c r="C375">
        <v>24</v>
      </c>
      <c r="D375">
        <v>100</v>
      </c>
      <c r="E375">
        <v>5</v>
      </c>
      <c r="F375" s="6">
        <v>28565.75</v>
      </c>
      <c r="G375" s="6">
        <v>37962.718000000001</v>
      </c>
      <c r="H375" s="6">
        <f>IF(OR(F375&lt;=0,G375&lt;=0),"",ROUND(G375+F375*Uso!$B$5,Uso!$B$6))</f>
        <v>38819.690999999999</v>
      </c>
      <c r="I375" s="6">
        <f t="shared" si="5"/>
        <v>1617.4871249999999</v>
      </c>
      <c r="J375" t="str">
        <f>IF(COUNTIF(Cruce!$A$5:$A$14,A375)&gt;0,"SKU de muestra","Regla extrapolada")</f>
        <v>Regla extrapolada</v>
      </c>
    </row>
    <row r="376" spans="1:10" ht="30" customHeight="1">
      <c r="A376" t="s">
        <v>810</v>
      </c>
      <c r="B376" s="5" t="s">
        <v>811</v>
      </c>
      <c r="C376">
        <v>24</v>
      </c>
      <c r="D376">
        <v>165</v>
      </c>
      <c r="E376">
        <v>5</v>
      </c>
      <c r="F376" s="6">
        <v>53107.46</v>
      </c>
      <c r="G376" s="6">
        <v>64260.027000000002</v>
      </c>
      <c r="H376" s="6">
        <f>IF(OR(F376&lt;=0,G376&lt;=0),"",ROUND(G376+F376*Uso!$B$5,Uso!$B$6))</f>
        <v>65853.251000000004</v>
      </c>
      <c r="I376" s="6">
        <f t="shared" si="5"/>
        <v>2743.8854583333336</v>
      </c>
      <c r="J376" t="str">
        <f>IF(COUNTIF(Cruce!$A$5:$A$14,A376)&gt;0,"SKU de muestra","Regla extrapolada")</f>
        <v>Regla extrapolada</v>
      </c>
    </row>
    <row r="377" spans="1:10" ht="30" customHeight="1">
      <c r="A377" t="s">
        <v>812</v>
      </c>
      <c r="B377" s="5" t="s">
        <v>813</v>
      </c>
      <c r="C377">
        <v>6</v>
      </c>
      <c r="D377">
        <v>336</v>
      </c>
      <c r="E377">
        <v>5</v>
      </c>
      <c r="F377" s="6">
        <v>6421.61</v>
      </c>
      <c r="G377" s="6">
        <v>8185.8180000000002</v>
      </c>
      <c r="H377" s="6">
        <f>IF(OR(F377&lt;=0,G377&lt;=0),"",ROUND(G377+F377*Uso!$B$5,Uso!$B$6))</f>
        <v>8378.4660000000003</v>
      </c>
      <c r="I377" s="6">
        <f t="shared" si="5"/>
        <v>1396.4110000000001</v>
      </c>
      <c r="J377" t="str">
        <f>IF(COUNTIF(Cruce!$A$5:$A$14,A377)&gt;0,"SKU de muestra","Regla extrapolada")</f>
        <v>Regla extrapolada</v>
      </c>
    </row>
    <row r="378" spans="1:10" ht="30" customHeight="1">
      <c r="A378" t="s">
        <v>814</v>
      </c>
      <c r="B378" s="5" t="s">
        <v>815</v>
      </c>
      <c r="C378">
        <v>6</v>
      </c>
      <c r="D378">
        <v>336</v>
      </c>
      <c r="E378">
        <v>5</v>
      </c>
      <c r="F378" s="6">
        <v>6421.61</v>
      </c>
      <c r="G378" s="6">
        <v>8185.8180000000002</v>
      </c>
      <c r="H378" s="6">
        <f>IF(OR(F378&lt;=0,G378&lt;=0),"",ROUND(G378+F378*Uso!$B$5,Uso!$B$6))</f>
        <v>8378.4660000000003</v>
      </c>
      <c r="I378" s="6">
        <f t="shared" si="5"/>
        <v>1396.4110000000001</v>
      </c>
      <c r="J378" t="str">
        <f>IF(COUNTIF(Cruce!$A$5:$A$14,A378)&gt;0,"SKU de muestra","Regla extrapolada")</f>
        <v>Regla extrapolada</v>
      </c>
    </row>
    <row r="379" spans="1:10" ht="30" customHeight="1">
      <c r="A379" t="s">
        <v>816</v>
      </c>
      <c r="B379" s="5" t="s">
        <v>817</v>
      </c>
      <c r="C379">
        <v>6</v>
      </c>
      <c r="D379">
        <v>336</v>
      </c>
      <c r="E379">
        <v>5</v>
      </c>
      <c r="F379" s="6">
        <v>6421.61</v>
      </c>
      <c r="G379" s="6">
        <v>8185.8180000000002</v>
      </c>
      <c r="H379" s="6">
        <f>IF(OR(F379&lt;=0,G379&lt;=0),"",ROUND(G379+F379*Uso!$B$5,Uso!$B$6))</f>
        <v>8378.4660000000003</v>
      </c>
      <c r="I379" s="6">
        <f t="shared" si="5"/>
        <v>1396.4110000000001</v>
      </c>
      <c r="J379" t="str">
        <f>IF(COUNTIF(Cruce!$A$5:$A$14,A379)&gt;0,"SKU de muestra","Regla extrapolada")</f>
        <v>Regla extrapolada</v>
      </c>
    </row>
    <row r="380" spans="1:10" ht="30" customHeight="1">
      <c r="A380" t="s">
        <v>818</v>
      </c>
      <c r="B380" s="5" t="s">
        <v>819</v>
      </c>
      <c r="C380">
        <v>20</v>
      </c>
      <c r="D380">
        <v>16</v>
      </c>
      <c r="E380">
        <v>5</v>
      </c>
      <c r="F380" s="6">
        <v>0</v>
      </c>
      <c r="G380" s="6">
        <v>0</v>
      </c>
      <c r="H380" s="6" t="str">
        <f>IF(OR(F380&lt;=0,G380&lt;=0),"",ROUND(G380+F380*Uso!$B$5,Uso!$B$6))</f>
        <v/>
      </c>
      <c r="I380" s="6" t="str">
        <f t="shared" si="5"/>
        <v/>
      </c>
      <c r="J380" t="str">
        <f>IF(COUNTIF(Cruce!$A$5:$A$14,A380)&gt;0,"SKU de muestra","Regla extrapolada")</f>
        <v>Regla extrapolada</v>
      </c>
    </row>
    <row r="381" spans="1:10" ht="30" customHeight="1">
      <c r="A381" t="s">
        <v>820</v>
      </c>
      <c r="B381" s="5" t="s">
        <v>821</v>
      </c>
      <c r="C381">
        <v>2</v>
      </c>
      <c r="D381">
        <v>360</v>
      </c>
      <c r="E381">
        <v>5</v>
      </c>
      <c r="F381" s="6">
        <v>19310.240000000002</v>
      </c>
      <c r="G381" s="6">
        <v>23365.39</v>
      </c>
      <c r="H381" s="6">
        <f>IF(OR(F381&lt;=0,G381&lt;=0),"",ROUND(G381+F381*Uso!$B$5,Uso!$B$6))</f>
        <v>23944.697</v>
      </c>
      <c r="I381" s="6">
        <f t="shared" si="5"/>
        <v>11972.3485</v>
      </c>
      <c r="J381" t="str">
        <f>IF(COUNTIF(Cruce!$A$5:$A$14,A381)&gt;0,"SKU de muestra","Regla extrapolada")</f>
        <v>Regla extrapolada</v>
      </c>
    </row>
    <row r="382" spans="1:10" ht="30" customHeight="1">
      <c r="A382" t="s">
        <v>822</v>
      </c>
      <c r="B382" s="5" t="s">
        <v>823</v>
      </c>
      <c r="C382">
        <v>2</v>
      </c>
      <c r="D382">
        <v>486</v>
      </c>
      <c r="E382">
        <v>5</v>
      </c>
      <c r="F382" s="6">
        <v>18383.34</v>
      </c>
      <c r="G382" s="6">
        <v>22243.841</v>
      </c>
      <c r="H382" s="6">
        <f>IF(OR(F382&lt;=0,G382&lt;=0),"",ROUND(G382+F382*Uso!$B$5,Uso!$B$6))</f>
        <v>22795.341</v>
      </c>
      <c r="I382" s="6">
        <f t="shared" si="5"/>
        <v>11397.6705</v>
      </c>
      <c r="J382" t="str">
        <f>IF(COUNTIF(Cruce!$A$5:$A$14,A382)&gt;0,"SKU de muestra","Regla extrapolada")</f>
        <v>Regla extrapolada</v>
      </c>
    </row>
    <row r="383" spans="1:10" ht="30" customHeight="1">
      <c r="A383" t="s">
        <v>824</v>
      </c>
      <c r="B383" s="5" t="s">
        <v>825</v>
      </c>
      <c r="C383">
        <v>2</v>
      </c>
      <c r="D383">
        <v>180</v>
      </c>
      <c r="E383">
        <v>5</v>
      </c>
      <c r="F383" s="6">
        <v>22979.18</v>
      </c>
      <c r="G383" s="6">
        <v>27804.808000000001</v>
      </c>
      <c r="H383" s="6">
        <f>IF(OR(F383&lt;=0,G383&lt;=0),"",ROUND(G383+F383*Uso!$B$5,Uso!$B$6))</f>
        <v>28494.183000000001</v>
      </c>
      <c r="I383" s="6">
        <f t="shared" si="5"/>
        <v>14247.0915</v>
      </c>
      <c r="J383" t="str">
        <f>IF(COUNTIF(Cruce!$A$5:$A$14,A383)&gt;0,"SKU de muestra","Regla extrapolada")</f>
        <v>Regla extrapolada</v>
      </c>
    </row>
    <row r="384" spans="1:10" ht="30" customHeight="1">
      <c r="A384" t="s">
        <v>826</v>
      </c>
      <c r="B384" s="5" t="s">
        <v>827</v>
      </c>
      <c r="C384">
        <v>2</v>
      </c>
      <c r="D384">
        <v>588</v>
      </c>
      <c r="E384">
        <v>5</v>
      </c>
      <c r="F384" s="6">
        <v>19696.439999999999</v>
      </c>
      <c r="G384" s="6">
        <v>23832.691999999999</v>
      </c>
      <c r="H384" s="6">
        <f>IF(OR(F384&lt;=0,G384&lt;=0),"",ROUND(G384+F384*Uso!$B$5,Uso!$B$6))</f>
        <v>24423.584999999999</v>
      </c>
      <c r="I384" s="6">
        <f t="shared" si="5"/>
        <v>12211.7925</v>
      </c>
      <c r="J384" t="str">
        <f>IF(COUNTIF(Cruce!$A$5:$A$14,A384)&gt;0,"SKU de muestra","Regla extrapolada")</f>
        <v>Regla extrapolada</v>
      </c>
    </row>
    <row r="385" spans="1:10" ht="30" customHeight="1">
      <c r="A385" t="s">
        <v>828</v>
      </c>
      <c r="B385" s="5" t="s">
        <v>829</v>
      </c>
      <c r="C385">
        <v>2</v>
      </c>
      <c r="D385">
        <v>492</v>
      </c>
      <c r="E385">
        <v>5</v>
      </c>
      <c r="F385" s="6">
        <v>21009.54</v>
      </c>
      <c r="G385" s="6">
        <v>25421.543000000001</v>
      </c>
      <c r="H385" s="6">
        <f>IF(OR(F385&lt;=0,G385&lt;=0),"",ROUND(G385+F385*Uso!$B$5,Uso!$B$6))</f>
        <v>26051.829000000002</v>
      </c>
      <c r="I385" s="6">
        <f t="shared" si="5"/>
        <v>13025.914500000001</v>
      </c>
      <c r="J385" t="str">
        <f>IF(COUNTIF(Cruce!$A$5:$A$14,A385)&gt;0,"SKU de muestra","Regla extrapolada")</f>
        <v>Regla extrapolada</v>
      </c>
    </row>
    <row r="386" spans="1:10" ht="30" customHeight="1">
      <c r="A386" t="s">
        <v>830</v>
      </c>
      <c r="B386" s="5" t="s">
        <v>831</v>
      </c>
      <c r="C386">
        <v>24</v>
      </c>
      <c r="D386">
        <v>130</v>
      </c>
      <c r="E386">
        <v>5</v>
      </c>
      <c r="F386" s="6">
        <v>25625.119999999999</v>
      </c>
      <c r="G386" s="6">
        <v>32742.334999999999</v>
      </c>
      <c r="H386" s="6">
        <f>IF(OR(F386&lt;=0,G386&lt;=0),"",ROUND(G386+F386*Uso!$B$5,Uso!$B$6))</f>
        <v>33511.089</v>
      </c>
      <c r="I386" s="6">
        <f t="shared" si="5"/>
        <v>1396.2953749999999</v>
      </c>
      <c r="J386" t="str">
        <f>IF(COUNTIF(Cruce!$A$5:$A$14,A386)&gt;0,"SKU de muestra","Regla extrapolada")</f>
        <v>Regla extrapolada</v>
      </c>
    </row>
    <row r="387" spans="1:10" ht="30" customHeight="1">
      <c r="A387" t="s">
        <v>832</v>
      </c>
      <c r="B387" s="5" t="s">
        <v>833</v>
      </c>
      <c r="C387">
        <v>24</v>
      </c>
      <c r="D387">
        <v>130</v>
      </c>
      <c r="E387">
        <v>5</v>
      </c>
      <c r="F387" s="6">
        <v>26359.88</v>
      </c>
      <c r="G387" s="6">
        <v>32753.314999999999</v>
      </c>
      <c r="H387" s="6">
        <f>IF(OR(F387&lt;=0,G387&lt;=0),"",ROUND(G387+F387*Uso!$B$5,Uso!$B$6))</f>
        <v>33544.110999999997</v>
      </c>
      <c r="I387" s="6">
        <f t="shared" si="5"/>
        <v>1397.6712916666665</v>
      </c>
      <c r="J387" t="str">
        <f>IF(COUNTIF(Cruce!$A$5:$A$14,A387)&gt;0,"SKU de muestra","Regla extrapolada")</f>
        <v>Regla extrapolada</v>
      </c>
    </row>
    <row r="388" spans="1:10" ht="30" customHeight="1">
      <c r="A388" t="s">
        <v>834</v>
      </c>
      <c r="B388" s="5" t="s">
        <v>835</v>
      </c>
      <c r="C388">
        <v>24</v>
      </c>
      <c r="D388">
        <v>130</v>
      </c>
      <c r="E388">
        <v>5</v>
      </c>
      <c r="F388" s="6">
        <v>26359.88</v>
      </c>
      <c r="G388" s="6">
        <v>32753.314999999999</v>
      </c>
      <c r="H388" s="6">
        <f>IF(OR(F388&lt;=0,G388&lt;=0),"",ROUND(G388+F388*Uso!$B$5,Uso!$B$6))</f>
        <v>33544.110999999997</v>
      </c>
      <c r="I388" s="6">
        <f t="shared" si="5"/>
        <v>1397.6712916666665</v>
      </c>
      <c r="J388" t="str">
        <f>IF(COUNTIF(Cruce!$A$5:$A$14,A388)&gt;0,"SKU de muestra","Regla extrapolada")</f>
        <v>Regla extrapolada</v>
      </c>
    </row>
    <row r="389" spans="1:10" ht="30" customHeight="1">
      <c r="A389" t="s">
        <v>836</v>
      </c>
      <c r="B389" s="5" t="s">
        <v>837</v>
      </c>
      <c r="C389">
        <v>24</v>
      </c>
      <c r="D389">
        <v>100</v>
      </c>
      <c r="E389">
        <v>5</v>
      </c>
      <c r="F389" s="6">
        <v>59937.61</v>
      </c>
      <c r="G389" s="6">
        <v>80040.457999999999</v>
      </c>
      <c r="H389" s="6">
        <f>IF(OR(F389&lt;=0,G389&lt;=0),"",ROUND(G389+F389*Uso!$B$5,Uso!$B$6))</f>
        <v>81838.585999999996</v>
      </c>
      <c r="I389" s="6">
        <f t="shared" ref="I389:I452" si="6">IF(OR(H389="",C389&lt;=0),"",H389/C389)</f>
        <v>3409.9410833333332</v>
      </c>
      <c r="J389" t="str">
        <f>IF(COUNTIF(Cruce!$A$5:$A$14,A389)&gt;0,"SKU de muestra","Regla extrapolada")</f>
        <v>Regla extrapolada</v>
      </c>
    </row>
    <row r="390" spans="1:10" ht="30" customHeight="1">
      <c r="A390" t="s">
        <v>838</v>
      </c>
      <c r="B390" s="5" t="s">
        <v>839</v>
      </c>
      <c r="C390">
        <v>2</v>
      </c>
      <c r="D390">
        <v>426</v>
      </c>
      <c r="E390">
        <v>5</v>
      </c>
      <c r="F390" s="6">
        <v>15757.15</v>
      </c>
      <c r="G390" s="6">
        <v>19066.151999999998</v>
      </c>
      <c r="H390" s="6">
        <f>IF(OR(F390&lt;=0,G390&lt;=0),"",ROUND(G390+F390*Uso!$B$5,Uso!$B$6))</f>
        <v>19538.866999999998</v>
      </c>
      <c r="I390" s="6">
        <f t="shared" si="6"/>
        <v>9769.4334999999992</v>
      </c>
      <c r="J390" t="str">
        <f>IF(COUNTIF(Cruce!$A$5:$A$14,A390)&gt;0,"SKU de muestra","Regla extrapolada")</f>
        <v>Regla extrapolada</v>
      </c>
    </row>
    <row r="391" spans="1:10" ht="30" customHeight="1">
      <c r="A391" t="s">
        <v>840</v>
      </c>
      <c r="B391" s="5" t="s">
        <v>841</v>
      </c>
      <c r="C391">
        <v>6</v>
      </c>
      <c r="D391">
        <v>120</v>
      </c>
      <c r="E391">
        <v>5</v>
      </c>
      <c r="F391" s="6">
        <v>16379.66</v>
      </c>
      <c r="G391" s="6">
        <v>20865.949000000001</v>
      </c>
      <c r="H391" s="6">
        <f>IF(OR(F391&lt;=0,G391&lt;=0),"",ROUND(G391+F391*Uso!$B$5,Uso!$B$6))</f>
        <v>21357.339</v>
      </c>
      <c r="I391" s="6">
        <f t="shared" si="6"/>
        <v>3559.5565000000001</v>
      </c>
      <c r="J391" t="str">
        <f>IF(COUNTIF(Cruce!$A$5:$A$14,A391)&gt;0,"SKU de muestra","Regla extrapolada")</f>
        <v>Regla extrapolada</v>
      </c>
    </row>
    <row r="392" spans="1:10" ht="30" customHeight="1">
      <c r="A392" t="s">
        <v>57</v>
      </c>
      <c r="B392" s="5" t="s">
        <v>842</v>
      </c>
      <c r="C392">
        <v>8</v>
      </c>
      <c r="D392">
        <v>60</v>
      </c>
      <c r="E392">
        <v>5</v>
      </c>
      <c r="F392" s="6">
        <v>22815.919999999998</v>
      </c>
      <c r="G392" s="6">
        <v>28971.692999999999</v>
      </c>
      <c r="H392" s="6">
        <f>IF(OR(F392&lt;=0,G392&lt;=0),"",ROUND(G392+F392*Uso!$B$5,Uso!$B$6))</f>
        <v>29656.170999999998</v>
      </c>
      <c r="I392" s="6">
        <f t="shared" si="6"/>
        <v>3707.0213749999998</v>
      </c>
      <c r="J392" t="str">
        <f>IF(COUNTIF(Cruce!$A$5:$A$14,A392)&gt;0,"SKU de muestra","Regla extrapolada")</f>
        <v>SKU de muestra</v>
      </c>
    </row>
    <row r="393" spans="1:10" ht="30" customHeight="1">
      <c r="A393" t="s">
        <v>843</v>
      </c>
      <c r="B393" s="5" t="s">
        <v>844</v>
      </c>
      <c r="C393">
        <v>6</v>
      </c>
      <c r="D393">
        <v>60</v>
      </c>
      <c r="E393">
        <v>5</v>
      </c>
      <c r="F393" s="6">
        <v>19141.2</v>
      </c>
      <c r="G393" s="6">
        <v>24255.982</v>
      </c>
      <c r="H393" s="6">
        <f>IF(OR(F393&lt;=0,G393&lt;=0),"",ROUND(G393+F393*Uso!$B$5,Uso!$B$6))</f>
        <v>24830.218000000001</v>
      </c>
      <c r="I393" s="6">
        <f t="shared" si="6"/>
        <v>4138.3696666666665</v>
      </c>
      <c r="J393" t="str">
        <f>IF(COUNTIF(Cruce!$A$5:$A$14,A393)&gt;0,"SKU de muestra","Regla extrapolada")</f>
        <v>Regla extrapolada</v>
      </c>
    </row>
    <row r="394" spans="1:10" ht="30" customHeight="1">
      <c r="A394" t="s">
        <v>845</v>
      </c>
      <c r="B394" s="5" t="s">
        <v>846</v>
      </c>
      <c r="C394">
        <v>24</v>
      </c>
      <c r="D394">
        <v>130</v>
      </c>
      <c r="E394">
        <v>5</v>
      </c>
      <c r="F394" s="6">
        <v>25625.119999999999</v>
      </c>
      <c r="G394" s="6">
        <v>32742.334999999999</v>
      </c>
      <c r="H394" s="6">
        <f>IF(OR(F394&lt;=0,G394&lt;=0),"",ROUND(G394+F394*Uso!$B$5,Uso!$B$6))</f>
        <v>33511.089</v>
      </c>
      <c r="I394" s="6">
        <f t="shared" si="6"/>
        <v>1396.2953749999999</v>
      </c>
      <c r="J394" t="str">
        <f>IF(COUNTIF(Cruce!$A$5:$A$14,A394)&gt;0,"SKU de muestra","Regla extrapolada")</f>
        <v>Regla extrapolada</v>
      </c>
    </row>
    <row r="395" spans="1:10" ht="30" customHeight="1">
      <c r="A395" t="s">
        <v>847</v>
      </c>
      <c r="B395" s="5" t="s">
        <v>848</v>
      </c>
      <c r="C395">
        <v>6</v>
      </c>
      <c r="D395">
        <v>336</v>
      </c>
      <c r="E395">
        <v>5</v>
      </c>
      <c r="F395" s="6">
        <v>7839.01</v>
      </c>
      <c r="G395" s="6">
        <v>10004.752</v>
      </c>
      <c r="H395" s="6">
        <f>IF(OR(F395&lt;=0,G395&lt;=0),"",ROUND(G395+F395*Uso!$B$5,Uso!$B$6))</f>
        <v>10239.922</v>
      </c>
      <c r="I395" s="6">
        <f t="shared" si="6"/>
        <v>1706.6536666666668</v>
      </c>
      <c r="J395" t="str">
        <f>IF(COUNTIF(Cruce!$A$5:$A$14,A395)&gt;0,"SKU de muestra","Regla extrapolada")</f>
        <v>Regla extrapolada</v>
      </c>
    </row>
    <row r="396" spans="1:10" ht="30" customHeight="1">
      <c r="A396" t="s">
        <v>849</v>
      </c>
      <c r="B396" s="5" t="s">
        <v>850</v>
      </c>
      <c r="C396">
        <v>8</v>
      </c>
      <c r="D396">
        <v>60</v>
      </c>
      <c r="E396">
        <v>5</v>
      </c>
      <c r="F396" s="6">
        <v>22815.919999999998</v>
      </c>
      <c r="G396" s="6">
        <v>28971.692999999999</v>
      </c>
      <c r="H396" s="6">
        <f>IF(OR(F396&lt;=0,G396&lt;=0),"",ROUND(G396+F396*Uso!$B$5,Uso!$B$6))</f>
        <v>29656.170999999998</v>
      </c>
      <c r="I396" s="6">
        <f t="shared" si="6"/>
        <v>3707.0213749999998</v>
      </c>
      <c r="J396" t="str">
        <f>IF(COUNTIF(Cruce!$A$5:$A$14,A396)&gt;0,"SKU de muestra","Regla extrapolada")</f>
        <v>Regla extrapolada</v>
      </c>
    </row>
    <row r="397" spans="1:10" ht="30" customHeight="1">
      <c r="A397" t="s">
        <v>851</v>
      </c>
      <c r="B397" s="5" t="s">
        <v>852</v>
      </c>
      <c r="C397">
        <v>6</v>
      </c>
      <c r="D397">
        <v>120</v>
      </c>
      <c r="E397">
        <v>5</v>
      </c>
      <c r="F397" s="6">
        <v>16379.66</v>
      </c>
      <c r="G397" s="6">
        <v>20865.949000000001</v>
      </c>
      <c r="H397" s="6">
        <f>IF(OR(F397&lt;=0,G397&lt;=0),"",ROUND(G397+F397*Uso!$B$5,Uso!$B$6))</f>
        <v>21357.339</v>
      </c>
      <c r="I397" s="6">
        <f t="shared" si="6"/>
        <v>3559.5565000000001</v>
      </c>
      <c r="J397" t="str">
        <f>IF(COUNTIF(Cruce!$A$5:$A$14,A397)&gt;0,"SKU de muestra","Regla extrapolada")</f>
        <v>Regla extrapolada</v>
      </c>
    </row>
    <row r="398" spans="1:10" ht="30" customHeight="1">
      <c r="A398" t="s">
        <v>853</v>
      </c>
      <c r="B398" s="5" t="s">
        <v>854</v>
      </c>
      <c r="C398">
        <v>6</v>
      </c>
      <c r="D398">
        <v>336</v>
      </c>
      <c r="E398">
        <v>5</v>
      </c>
      <c r="F398" s="6">
        <v>7839.01</v>
      </c>
      <c r="G398" s="6">
        <v>10004.742</v>
      </c>
      <c r="H398" s="6">
        <f>IF(OR(F398&lt;=0,G398&lt;=0),"",ROUND(G398+F398*Uso!$B$5,Uso!$B$6))</f>
        <v>10239.912</v>
      </c>
      <c r="I398" s="6">
        <f t="shared" si="6"/>
        <v>1706.652</v>
      </c>
      <c r="J398" t="str">
        <f>IF(COUNTIF(Cruce!$A$5:$A$14,A398)&gt;0,"SKU de muestra","Regla extrapolada")</f>
        <v>Regla extrapolada</v>
      </c>
    </row>
    <row r="399" spans="1:10" ht="30" customHeight="1">
      <c r="A399" t="s">
        <v>855</v>
      </c>
      <c r="B399" s="5" t="s">
        <v>856</v>
      </c>
      <c r="C399">
        <v>24</v>
      </c>
      <c r="D399">
        <v>130</v>
      </c>
      <c r="E399">
        <v>5</v>
      </c>
      <c r="F399" s="6">
        <v>29778.45</v>
      </c>
      <c r="G399" s="6">
        <v>38072.245000000003</v>
      </c>
      <c r="H399" s="6">
        <f>IF(OR(F399&lt;=0,G399&lt;=0),"",ROUND(G399+F399*Uso!$B$5,Uso!$B$6))</f>
        <v>38965.599000000002</v>
      </c>
      <c r="I399" s="6">
        <f t="shared" si="6"/>
        <v>1623.5666250000002</v>
      </c>
      <c r="J399" t="str">
        <f>IF(COUNTIF(Cruce!$A$5:$A$14,A399)&gt;0,"SKU de muestra","Regla extrapolada")</f>
        <v>Regla extrapolada</v>
      </c>
    </row>
    <row r="400" spans="1:10" ht="30" customHeight="1">
      <c r="A400" t="s">
        <v>857</v>
      </c>
      <c r="B400" s="5" t="s">
        <v>858</v>
      </c>
      <c r="C400">
        <v>6</v>
      </c>
      <c r="D400">
        <v>96</v>
      </c>
      <c r="E400">
        <v>5</v>
      </c>
      <c r="F400" s="6">
        <v>13616.88</v>
      </c>
      <c r="G400" s="6">
        <v>17282.064999999999</v>
      </c>
      <c r="H400" s="6">
        <f>IF(OR(F400&lt;=0,G400&lt;=0),"",ROUND(G400+F400*Uso!$B$5,Uso!$B$6))</f>
        <v>17690.571</v>
      </c>
      <c r="I400" s="6">
        <f t="shared" si="6"/>
        <v>2948.4285</v>
      </c>
      <c r="J400" t="str">
        <f>IF(COUNTIF(Cruce!$A$5:$A$14,A400)&gt;0,"SKU de muestra","Regla extrapolada")</f>
        <v>Regla extrapolada</v>
      </c>
    </row>
    <row r="401" spans="1:10" ht="30" customHeight="1">
      <c r="A401" t="s">
        <v>859</v>
      </c>
      <c r="B401" s="5" t="s">
        <v>860</v>
      </c>
      <c r="C401">
        <v>6</v>
      </c>
      <c r="D401">
        <v>96</v>
      </c>
      <c r="E401">
        <v>5</v>
      </c>
      <c r="F401" s="6">
        <v>13616.88</v>
      </c>
      <c r="G401" s="6">
        <v>17282.064999999999</v>
      </c>
      <c r="H401" s="6">
        <f>IF(OR(F401&lt;=0,G401&lt;=0),"",ROUND(G401+F401*Uso!$B$5,Uso!$B$6))</f>
        <v>17690.571</v>
      </c>
      <c r="I401" s="6">
        <f t="shared" si="6"/>
        <v>2948.4285</v>
      </c>
      <c r="J401" t="str">
        <f>IF(COUNTIF(Cruce!$A$5:$A$14,A401)&gt;0,"SKU de muestra","Regla extrapolada")</f>
        <v>Regla extrapolada</v>
      </c>
    </row>
    <row r="402" spans="1:10" ht="30" customHeight="1">
      <c r="A402" t="s">
        <v>861</v>
      </c>
      <c r="B402" s="5" t="s">
        <v>862</v>
      </c>
      <c r="C402">
        <v>6</v>
      </c>
      <c r="D402">
        <v>96</v>
      </c>
      <c r="E402">
        <v>5</v>
      </c>
      <c r="F402" s="6">
        <v>13616.88</v>
      </c>
      <c r="G402" s="6">
        <v>17282.064999999999</v>
      </c>
      <c r="H402" s="6">
        <f>IF(OR(F402&lt;=0,G402&lt;=0),"",ROUND(G402+F402*Uso!$B$5,Uso!$B$6))</f>
        <v>17690.571</v>
      </c>
      <c r="I402" s="6">
        <f t="shared" si="6"/>
        <v>2948.4285</v>
      </c>
      <c r="J402" t="str">
        <f>IF(COUNTIF(Cruce!$A$5:$A$14,A402)&gt;0,"SKU de muestra","Regla extrapolada")</f>
        <v>Regla extrapolada</v>
      </c>
    </row>
    <row r="403" spans="1:10" ht="30" customHeight="1">
      <c r="A403" t="s">
        <v>863</v>
      </c>
      <c r="B403" s="5" t="s">
        <v>864</v>
      </c>
      <c r="C403">
        <v>2</v>
      </c>
      <c r="D403">
        <v>54</v>
      </c>
      <c r="E403">
        <v>5</v>
      </c>
      <c r="F403" s="6">
        <v>9011.44</v>
      </c>
      <c r="G403" s="6">
        <v>10903.842000000001</v>
      </c>
      <c r="H403" s="6">
        <f>IF(OR(F403&lt;=0,G403&lt;=0),"",ROUND(G403+F403*Uso!$B$5,Uso!$B$6))</f>
        <v>11174.184999999999</v>
      </c>
      <c r="I403" s="6">
        <f t="shared" si="6"/>
        <v>5587.0924999999997</v>
      </c>
      <c r="J403" t="str">
        <f>IF(COUNTIF(Cruce!$A$5:$A$14,A403)&gt;0,"SKU de muestra","Regla extrapolada")</f>
        <v>Regla extrapolada</v>
      </c>
    </row>
    <row r="404" spans="1:10" ht="30" customHeight="1">
      <c r="A404" t="s">
        <v>865</v>
      </c>
      <c r="B404" s="5" t="s">
        <v>866</v>
      </c>
      <c r="C404">
        <v>2</v>
      </c>
      <c r="D404">
        <v>54</v>
      </c>
      <c r="E404">
        <v>5</v>
      </c>
      <c r="F404" s="6">
        <v>9191.67</v>
      </c>
      <c r="G404" s="6">
        <v>11121.921</v>
      </c>
      <c r="H404" s="6">
        <f>IF(OR(F404&lt;=0,G404&lt;=0),"",ROUND(G404+F404*Uso!$B$5,Uso!$B$6))</f>
        <v>11397.671</v>
      </c>
      <c r="I404" s="6">
        <f t="shared" si="6"/>
        <v>5698.8355000000001</v>
      </c>
      <c r="J404" t="str">
        <f>IF(COUNTIF(Cruce!$A$5:$A$14,A404)&gt;0,"SKU de muestra","Regla extrapolada")</f>
        <v>Regla extrapolada</v>
      </c>
    </row>
    <row r="405" spans="1:10" ht="30" customHeight="1">
      <c r="A405" t="s">
        <v>867</v>
      </c>
      <c r="B405" s="5" t="s">
        <v>868</v>
      </c>
      <c r="C405">
        <v>6</v>
      </c>
      <c r="D405">
        <v>60</v>
      </c>
      <c r="E405">
        <v>5</v>
      </c>
      <c r="F405" s="6">
        <v>19604.71</v>
      </c>
      <c r="G405" s="6">
        <v>24262.888999999999</v>
      </c>
      <c r="H405" s="6">
        <f>IF(OR(F405&lt;=0,G405&lt;=0),"",ROUND(G405+F405*Uso!$B$5,Uso!$B$6))</f>
        <v>24851.03</v>
      </c>
      <c r="I405" s="6">
        <f t="shared" si="6"/>
        <v>4141.8383333333331</v>
      </c>
      <c r="J405" t="str">
        <f>IF(COUNTIF(Cruce!$A$5:$A$14,A405)&gt;0,"SKU de muestra","Regla extrapolada")</f>
        <v>Regla extrapolada</v>
      </c>
    </row>
    <row r="406" spans="1:10" ht="30" customHeight="1">
      <c r="A406" t="s">
        <v>869</v>
      </c>
      <c r="B406" s="5" t="s">
        <v>870</v>
      </c>
      <c r="C406">
        <v>6</v>
      </c>
      <c r="D406">
        <v>120</v>
      </c>
      <c r="E406">
        <v>5</v>
      </c>
      <c r="F406" s="6">
        <v>17082.990000000002</v>
      </c>
      <c r="G406" s="6">
        <v>21196.748</v>
      </c>
      <c r="H406" s="6">
        <f>IF(OR(F406&lt;=0,G406&lt;=0),"",ROUND(G406+F406*Uso!$B$5,Uso!$B$6))</f>
        <v>21709.238000000001</v>
      </c>
      <c r="I406" s="6">
        <f t="shared" si="6"/>
        <v>3618.2063333333335</v>
      </c>
      <c r="J406" t="str">
        <f>IF(COUNTIF(Cruce!$A$5:$A$14,A406)&gt;0,"SKU de muestra","Regla extrapolada")</f>
        <v>Regla extrapolada</v>
      </c>
    </row>
    <row r="407" spans="1:10" ht="30" customHeight="1">
      <c r="A407" t="s">
        <v>871</v>
      </c>
      <c r="B407" s="5" t="s">
        <v>872</v>
      </c>
      <c r="C407">
        <v>6</v>
      </c>
      <c r="D407">
        <v>336</v>
      </c>
      <c r="E407">
        <v>5</v>
      </c>
      <c r="F407" s="6">
        <v>8058.91</v>
      </c>
      <c r="G407" s="6">
        <v>10008.031000000001</v>
      </c>
      <c r="H407" s="6">
        <f>IF(OR(F407&lt;=0,G407&lt;=0),"",ROUND(G407+F407*Uso!$B$5,Uso!$B$6))</f>
        <v>10249.798000000001</v>
      </c>
      <c r="I407" s="6">
        <f t="shared" si="6"/>
        <v>1708.2996666666668</v>
      </c>
      <c r="J407" t="str">
        <f>IF(COUNTIF(Cruce!$A$5:$A$14,A407)&gt;0,"SKU de muestra","Regla extrapolada")</f>
        <v>Regla extrapolada</v>
      </c>
    </row>
    <row r="408" spans="1:10" ht="30" customHeight="1">
      <c r="A408" t="s">
        <v>873</v>
      </c>
      <c r="B408" s="5" t="s">
        <v>874</v>
      </c>
      <c r="C408">
        <v>8</v>
      </c>
      <c r="D408">
        <v>60</v>
      </c>
      <c r="E408">
        <v>5</v>
      </c>
      <c r="F408" s="6">
        <v>15593.13</v>
      </c>
      <c r="G408" s="6">
        <v>19267.967000000001</v>
      </c>
      <c r="H408" s="6">
        <f>IF(OR(F408&lt;=0,G408&lt;=0),"",ROUND(G408+F408*Uso!$B$5,Uso!$B$6))</f>
        <v>19735.760999999999</v>
      </c>
      <c r="I408" s="6">
        <f t="shared" si="6"/>
        <v>2466.9701249999998</v>
      </c>
      <c r="J408" t="str">
        <f>IF(COUNTIF(Cruce!$A$5:$A$14,A408)&gt;0,"SKU de muestra","Regla extrapolada")</f>
        <v>Regla extrapolada</v>
      </c>
    </row>
    <row r="409" spans="1:10" ht="30" customHeight="1">
      <c r="A409" t="s">
        <v>875</v>
      </c>
      <c r="B409" s="5" t="s">
        <v>876</v>
      </c>
      <c r="C409">
        <v>6</v>
      </c>
      <c r="D409">
        <v>120</v>
      </c>
      <c r="E409">
        <v>5</v>
      </c>
      <c r="F409" s="6">
        <v>17082.990000000002</v>
      </c>
      <c r="G409" s="6">
        <v>21196.748</v>
      </c>
      <c r="H409" s="6">
        <f>IF(OR(F409&lt;=0,G409&lt;=0),"",ROUND(G409+F409*Uso!$B$5,Uso!$B$6))</f>
        <v>21709.238000000001</v>
      </c>
      <c r="I409" s="6">
        <f t="shared" si="6"/>
        <v>3618.2063333333335</v>
      </c>
      <c r="J409" t="str">
        <f>IF(COUNTIF(Cruce!$A$5:$A$14,A409)&gt;0,"SKU de muestra","Regla extrapolada")</f>
        <v>Regla extrapolada</v>
      </c>
    </row>
    <row r="410" spans="1:10" ht="30" customHeight="1">
      <c r="A410" t="s">
        <v>877</v>
      </c>
      <c r="B410" s="5" t="s">
        <v>878</v>
      </c>
      <c r="C410">
        <v>6</v>
      </c>
      <c r="D410">
        <v>140</v>
      </c>
      <c r="E410">
        <v>5</v>
      </c>
      <c r="F410" s="6">
        <v>23326.42</v>
      </c>
      <c r="G410" s="6">
        <v>28224.968000000001</v>
      </c>
      <c r="H410" s="6">
        <f>IF(OR(F410&lt;=0,G410&lt;=0),"",ROUND(G410+F410*Uso!$B$5,Uso!$B$6))</f>
        <v>28924.760999999999</v>
      </c>
      <c r="I410" s="6">
        <f t="shared" si="6"/>
        <v>4820.7934999999998</v>
      </c>
      <c r="J410" t="str">
        <f>IF(COUNTIF(Cruce!$A$5:$A$14,A410)&gt;0,"SKU de muestra","Regla extrapolada")</f>
        <v>Regla extrapolada</v>
      </c>
    </row>
    <row r="411" spans="1:10" ht="30" customHeight="1">
      <c r="A411" t="s">
        <v>879</v>
      </c>
      <c r="B411" s="5" t="s">
        <v>880</v>
      </c>
      <c r="C411">
        <v>24</v>
      </c>
      <c r="D411">
        <v>169</v>
      </c>
      <c r="E411">
        <v>5</v>
      </c>
      <c r="F411" s="6">
        <v>18103.59</v>
      </c>
      <c r="G411" s="6">
        <v>23122.844000000001</v>
      </c>
      <c r="H411" s="6">
        <f>IF(OR(F411&lt;=0,G411&lt;=0),"",ROUND(G411+F411*Uso!$B$5,Uso!$B$6))</f>
        <v>23665.952000000001</v>
      </c>
      <c r="I411" s="6">
        <f t="shared" si="6"/>
        <v>986.08133333333342</v>
      </c>
      <c r="J411" t="str">
        <f>IF(COUNTIF(Cruce!$A$5:$A$14,A411)&gt;0,"SKU de muestra","Regla extrapolada")</f>
        <v>Regla extrapolada</v>
      </c>
    </row>
    <row r="412" spans="1:10" ht="30" customHeight="1">
      <c r="A412" t="s">
        <v>881</v>
      </c>
      <c r="B412" s="5" t="s">
        <v>882</v>
      </c>
      <c r="C412">
        <v>24</v>
      </c>
      <c r="D412">
        <v>169</v>
      </c>
      <c r="E412">
        <v>5</v>
      </c>
      <c r="F412" s="6">
        <v>18103.59</v>
      </c>
      <c r="G412" s="6">
        <v>23122.844000000001</v>
      </c>
      <c r="H412" s="6">
        <f>IF(OR(F412&lt;=0,G412&lt;=0),"",ROUND(G412+F412*Uso!$B$5,Uso!$B$6))</f>
        <v>23665.952000000001</v>
      </c>
      <c r="I412" s="6">
        <f t="shared" si="6"/>
        <v>986.08133333333342</v>
      </c>
      <c r="J412" t="str">
        <f>IF(COUNTIF(Cruce!$A$5:$A$14,A412)&gt;0,"SKU de muestra","Regla extrapolada")</f>
        <v>Regla extrapolada</v>
      </c>
    </row>
    <row r="413" spans="1:10" ht="30" customHeight="1">
      <c r="A413" t="s">
        <v>883</v>
      </c>
      <c r="B413" s="5" t="s">
        <v>884</v>
      </c>
      <c r="C413">
        <v>12</v>
      </c>
      <c r="D413">
        <v>50</v>
      </c>
      <c r="E413">
        <v>5</v>
      </c>
      <c r="F413" s="6">
        <v>35105.769999999997</v>
      </c>
      <c r="G413" s="6">
        <v>46273.122000000003</v>
      </c>
      <c r="H413" s="6">
        <f>IF(OR(F413&lt;=0,G413&lt;=0),"",ROUND(G413+F413*Uso!$B$5,Uso!$B$6))</f>
        <v>47326.294999999998</v>
      </c>
      <c r="I413" s="6">
        <f t="shared" si="6"/>
        <v>3943.8579166666664</v>
      </c>
      <c r="J413" t="str">
        <f>IF(COUNTIF(Cruce!$A$5:$A$14,A413)&gt;0,"SKU de muestra","Regla extrapolada")</f>
        <v>Regla extrapolada</v>
      </c>
    </row>
    <row r="414" spans="1:10" ht="30" customHeight="1">
      <c r="A414" t="s">
        <v>885</v>
      </c>
      <c r="B414" s="5" t="s">
        <v>886</v>
      </c>
      <c r="C414">
        <v>24</v>
      </c>
      <c r="D414">
        <v>100</v>
      </c>
      <c r="E414">
        <v>5</v>
      </c>
      <c r="F414" s="6">
        <v>42269.46</v>
      </c>
      <c r="G414" s="6">
        <v>56342.927000000003</v>
      </c>
      <c r="H414" s="6">
        <f>IF(OR(F414&lt;=0,G414&lt;=0),"",ROUND(G414+F414*Uso!$B$5,Uso!$B$6))</f>
        <v>57611.010999999999</v>
      </c>
      <c r="I414" s="6">
        <f t="shared" si="6"/>
        <v>2400.4587916666665</v>
      </c>
      <c r="J414" t="str">
        <f>IF(COUNTIF(Cruce!$A$5:$A$14,A414)&gt;0,"SKU de muestra","Regla extrapolada")</f>
        <v>Regla extrapolada</v>
      </c>
    </row>
    <row r="415" spans="1:10" ht="30" customHeight="1">
      <c r="A415" t="s">
        <v>887</v>
      </c>
      <c r="B415" s="5" t="s">
        <v>888</v>
      </c>
      <c r="C415">
        <v>16</v>
      </c>
      <c r="D415">
        <v>96</v>
      </c>
      <c r="E415">
        <v>5</v>
      </c>
      <c r="F415" s="6">
        <v>39957.550000000003</v>
      </c>
      <c r="G415" s="6">
        <v>53227.415999999997</v>
      </c>
      <c r="H415" s="6">
        <f>IF(OR(F415&lt;=0,G415&lt;=0),"",ROUND(G415+F415*Uso!$B$5,Uso!$B$6))</f>
        <v>54426.142999999996</v>
      </c>
      <c r="I415" s="6">
        <f t="shared" si="6"/>
        <v>3401.6339374999998</v>
      </c>
      <c r="J415" t="str">
        <f>IF(COUNTIF(Cruce!$A$5:$A$14,A415)&gt;0,"SKU de muestra","Regla extrapolada")</f>
        <v>Regla extrapolada</v>
      </c>
    </row>
    <row r="416" spans="1:10" ht="30" customHeight="1">
      <c r="A416" t="s">
        <v>889</v>
      </c>
      <c r="B416" s="5" t="s">
        <v>890</v>
      </c>
      <c r="C416">
        <v>24</v>
      </c>
      <c r="D416">
        <v>100</v>
      </c>
      <c r="E416">
        <v>5</v>
      </c>
      <c r="F416" s="6">
        <v>28179.97</v>
      </c>
      <c r="G416" s="6">
        <v>34097.764000000003</v>
      </c>
      <c r="H416" s="6">
        <f>IF(OR(F416&lt;=0,G416&lt;=0),"",ROUND(G416+F416*Uso!$B$5,Uso!$B$6))</f>
        <v>34943.163</v>
      </c>
      <c r="I416" s="6">
        <f t="shared" si="6"/>
        <v>1455.9651249999999</v>
      </c>
      <c r="J416" t="str">
        <f>IF(COUNTIF(Cruce!$A$5:$A$14,A416)&gt;0,"SKU de muestra","Regla extrapolada")</f>
        <v>Regla extrapolada</v>
      </c>
    </row>
    <row r="417" spans="1:10" ht="30" customHeight="1">
      <c r="A417" t="s">
        <v>891</v>
      </c>
      <c r="B417" s="5" t="s">
        <v>892</v>
      </c>
      <c r="C417">
        <v>16</v>
      </c>
      <c r="D417">
        <v>96</v>
      </c>
      <c r="E417">
        <v>5</v>
      </c>
      <c r="F417" s="6">
        <v>33688.800000000003</v>
      </c>
      <c r="G417" s="6">
        <v>44819.408000000003</v>
      </c>
      <c r="H417" s="6">
        <f>IF(OR(F417&lt;=0,G417&lt;=0),"",ROUND(G417+F417*Uso!$B$5,Uso!$B$6))</f>
        <v>45830.072</v>
      </c>
      <c r="I417" s="6">
        <f t="shared" si="6"/>
        <v>2864.3795</v>
      </c>
      <c r="J417" t="str">
        <f>IF(COUNTIF(Cruce!$A$5:$A$14,A417)&gt;0,"SKU de muestra","Regla extrapolada")</f>
        <v>Regla extrapolada</v>
      </c>
    </row>
    <row r="418" spans="1:10" ht="30" customHeight="1">
      <c r="A418" t="s">
        <v>893</v>
      </c>
      <c r="B418" s="5" t="s">
        <v>894</v>
      </c>
      <c r="C418">
        <v>1</v>
      </c>
      <c r="D418">
        <v>1</v>
      </c>
      <c r="E418">
        <v>0</v>
      </c>
      <c r="F418" s="6">
        <v>0</v>
      </c>
      <c r="G418" s="6">
        <v>0</v>
      </c>
      <c r="H418" s="6" t="str">
        <f>IF(OR(F418&lt;=0,G418&lt;=0),"",ROUND(G418+F418*Uso!$B$5,Uso!$B$6))</f>
        <v/>
      </c>
      <c r="I418" s="6" t="str">
        <f t="shared" si="6"/>
        <v/>
      </c>
      <c r="J418" t="str">
        <f>IF(COUNTIF(Cruce!$A$5:$A$14,A418)&gt;0,"SKU de muestra","Regla extrapolada")</f>
        <v>Regla extrapolada</v>
      </c>
    </row>
    <row r="419" spans="1:10" ht="30" customHeight="1">
      <c r="A419" t="s">
        <v>895</v>
      </c>
      <c r="B419" s="5" t="s">
        <v>896</v>
      </c>
      <c r="C419">
        <v>1</v>
      </c>
      <c r="D419">
        <v>1</v>
      </c>
      <c r="E419">
        <v>0</v>
      </c>
      <c r="F419" s="6">
        <v>0</v>
      </c>
      <c r="G419" s="6">
        <v>0</v>
      </c>
      <c r="H419" s="6" t="str">
        <f>IF(OR(F419&lt;=0,G419&lt;=0),"",ROUND(G419+F419*Uso!$B$5,Uso!$B$6))</f>
        <v/>
      </c>
      <c r="I419" s="6" t="str">
        <f t="shared" si="6"/>
        <v/>
      </c>
      <c r="J419" t="str">
        <f>IF(COUNTIF(Cruce!$A$5:$A$14,A419)&gt;0,"SKU de muestra","Regla extrapolada")</f>
        <v>Regla extrapolada</v>
      </c>
    </row>
    <row r="420" spans="1:10" ht="30" customHeight="1">
      <c r="A420" t="s">
        <v>897</v>
      </c>
      <c r="B420" s="5" t="s">
        <v>898</v>
      </c>
      <c r="C420">
        <v>6</v>
      </c>
      <c r="D420">
        <v>125</v>
      </c>
      <c r="E420">
        <v>5</v>
      </c>
      <c r="F420" s="6">
        <v>37190.080000000002</v>
      </c>
      <c r="G420" s="6">
        <v>44999.997000000003</v>
      </c>
      <c r="H420" s="6">
        <f>IF(OR(F420&lt;=0,G420&lt;=0),"",ROUND(G420+F420*Uso!$B$5,Uso!$B$6))</f>
        <v>46115.699000000001</v>
      </c>
      <c r="I420" s="6">
        <f t="shared" si="6"/>
        <v>7685.9498333333331</v>
      </c>
      <c r="J420" t="str">
        <f>IF(COUNTIF(Cruce!$A$5:$A$14,A420)&gt;0,"SKU de muestra","Regla extrapolada")</f>
        <v>Regla extrapolada</v>
      </c>
    </row>
    <row r="421" spans="1:10" ht="30" customHeight="1">
      <c r="A421" t="s">
        <v>899</v>
      </c>
      <c r="B421" s="5" t="s">
        <v>900</v>
      </c>
      <c r="C421">
        <v>6</v>
      </c>
      <c r="D421">
        <v>90</v>
      </c>
      <c r="E421">
        <v>5</v>
      </c>
      <c r="F421" s="6">
        <v>46487.6</v>
      </c>
      <c r="G421" s="6">
        <v>56249.995999999999</v>
      </c>
      <c r="H421" s="6">
        <f>IF(OR(F421&lt;=0,G421&lt;=0),"",ROUND(G421+F421*Uso!$B$5,Uso!$B$6))</f>
        <v>57644.624000000003</v>
      </c>
      <c r="I421" s="6">
        <f t="shared" si="6"/>
        <v>9607.4373333333333</v>
      </c>
      <c r="J421" t="str">
        <f>IF(COUNTIF(Cruce!$A$5:$A$14,A421)&gt;0,"SKU de muestra","Regla extrapolada")</f>
        <v>Regla extrapolada</v>
      </c>
    </row>
    <row r="422" spans="1:10" ht="30" customHeight="1">
      <c r="A422" t="s">
        <v>901</v>
      </c>
      <c r="B422" s="5" t="s">
        <v>902</v>
      </c>
      <c r="C422">
        <v>6</v>
      </c>
      <c r="D422">
        <v>125</v>
      </c>
      <c r="E422">
        <v>5</v>
      </c>
      <c r="F422" s="6">
        <v>37190.080000000002</v>
      </c>
      <c r="G422" s="6">
        <v>44999.997000000003</v>
      </c>
      <c r="H422" s="6">
        <f>IF(OR(F422&lt;=0,G422&lt;=0),"",ROUND(G422+F422*Uso!$B$5,Uso!$B$6))</f>
        <v>46115.699000000001</v>
      </c>
      <c r="I422" s="6">
        <f t="shared" si="6"/>
        <v>7685.9498333333331</v>
      </c>
      <c r="J422" t="str">
        <f>IF(COUNTIF(Cruce!$A$5:$A$14,A422)&gt;0,"SKU de muestra","Regla extrapolada")</f>
        <v>Regla extrapolada</v>
      </c>
    </row>
    <row r="423" spans="1:10" ht="30" customHeight="1">
      <c r="A423" t="s">
        <v>903</v>
      </c>
      <c r="B423" s="5" t="s">
        <v>904</v>
      </c>
      <c r="C423">
        <v>24</v>
      </c>
      <c r="D423">
        <v>100</v>
      </c>
      <c r="E423">
        <v>5</v>
      </c>
      <c r="F423" s="6">
        <v>42229.07</v>
      </c>
      <c r="G423" s="6">
        <v>56288.745000000003</v>
      </c>
      <c r="H423" s="6">
        <f>IF(OR(F423&lt;=0,G423&lt;=0),"",ROUND(G423+F423*Uso!$B$5,Uso!$B$6))</f>
        <v>57555.616999999998</v>
      </c>
      <c r="I423" s="6">
        <f t="shared" si="6"/>
        <v>2398.1507083333331</v>
      </c>
      <c r="J423" t="str">
        <f>IF(COUNTIF(Cruce!$A$5:$A$14,A423)&gt;0,"SKU de muestra","Regla extrapolada")</f>
        <v>Regla extrapolada</v>
      </c>
    </row>
    <row r="424" spans="1:10" ht="30" customHeight="1">
      <c r="A424" t="s">
        <v>905</v>
      </c>
      <c r="B424" s="5" t="s">
        <v>906</v>
      </c>
      <c r="C424">
        <v>24</v>
      </c>
      <c r="D424">
        <v>100</v>
      </c>
      <c r="E424">
        <v>5</v>
      </c>
      <c r="F424" s="6">
        <v>58221.89</v>
      </c>
      <c r="G424" s="6">
        <v>77739.236999999994</v>
      </c>
      <c r="H424" s="6">
        <f>IF(OR(F424&lt;=0,G424&lt;=0),"",ROUND(G424+F424*Uso!$B$5,Uso!$B$6))</f>
        <v>79485.894</v>
      </c>
      <c r="I424" s="6">
        <f t="shared" si="6"/>
        <v>3311.9122499999999</v>
      </c>
      <c r="J424" t="str">
        <f>IF(COUNTIF(Cruce!$A$5:$A$14,A424)&gt;0,"SKU de muestra","Regla extrapolada")</f>
        <v>Regla extrapolada</v>
      </c>
    </row>
    <row r="425" spans="1:10" ht="30" customHeight="1">
      <c r="A425" t="s">
        <v>907</v>
      </c>
      <c r="B425" s="5" t="s">
        <v>908</v>
      </c>
      <c r="C425">
        <v>6</v>
      </c>
      <c r="D425">
        <v>140</v>
      </c>
      <c r="E425">
        <v>5</v>
      </c>
      <c r="F425" s="6">
        <v>21430.63</v>
      </c>
      <c r="G425" s="6">
        <v>28493.062000000002</v>
      </c>
      <c r="H425" s="6">
        <f>IF(OR(F425&lt;=0,G425&lt;=0),"",ROUND(G425+F425*Uso!$B$5,Uso!$B$6))</f>
        <v>29135.981</v>
      </c>
      <c r="I425" s="6">
        <f t="shared" si="6"/>
        <v>4855.9968333333336</v>
      </c>
      <c r="J425" t="str">
        <f>IF(COUNTIF(Cruce!$A$5:$A$14,A425)&gt;0,"SKU de muestra","Regla extrapolada")</f>
        <v>Regla extrapolada</v>
      </c>
    </row>
    <row r="426" spans="1:10" ht="30" customHeight="1">
      <c r="A426" t="s">
        <v>909</v>
      </c>
      <c r="B426" s="5" t="s">
        <v>910</v>
      </c>
      <c r="C426">
        <v>20</v>
      </c>
      <c r="D426">
        <v>16</v>
      </c>
      <c r="E426">
        <v>5</v>
      </c>
      <c r="F426" s="6">
        <v>411951.68</v>
      </c>
      <c r="G426" s="6">
        <v>498461.533</v>
      </c>
      <c r="H426" s="6">
        <f>IF(OR(F426&lt;=0,G426&lt;=0),"",ROUND(G426+F426*Uso!$B$5,Uso!$B$6))</f>
        <v>510820.08299999998</v>
      </c>
      <c r="I426" s="6">
        <f t="shared" si="6"/>
        <v>25541.004150000001</v>
      </c>
      <c r="J426" t="str">
        <f>IF(COUNTIF(Cruce!$A$5:$A$14,A426)&gt;0,"SKU de muestra","Regla extrapolada")</f>
        <v>Regla extrapolada</v>
      </c>
    </row>
    <row r="427" spans="1:10" ht="30" customHeight="1">
      <c r="A427" t="s">
        <v>60</v>
      </c>
      <c r="B427" s="5" t="s">
        <v>911</v>
      </c>
      <c r="C427">
        <v>16</v>
      </c>
      <c r="D427">
        <v>96</v>
      </c>
      <c r="E427">
        <v>5</v>
      </c>
      <c r="F427" s="6">
        <v>32764.35</v>
      </c>
      <c r="G427" s="6">
        <v>43579.483999999997</v>
      </c>
      <c r="H427" s="6">
        <f>IF(OR(F427&lt;=0,G427&lt;=0),"",ROUND(G427+F427*Uso!$B$5,Uso!$B$6))</f>
        <v>44562.415000000001</v>
      </c>
      <c r="I427" s="6">
        <f t="shared" si="6"/>
        <v>2785.1509375000001</v>
      </c>
      <c r="J427" t="str">
        <f>IF(COUNTIF(Cruce!$A$5:$A$14,A427)&gt;0,"SKU de muestra","Regla extrapolada")</f>
        <v>SKU de muestra</v>
      </c>
    </row>
    <row r="428" spans="1:10" ht="30" customHeight="1">
      <c r="A428" t="s">
        <v>912</v>
      </c>
      <c r="B428" s="5" t="s">
        <v>913</v>
      </c>
      <c r="C428">
        <v>1</v>
      </c>
      <c r="D428">
        <v>1</v>
      </c>
      <c r="E428">
        <v>0</v>
      </c>
      <c r="F428" s="6">
        <v>0</v>
      </c>
      <c r="G428" s="6">
        <v>0</v>
      </c>
      <c r="H428" s="6" t="str">
        <f>IF(OR(F428&lt;=0,G428&lt;=0),"",ROUND(G428+F428*Uso!$B$5,Uso!$B$6))</f>
        <v/>
      </c>
      <c r="I428" s="6" t="str">
        <f t="shared" si="6"/>
        <v/>
      </c>
      <c r="J428" t="str">
        <f>IF(COUNTIF(Cruce!$A$5:$A$14,A428)&gt;0,"SKU de muestra","Regla extrapolada")</f>
        <v>Regla extrapolada</v>
      </c>
    </row>
    <row r="429" spans="1:10" ht="30" customHeight="1">
      <c r="A429" t="s">
        <v>914</v>
      </c>
      <c r="B429" s="5" t="s">
        <v>915</v>
      </c>
      <c r="C429">
        <v>1</v>
      </c>
      <c r="D429">
        <v>1</v>
      </c>
      <c r="E429">
        <v>0</v>
      </c>
      <c r="F429" s="6">
        <v>0</v>
      </c>
      <c r="G429" s="6">
        <v>0</v>
      </c>
      <c r="H429" s="6" t="str">
        <f>IF(OR(F429&lt;=0,G429&lt;=0),"",ROUND(G429+F429*Uso!$B$5,Uso!$B$6))</f>
        <v/>
      </c>
      <c r="I429" s="6" t="str">
        <f t="shared" si="6"/>
        <v/>
      </c>
      <c r="J429" t="str">
        <f>IF(COUNTIF(Cruce!$A$5:$A$14,A429)&gt;0,"SKU de muestra","Regla extrapolada")</f>
        <v>Regla extrapolada</v>
      </c>
    </row>
    <row r="430" spans="1:10" ht="30" customHeight="1">
      <c r="A430" t="s">
        <v>916</v>
      </c>
      <c r="B430" s="5" t="s">
        <v>917</v>
      </c>
      <c r="C430">
        <v>1</v>
      </c>
      <c r="D430">
        <v>1</v>
      </c>
      <c r="E430">
        <v>0</v>
      </c>
      <c r="F430" s="6">
        <v>0</v>
      </c>
      <c r="G430" s="6">
        <v>0</v>
      </c>
      <c r="H430" s="6" t="str">
        <f>IF(OR(F430&lt;=0,G430&lt;=0),"",ROUND(G430+F430*Uso!$B$5,Uso!$B$6))</f>
        <v/>
      </c>
      <c r="I430" s="6" t="str">
        <f t="shared" si="6"/>
        <v/>
      </c>
      <c r="J430" t="str">
        <f>IF(COUNTIF(Cruce!$A$5:$A$14,A430)&gt;0,"SKU de muestra","Regla extrapolada")</f>
        <v>Regla extrapolada</v>
      </c>
    </row>
    <row r="431" spans="1:10" ht="30" customHeight="1">
      <c r="A431" t="s">
        <v>918</v>
      </c>
      <c r="B431" s="5" t="s">
        <v>919</v>
      </c>
      <c r="C431">
        <v>1</v>
      </c>
      <c r="D431">
        <v>1</v>
      </c>
      <c r="E431">
        <v>0</v>
      </c>
      <c r="F431" s="6">
        <v>0</v>
      </c>
      <c r="G431" s="6">
        <v>0</v>
      </c>
      <c r="H431" s="6" t="str">
        <f>IF(OR(F431&lt;=0,G431&lt;=0),"",ROUND(G431+F431*Uso!$B$5,Uso!$B$6))</f>
        <v/>
      </c>
      <c r="I431" s="6" t="str">
        <f t="shared" si="6"/>
        <v/>
      </c>
      <c r="J431" t="str">
        <f>IF(COUNTIF(Cruce!$A$5:$A$14,A431)&gt;0,"SKU de muestra","Regla extrapolada")</f>
        <v>Regla extrapolada</v>
      </c>
    </row>
    <row r="432" spans="1:10" ht="30" customHeight="1">
      <c r="A432" t="s">
        <v>920</v>
      </c>
      <c r="B432" s="5" t="s">
        <v>921</v>
      </c>
      <c r="C432">
        <v>1</v>
      </c>
      <c r="D432">
        <v>1</v>
      </c>
      <c r="E432">
        <v>0</v>
      </c>
      <c r="F432" s="6">
        <v>0</v>
      </c>
      <c r="G432" s="6">
        <v>0</v>
      </c>
      <c r="H432" s="6" t="str">
        <f>IF(OR(F432&lt;=0,G432&lt;=0),"",ROUND(G432+F432*Uso!$B$5,Uso!$B$6))</f>
        <v/>
      </c>
      <c r="I432" s="6" t="str">
        <f t="shared" si="6"/>
        <v/>
      </c>
      <c r="J432" t="str">
        <f>IF(COUNTIF(Cruce!$A$5:$A$14,A432)&gt;0,"SKU de muestra","Regla extrapolada")</f>
        <v>Regla extrapolada</v>
      </c>
    </row>
    <row r="433" spans="1:10" ht="30" customHeight="1">
      <c r="A433" t="s">
        <v>922</v>
      </c>
      <c r="B433" s="5" t="s">
        <v>923</v>
      </c>
      <c r="C433">
        <v>24</v>
      </c>
      <c r="D433">
        <v>100</v>
      </c>
      <c r="E433">
        <v>5</v>
      </c>
      <c r="F433" s="6">
        <v>37847.57</v>
      </c>
      <c r="G433" s="6">
        <v>50412.03</v>
      </c>
      <c r="H433" s="6">
        <f>IF(OR(F433&lt;=0,G433&lt;=0),"",ROUND(G433+F433*Uso!$B$5,Uso!$B$6))</f>
        <v>51547.457000000002</v>
      </c>
      <c r="I433" s="6">
        <f t="shared" si="6"/>
        <v>2147.8107083333334</v>
      </c>
      <c r="J433" t="str">
        <f>IF(COUNTIF(Cruce!$A$5:$A$14,A433)&gt;0,"SKU de muestra","Regla extrapolada")</f>
        <v>Regla extrapolada</v>
      </c>
    </row>
    <row r="434" spans="1:10" ht="30" customHeight="1">
      <c r="A434" t="s">
        <v>924</v>
      </c>
      <c r="B434" s="5" t="s">
        <v>925</v>
      </c>
      <c r="C434">
        <v>8</v>
      </c>
      <c r="D434">
        <v>60</v>
      </c>
      <c r="E434">
        <v>5</v>
      </c>
      <c r="F434" s="6">
        <v>21031.06</v>
      </c>
      <c r="G434" s="6">
        <v>26681.213</v>
      </c>
      <c r="H434" s="6">
        <f>IF(OR(F434&lt;=0,G434&lt;=0),"",ROUND(G434+F434*Uso!$B$5,Uso!$B$6))</f>
        <v>27312.145</v>
      </c>
      <c r="I434" s="6">
        <f t="shared" si="6"/>
        <v>3414.0181250000001</v>
      </c>
      <c r="J434" t="str">
        <f>IF(COUNTIF(Cruce!$A$5:$A$14,A434)&gt;0,"SKU de muestra","Regla extrapolada")</f>
        <v>Regla extrapolada</v>
      </c>
    </row>
    <row r="435" spans="1:10" ht="30" customHeight="1">
      <c r="A435" t="s">
        <v>926</v>
      </c>
      <c r="B435" s="5" t="s">
        <v>927</v>
      </c>
      <c r="C435">
        <v>8</v>
      </c>
      <c r="D435">
        <v>60</v>
      </c>
      <c r="E435">
        <v>5</v>
      </c>
      <c r="F435" s="6">
        <v>21031.06</v>
      </c>
      <c r="G435" s="6">
        <v>26681.213</v>
      </c>
      <c r="H435" s="6">
        <f>IF(OR(F435&lt;=0,G435&lt;=0),"",ROUND(G435+F435*Uso!$B$5,Uso!$B$6))</f>
        <v>27312.145</v>
      </c>
      <c r="I435" s="6">
        <f t="shared" si="6"/>
        <v>3414.0181250000001</v>
      </c>
      <c r="J435" t="str">
        <f>IF(COUNTIF(Cruce!$A$5:$A$14,A435)&gt;0,"SKU de muestra","Regla extrapolada")</f>
        <v>Regla extrapolada</v>
      </c>
    </row>
    <row r="436" spans="1:10" ht="30" customHeight="1">
      <c r="A436" t="s">
        <v>928</v>
      </c>
      <c r="B436" s="5" t="s">
        <v>929</v>
      </c>
      <c r="C436">
        <v>8</v>
      </c>
      <c r="D436">
        <v>60</v>
      </c>
      <c r="E436">
        <v>5</v>
      </c>
      <c r="F436" s="6">
        <v>21031.06</v>
      </c>
      <c r="G436" s="6">
        <v>26681.213</v>
      </c>
      <c r="H436" s="6">
        <f>IF(OR(F436&lt;=0,G436&lt;=0),"",ROUND(G436+F436*Uso!$B$5,Uso!$B$6))</f>
        <v>27312.145</v>
      </c>
      <c r="I436" s="6">
        <f t="shared" si="6"/>
        <v>3414.0181250000001</v>
      </c>
      <c r="J436" t="str">
        <f>IF(COUNTIF(Cruce!$A$5:$A$14,A436)&gt;0,"SKU de muestra","Regla extrapolada")</f>
        <v>Regla extrapolada</v>
      </c>
    </row>
    <row r="437" spans="1:10" ht="30" customHeight="1">
      <c r="A437" t="s">
        <v>930</v>
      </c>
      <c r="B437" s="5" t="s">
        <v>931</v>
      </c>
      <c r="C437">
        <v>6</v>
      </c>
      <c r="D437">
        <v>140</v>
      </c>
      <c r="E437">
        <v>5</v>
      </c>
      <c r="F437" s="6">
        <v>31432.98</v>
      </c>
      <c r="G437" s="6">
        <v>42881.156000000003</v>
      </c>
      <c r="H437" s="6">
        <f>IF(OR(F437&lt;=0,G437&lt;=0),"",ROUND(G437+F437*Uso!$B$5,Uso!$B$6))</f>
        <v>43824.144999999997</v>
      </c>
      <c r="I437" s="6">
        <f t="shared" si="6"/>
        <v>7304.0241666666661</v>
      </c>
      <c r="J437" t="str">
        <f>IF(COUNTIF(Cruce!$A$5:$A$14,A437)&gt;0,"SKU de muestra","Regla extrapolada")</f>
        <v>Regla extrapolada</v>
      </c>
    </row>
    <row r="438" spans="1:10" ht="30" customHeight="1">
      <c r="A438" t="s">
        <v>932</v>
      </c>
      <c r="B438" s="5" t="s">
        <v>933</v>
      </c>
      <c r="C438">
        <v>6</v>
      </c>
      <c r="D438">
        <v>140</v>
      </c>
      <c r="E438">
        <v>5</v>
      </c>
      <c r="F438" s="6">
        <v>28450.74</v>
      </c>
      <c r="G438" s="6">
        <v>40817.004999999997</v>
      </c>
      <c r="H438" s="6">
        <f>IF(OR(F438&lt;=0,G438&lt;=0),"",ROUND(G438+F438*Uso!$B$5,Uso!$B$6))</f>
        <v>41670.527000000002</v>
      </c>
      <c r="I438" s="6">
        <f t="shared" si="6"/>
        <v>6945.0878333333339</v>
      </c>
      <c r="J438" t="str">
        <f>IF(COUNTIF(Cruce!$A$5:$A$14,A438)&gt;0,"SKU de muestra","Regla extrapolada")</f>
        <v>Regla extrapolada</v>
      </c>
    </row>
    <row r="439" spans="1:10" ht="30" customHeight="1">
      <c r="A439" t="s">
        <v>934</v>
      </c>
      <c r="B439" s="5" t="s">
        <v>935</v>
      </c>
      <c r="C439">
        <v>6</v>
      </c>
      <c r="D439">
        <v>80</v>
      </c>
      <c r="E439">
        <v>5</v>
      </c>
      <c r="F439" s="6">
        <v>109957.68</v>
      </c>
      <c r="G439" s="6">
        <v>163181.04300000001</v>
      </c>
      <c r="H439" s="6">
        <f>IF(OR(F439&lt;=0,G439&lt;=0),"",ROUND(G439+F439*Uso!$B$5,Uso!$B$6))</f>
        <v>166479.77299999999</v>
      </c>
      <c r="I439" s="6">
        <f t="shared" si="6"/>
        <v>27746.628833333332</v>
      </c>
      <c r="J439" t="str">
        <f>IF(COUNTIF(Cruce!$A$5:$A$14,A439)&gt;0,"SKU de muestra","Regla extrapolada")</f>
        <v>Regla extrapolada</v>
      </c>
    </row>
    <row r="440" spans="1:10" ht="30" customHeight="1">
      <c r="A440" t="s">
        <v>936</v>
      </c>
      <c r="B440" s="5" t="s">
        <v>937</v>
      </c>
      <c r="C440">
        <v>1</v>
      </c>
      <c r="D440">
        <v>1</v>
      </c>
      <c r="E440">
        <v>0</v>
      </c>
      <c r="F440" s="6">
        <v>0</v>
      </c>
      <c r="G440" s="6">
        <v>0</v>
      </c>
      <c r="H440" s="6" t="str">
        <f>IF(OR(F440&lt;=0,G440&lt;=0),"",ROUND(G440+F440*Uso!$B$5,Uso!$B$6))</f>
        <v/>
      </c>
      <c r="I440" s="6" t="str">
        <f t="shared" si="6"/>
        <v/>
      </c>
      <c r="J440" t="str">
        <f>IF(COUNTIF(Cruce!$A$5:$A$14,A440)&gt;0,"SKU de muestra","Regla extrapolada")</f>
        <v>Regla extrapolada</v>
      </c>
    </row>
    <row r="441" spans="1:10" ht="30" customHeight="1">
      <c r="A441" t="s">
        <v>938</v>
      </c>
      <c r="B441" s="5" t="s">
        <v>939</v>
      </c>
      <c r="C441">
        <v>1</v>
      </c>
      <c r="D441">
        <v>1</v>
      </c>
      <c r="E441">
        <v>0</v>
      </c>
      <c r="F441" s="6">
        <v>0</v>
      </c>
      <c r="G441" s="6">
        <v>0</v>
      </c>
      <c r="H441" s="6" t="str">
        <f>IF(OR(F441&lt;=0,G441&lt;=0),"",ROUND(G441+F441*Uso!$B$5,Uso!$B$6))</f>
        <v/>
      </c>
      <c r="I441" s="6" t="str">
        <f t="shared" si="6"/>
        <v/>
      </c>
      <c r="J441" t="str">
        <f>IF(COUNTIF(Cruce!$A$5:$A$14,A441)&gt;0,"SKU de muestra","Regla extrapolada")</f>
        <v>Regla extrapolada</v>
      </c>
    </row>
    <row r="442" spans="1:10" ht="30" customHeight="1">
      <c r="A442" t="s">
        <v>940</v>
      </c>
      <c r="B442" s="5" t="s">
        <v>941</v>
      </c>
      <c r="C442">
        <v>1</v>
      </c>
      <c r="D442">
        <v>1</v>
      </c>
      <c r="E442">
        <v>0</v>
      </c>
      <c r="F442" s="6">
        <v>0</v>
      </c>
      <c r="G442" s="6">
        <v>0</v>
      </c>
      <c r="H442" s="6" t="str">
        <f>IF(OR(F442&lt;=0,G442&lt;=0),"",ROUND(G442+F442*Uso!$B$5,Uso!$B$6))</f>
        <v/>
      </c>
      <c r="I442" s="6" t="str">
        <f t="shared" si="6"/>
        <v/>
      </c>
      <c r="J442" t="str">
        <f>IF(COUNTIF(Cruce!$A$5:$A$14,A442)&gt;0,"SKU de muestra","Regla extrapolada")</f>
        <v>Regla extrapolada</v>
      </c>
    </row>
    <row r="443" spans="1:10" ht="30" customHeight="1">
      <c r="A443" t="s">
        <v>942</v>
      </c>
      <c r="B443" s="5" t="s">
        <v>943</v>
      </c>
      <c r="C443">
        <v>1</v>
      </c>
      <c r="D443">
        <v>1</v>
      </c>
      <c r="E443">
        <v>0</v>
      </c>
      <c r="F443" s="6">
        <v>0</v>
      </c>
      <c r="G443" s="6">
        <v>0</v>
      </c>
      <c r="H443" s="6" t="str">
        <f>IF(OR(F443&lt;=0,G443&lt;=0),"",ROUND(G443+F443*Uso!$B$5,Uso!$B$6))</f>
        <v/>
      </c>
      <c r="I443" s="6" t="str">
        <f t="shared" si="6"/>
        <v/>
      </c>
      <c r="J443" t="str">
        <f>IF(COUNTIF(Cruce!$A$5:$A$14,A443)&gt;0,"SKU de muestra","Regla extrapolada")</f>
        <v>Regla extrapolada</v>
      </c>
    </row>
    <row r="444" spans="1:10" ht="30" customHeight="1">
      <c r="A444" t="s">
        <v>944</v>
      </c>
      <c r="B444" s="5" t="s">
        <v>945</v>
      </c>
      <c r="C444">
        <v>1</v>
      </c>
      <c r="D444">
        <v>1</v>
      </c>
      <c r="E444">
        <v>0</v>
      </c>
      <c r="F444" s="6">
        <v>0</v>
      </c>
      <c r="G444" s="6">
        <v>0</v>
      </c>
      <c r="H444" s="6" t="str">
        <f>IF(OR(F444&lt;=0,G444&lt;=0),"",ROUND(G444+F444*Uso!$B$5,Uso!$B$6))</f>
        <v/>
      </c>
      <c r="I444" s="6" t="str">
        <f t="shared" si="6"/>
        <v/>
      </c>
      <c r="J444" t="str">
        <f>IF(COUNTIF(Cruce!$A$5:$A$14,A444)&gt;0,"SKU de muestra","Regla extrapolada")</f>
        <v>Regla extrapolada</v>
      </c>
    </row>
    <row r="445" spans="1:10" ht="30" customHeight="1">
      <c r="A445" t="s">
        <v>946</v>
      </c>
      <c r="B445" s="5" t="s">
        <v>947</v>
      </c>
      <c r="C445">
        <v>1</v>
      </c>
      <c r="D445">
        <v>1</v>
      </c>
      <c r="E445">
        <v>0</v>
      </c>
      <c r="F445" s="6">
        <v>0</v>
      </c>
      <c r="G445" s="6">
        <v>0</v>
      </c>
      <c r="H445" s="6" t="str">
        <f>IF(OR(F445&lt;=0,G445&lt;=0),"",ROUND(G445+F445*Uso!$B$5,Uso!$B$6))</f>
        <v/>
      </c>
      <c r="I445" s="6" t="str">
        <f t="shared" si="6"/>
        <v/>
      </c>
      <c r="J445" t="str">
        <f>IF(COUNTIF(Cruce!$A$5:$A$14,A445)&gt;0,"SKU de muestra","Regla extrapolada")</f>
        <v>Regla extrapolada</v>
      </c>
    </row>
    <row r="446" spans="1:10" ht="30" customHeight="1">
      <c r="A446" t="s">
        <v>948</v>
      </c>
      <c r="B446" s="5" t="s">
        <v>949</v>
      </c>
      <c r="C446">
        <v>1</v>
      </c>
      <c r="D446">
        <v>1</v>
      </c>
      <c r="E446">
        <v>0</v>
      </c>
      <c r="F446" s="6">
        <v>0</v>
      </c>
      <c r="G446" s="6">
        <v>0</v>
      </c>
      <c r="H446" s="6" t="str">
        <f>IF(OR(F446&lt;=0,G446&lt;=0),"",ROUND(G446+F446*Uso!$B$5,Uso!$B$6))</f>
        <v/>
      </c>
      <c r="I446" s="6" t="str">
        <f t="shared" si="6"/>
        <v/>
      </c>
      <c r="J446" t="str">
        <f>IF(COUNTIF(Cruce!$A$5:$A$14,A446)&gt;0,"SKU de muestra","Regla extrapolada")</f>
        <v>Regla extrapolada</v>
      </c>
    </row>
    <row r="447" spans="1:10" ht="30" customHeight="1">
      <c r="A447" t="s">
        <v>950</v>
      </c>
      <c r="B447" s="5" t="s">
        <v>951</v>
      </c>
      <c r="C447">
        <v>8</v>
      </c>
      <c r="D447">
        <v>50</v>
      </c>
      <c r="E447">
        <v>5</v>
      </c>
      <c r="F447" s="6">
        <v>257469.8</v>
      </c>
      <c r="G447" s="6">
        <v>311538.45799999998</v>
      </c>
      <c r="H447" s="6">
        <f>IF(OR(F447&lt;=0,G447&lt;=0),"",ROUND(G447+F447*Uso!$B$5,Uso!$B$6))</f>
        <v>319262.55200000003</v>
      </c>
      <c r="I447" s="6">
        <f t="shared" si="6"/>
        <v>39907.819000000003</v>
      </c>
      <c r="J447" t="str">
        <f>IF(COUNTIF(Cruce!$A$5:$A$14,A447)&gt;0,"SKU de muestra","Regla extrapolada")</f>
        <v>Regla extrapolada</v>
      </c>
    </row>
    <row r="448" spans="1:10" ht="30" customHeight="1">
      <c r="A448" t="s">
        <v>952</v>
      </c>
      <c r="B448" s="5" t="s">
        <v>953</v>
      </c>
      <c r="C448">
        <v>2</v>
      </c>
      <c r="D448">
        <v>96</v>
      </c>
      <c r="E448">
        <v>5</v>
      </c>
      <c r="F448" s="6">
        <v>7865.42</v>
      </c>
      <c r="G448" s="6">
        <v>9517.1579999999994</v>
      </c>
      <c r="H448" s="6">
        <f>IF(OR(F448&lt;=0,G448&lt;=0),"",ROUND(G448+F448*Uso!$B$5,Uso!$B$6))</f>
        <v>9753.1209999999992</v>
      </c>
      <c r="I448" s="6">
        <f t="shared" si="6"/>
        <v>4876.5604999999996</v>
      </c>
      <c r="J448" t="str">
        <f>IF(COUNTIF(Cruce!$A$5:$A$14,A448)&gt;0,"SKU de muestra","Regla extrapolada")</f>
        <v>Regla extrapolada</v>
      </c>
    </row>
    <row r="449" spans="1:10" ht="30" customHeight="1">
      <c r="A449" t="s">
        <v>954</v>
      </c>
      <c r="B449" s="5" t="s">
        <v>955</v>
      </c>
      <c r="C449">
        <v>24</v>
      </c>
      <c r="D449">
        <v>84</v>
      </c>
      <c r="E449">
        <v>5</v>
      </c>
      <c r="F449" s="6">
        <v>46222.54</v>
      </c>
      <c r="G449" s="6">
        <v>55929.273000000001</v>
      </c>
      <c r="H449" s="6">
        <f>IF(OR(F449&lt;=0,G449&lt;=0),"",ROUND(G449+F449*Uso!$B$5,Uso!$B$6))</f>
        <v>57315.949000000001</v>
      </c>
      <c r="I449" s="6">
        <f t="shared" si="6"/>
        <v>2388.1645416666665</v>
      </c>
      <c r="J449" t="str">
        <f>IF(COUNTIF(Cruce!$A$5:$A$14,A449)&gt;0,"SKU de muestra","Regla extrapolada")</f>
        <v>Regla extrapolada</v>
      </c>
    </row>
    <row r="450" spans="1:10" ht="30" customHeight="1">
      <c r="A450" t="s">
        <v>956</v>
      </c>
      <c r="B450" s="5" t="s">
        <v>957</v>
      </c>
      <c r="C450">
        <v>10</v>
      </c>
      <c r="D450">
        <v>36</v>
      </c>
      <c r="E450">
        <v>5</v>
      </c>
      <c r="F450" s="6">
        <v>289653.53000000003</v>
      </c>
      <c r="G450" s="6">
        <v>350480.77100000001</v>
      </c>
      <c r="H450" s="6">
        <f>IF(OR(F450&lt;=0,G450&lt;=0),"",ROUND(G450+F450*Uso!$B$5,Uso!$B$6))</f>
        <v>359170.37699999998</v>
      </c>
      <c r="I450" s="6">
        <f t="shared" si="6"/>
        <v>35917.037700000001</v>
      </c>
      <c r="J450" t="str">
        <f>IF(COUNTIF(Cruce!$A$5:$A$14,A450)&gt;0,"SKU de muestra","Regla extrapolada")</f>
        <v>Regla extrapolada</v>
      </c>
    </row>
    <row r="451" spans="1:10" ht="30" customHeight="1">
      <c r="A451" t="s">
        <v>958</v>
      </c>
      <c r="B451" s="5" t="s">
        <v>959</v>
      </c>
      <c r="C451">
        <v>12</v>
      </c>
      <c r="D451">
        <v>75</v>
      </c>
      <c r="E451">
        <v>5</v>
      </c>
      <c r="F451" s="6">
        <v>19847.46</v>
      </c>
      <c r="G451" s="6">
        <v>24015.427</v>
      </c>
      <c r="H451" s="6">
        <f>IF(OR(F451&lt;=0,G451&lt;=0),"",ROUND(G451+F451*Uso!$B$5,Uso!$B$6))</f>
        <v>24610.850999999999</v>
      </c>
      <c r="I451" s="6">
        <f t="shared" si="6"/>
        <v>2050.90425</v>
      </c>
      <c r="J451" t="str">
        <f>IF(COUNTIF(Cruce!$A$5:$A$14,A451)&gt;0,"SKU de muestra","Regla extrapolada")</f>
        <v>Regla extrapolada</v>
      </c>
    </row>
    <row r="452" spans="1:10" ht="30" customHeight="1">
      <c r="A452" t="s">
        <v>960</v>
      </c>
      <c r="B452" s="5" t="s">
        <v>961</v>
      </c>
      <c r="C452">
        <v>12</v>
      </c>
      <c r="D452">
        <v>75</v>
      </c>
      <c r="E452">
        <v>5</v>
      </c>
      <c r="F452" s="6">
        <v>19847.46</v>
      </c>
      <c r="G452" s="6">
        <v>24015.427</v>
      </c>
      <c r="H452" s="6">
        <f>IF(OR(F452&lt;=0,G452&lt;=0),"",ROUND(G452+F452*Uso!$B$5,Uso!$B$6))</f>
        <v>24610.850999999999</v>
      </c>
      <c r="I452" s="6">
        <f t="shared" si="6"/>
        <v>2050.90425</v>
      </c>
      <c r="J452" t="str">
        <f>IF(COUNTIF(Cruce!$A$5:$A$14,A452)&gt;0,"SKU de muestra","Regla extrapolada")</f>
        <v>Regla extrapolada</v>
      </c>
    </row>
    <row r="453" spans="1:10" ht="30" customHeight="1">
      <c r="A453" t="s">
        <v>962</v>
      </c>
      <c r="B453" s="5" t="s">
        <v>963</v>
      </c>
      <c r="C453">
        <v>12</v>
      </c>
      <c r="D453">
        <v>75</v>
      </c>
      <c r="E453">
        <v>5</v>
      </c>
      <c r="F453" s="6">
        <v>19847.46</v>
      </c>
      <c r="G453" s="6">
        <v>24015.427</v>
      </c>
      <c r="H453" s="6">
        <f>IF(OR(F453&lt;=0,G453&lt;=0),"",ROUND(G453+F453*Uso!$B$5,Uso!$B$6))</f>
        <v>24610.850999999999</v>
      </c>
      <c r="I453" s="6">
        <f t="shared" ref="I453:I516" si="7">IF(OR(H453="",C453&lt;=0),"",H453/C453)</f>
        <v>2050.90425</v>
      </c>
      <c r="J453" t="str">
        <f>IF(COUNTIF(Cruce!$A$5:$A$14,A453)&gt;0,"SKU de muestra","Regla extrapolada")</f>
        <v>Regla extrapolada</v>
      </c>
    </row>
    <row r="454" spans="1:10" ht="30" customHeight="1">
      <c r="A454" t="s">
        <v>964</v>
      </c>
      <c r="B454" s="5" t="s">
        <v>965</v>
      </c>
      <c r="C454">
        <v>12</v>
      </c>
      <c r="D454">
        <v>75</v>
      </c>
      <c r="E454">
        <v>5</v>
      </c>
      <c r="F454" s="6">
        <v>19847.46</v>
      </c>
      <c r="G454" s="6">
        <v>24015.427</v>
      </c>
      <c r="H454" s="6">
        <f>IF(OR(F454&lt;=0,G454&lt;=0),"",ROUND(G454+F454*Uso!$B$5,Uso!$B$6))</f>
        <v>24610.850999999999</v>
      </c>
      <c r="I454" s="6">
        <f t="shared" si="7"/>
        <v>2050.90425</v>
      </c>
      <c r="J454" t="str">
        <f>IF(COUNTIF(Cruce!$A$5:$A$14,A454)&gt;0,"SKU de muestra","Regla extrapolada")</f>
        <v>Regla extrapolada</v>
      </c>
    </row>
    <row r="455" spans="1:10" ht="30" customHeight="1">
      <c r="A455" t="s">
        <v>966</v>
      </c>
      <c r="B455" s="5" t="s">
        <v>967</v>
      </c>
      <c r="C455">
        <v>10</v>
      </c>
      <c r="D455">
        <v>90</v>
      </c>
      <c r="E455">
        <v>5</v>
      </c>
      <c r="F455" s="6">
        <v>17870.080000000002</v>
      </c>
      <c r="G455" s="6">
        <v>21622.796999999999</v>
      </c>
      <c r="H455" s="6">
        <f>IF(OR(F455&lt;=0,G455&lt;=0),"",ROUND(G455+F455*Uso!$B$5,Uso!$B$6))</f>
        <v>22158.899000000001</v>
      </c>
      <c r="I455" s="6">
        <f t="shared" si="7"/>
        <v>2215.8899000000001</v>
      </c>
      <c r="J455" t="str">
        <f>IF(COUNTIF(Cruce!$A$5:$A$14,A455)&gt;0,"SKU de muestra","Regla extrapolada")</f>
        <v>Regla extrapolada</v>
      </c>
    </row>
    <row r="456" spans="1:10" ht="30" customHeight="1">
      <c r="A456" t="s">
        <v>968</v>
      </c>
      <c r="B456" s="5" t="s">
        <v>969</v>
      </c>
      <c r="C456">
        <v>5</v>
      </c>
      <c r="D456">
        <v>100</v>
      </c>
      <c r="E456">
        <v>5</v>
      </c>
      <c r="F456" s="6">
        <v>16705.09</v>
      </c>
      <c r="G456" s="6">
        <v>20213.159</v>
      </c>
      <c r="H456" s="6">
        <f>IF(OR(F456&lt;=0,G456&lt;=0),"",ROUND(G456+F456*Uso!$B$5,Uso!$B$6))</f>
        <v>20714.312000000002</v>
      </c>
      <c r="I456" s="6">
        <f t="shared" si="7"/>
        <v>4142.8624</v>
      </c>
      <c r="J456" t="str">
        <f>IF(COUNTIF(Cruce!$A$5:$A$14,A456)&gt;0,"SKU de muestra","Regla extrapolada")</f>
        <v>Regla extrapolada</v>
      </c>
    </row>
    <row r="457" spans="1:10" ht="30" customHeight="1">
      <c r="A457" t="s">
        <v>970</v>
      </c>
      <c r="B457" s="5" t="s">
        <v>971</v>
      </c>
      <c r="C457">
        <v>12</v>
      </c>
      <c r="D457">
        <v>208</v>
      </c>
      <c r="E457">
        <v>5</v>
      </c>
      <c r="F457" s="6">
        <v>15108.69</v>
      </c>
      <c r="G457" s="6">
        <v>18773.174999999999</v>
      </c>
      <c r="H457" s="6">
        <f>IF(OR(F457&lt;=0,G457&lt;=0),"",ROUND(G457+F457*Uso!$B$5,Uso!$B$6))</f>
        <v>19226.436000000002</v>
      </c>
      <c r="I457" s="6">
        <f t="shared" si="7"/>
        <v>1602.2030000000002</v>
      </c>
      <c r="J457" t="str">
        <f>IF(COUNTIF(Cruce!$A$5:$A$14,A457)&gt;0,"SKU de muestra","Regla extrapolada")</f>
        <v>Regla extrapolada</v>
      </c>
    </row>
    <row r="458" spans="1:10" ht="30" customHeight="1">
      <c r="A458" t="s">
        <v>972</v>
      </c>
      <c r="B458" s="5" t="s">
        <v>973</v>
      </c>
      <c r="C458">
        <v>1</v>
      </c>
      <c r="D458">
        <v>1</v>
      </c>
      <c r="E458">
        <v>0</v>
      </c>
      <c r="F458" s="6">
        <v>0</v>
      </c>
      <c r="G458" s="6">
        <v>0</v>
      </c>
      <c r="H458" s="6" t="str">
        <f>IF(OR(F458&lt;=0,G458&lt;=0),"",ROUND(G458+F458*Uso!$B$5,Uso!$B$6))</f>
        <v/>
      </c>
      <c r="I458" s="6" t="str">
        <f t="shared" si="7"/>
        <v/>
      </c>
      <c r="J458" t="str">
        <f>IF(COUNTIF(Cruce!$A$5:$A$14,A458)&gt;0,"SKU de muestra","Regla extrapolada")</f>
        <v>Regla extrapolada</v>
      </c>
    </row>
    <row r="459" spans="1:10" ht="30" customHeight="1">
      <c r="A459" t="s">
        <v>974</v>
      </c>
      <c r="B459" s="5" t="s">
        <v>975</v>
      </c>
      <c r="C459">
        <v>1</v>
      </c>
      <c r="D459">
        <v>1</v>
      </c>
      <c r="E459">
        <v>0</v>
      </c>
      <c r="F459" s="6">
        <v>0</v>
      </c>
      <c r="G459" s="6">
        <v>0</v>
      </c>
      <c r="H459" s="6" t="str">
        <f>IF(OR(F459&lt;=0,G459&lt;=0),"",ROUND(G459+F459*Uso!$B$5,Uso!$B$6))</f>
        <v/>
      </c>
      <c r="I459" s="6" t="str">
        <f t="shared" si="7"/>
        <v/>
      </c>
      <c r="J459" t="str">
        <f>IF(COUNTIF(Cruce!$A$5:$A$14,A459)&gt;0,"SKU de muestra","Regla extrapolada")</f>
        <v>Regla extrapolada</v>
      </c>
    </row>
    <row r="460" spans="1:10" ht="30" customHeight="1">
      <c r="A460" t="s">
        <v>976</v>
      </c>
      <c r="B460" s="5" t="s">
        <v>977</v>
      </c>
      <c r="C460">
        <v>24</v>
      </c>
      <c r="D460">
        <v>130</v>
      </c>
      <c r="E460">
        <v>0</v>
      </c>
      <c r="F460" s="6">
        <v>0</v>
      </c>
      <c r="G460" s="6">
        <v>0</v>
      </c>
      <c r="H460" s="6" t="str">
        <f>IF(OR(F460&lt;=0,G460&lt;=0),"",ROUND(G460+F460*Uso!$B$5,Uso!$B$6))</f>
        <v/>
      </c>
      <c r="I460" s="6" t="str">
        <f t="shared" si="7"/>
        <v/>
      </c>
      <c r="J460" t="str">
        <f>IF(COUNTIF(Cruce!$A$5:$A$14,A460)&gt;0,"SKU de muestra","Regla extrapolada")</f>
        <v>Regla extrapolada</v>
      </c>
    </row>
    <row r="461" spans="1:10" ht="30" customHeight="1">
      <c r="A461" t="s">
        <v>978</v>
      </c>
      <c r="B461" s="5" t="s">
        <v>979</v>
      </c>
      <c r="C461">
        <v>24</v>
      </c>
      <c r="D461">
        <v>130</v>
      </c>
      <c r="E461">
        <v>0</v>
      </c>
      <c r="F461" s="6">
        <v>0</v>
      </c>
      <c r="G461" s="6">
        <v>0</v>
      </c>
      <c r="H461" s="6" t="str">
        <f>IF(OR(F461&lt;=0,G461&lt;=0),"",ROUND(G461+F461*Uso!$B$5,Uso!$B$6))</f>
        <v/>
      </c>
      <c r="I461" s="6" t="str">
        <f t="shared" si="7"/>
        <v/>
      </c>
      <c r="J461" t="str">
        <f>IF(COUNTIF(Cruce!$A$5:$A$14,A461)&gt;0,"SKU de muestra","Regla extrapolada")</f>
        <v>Regla extrapolada</v>
      </c>
    </row>
    <row r="462" spans="1:10" ht="30" customHeight="1">
      <c r="A462" t="s">
        <v>980</v>
      </c>
      <c r="B462" s="5" t="s">
        <v>981</v>
      </c>
      <c r="C462">
        <v>50</v>
      </c>
      <c r="D462">
        <v>45</v>
      </c>
      <c r="E462">
        <v>5</v>
      </c>
      <c r="F462" s="6">
        <v>656548</v>
      </c>
      <c r="G462" s="6">
        <v>794423.08</v>
      </c>
      <c r="H462" s="6">
        <f>IF(OR(F462&lt;=0,G462&lt;=0),"",ROUND(G462+F462*Uso!$B$5,Uso!$B$6))</f>
        <v>814119.52</v>
      </c>
      <c r="I462" s="6">
        <f t="shared" si="7"/>
        <v>16282.3904</v>
      </c>
      <c r="J462" t="str">
        <f>IF(COUNTIF(Cruce!$A$5:$A$14,A462)&gt;0,"SKU de muestra","Regla extrapolada")</f>
        <v>Regla extrapolada</v>
      </c>
    </row>
    <row r="463" spans="1:10" ht="30" customHeight="1">
      <c r="A463" t="s">
        <v>982</v>
      </c>
      <c r="B463" s="5" t="s">
        <v>983</v>
      </c>
      <c r="C463">
        <v>6</v>
      </c>
      <c r="D463">
        <v>336</v>
      </c>
      <c r="E463">
        <v>5</v>
      </c>
      <c r="F463" s="6">
        <v>6421.61</v>
      </c>
      <c r="G463" s="6">
        <v>8185.8180000000002</v>
      </c>
      <c r="H463" s="6">
        <f>IF(OR(F463&lt;=0,G463&lt;=0),"",ROUND(G463+F463*Uso!$B$5,Uso!$B$6))</f>
        <v>8378.4660000000003</v>
      </c>
      <c r="I463" s="6">
        <f t="shared" si="7"/>
        <v>1396.4110000000001</v>
      </c>
      <c r="J463" t="str">
        <f>IF(COUNTIF(Cruce!$A$5:$A$14,A463)&gt;0,"SKU de muestra","Regla extrapolada")</f>
        <v>Regla extrapolada</v>
      </c>
    </row>
    <row r="464" spans="1:10" ht="30" customHeight="1">
      <c r="A464" t="s">
        <v>984</v>
      </c>
      <c r="B464" s="5" t="s">
        <v>985</v>
      </c>
      <c r="C464">
        <v>6</v>
      </c>
      <c r="D464">
        <v>96</v>
      </c>
      <c r="E464">
        <v>5</v>
      </c>
      <c r="F464" s="6">
        <v>13616.88</v>
      </c>
      <c r="G464" s="6">
        <v>17282.064999999999</v>
      </c>
      <c r="H464" s="6">
        <f>IF(OR(F464&lt;=0,G464&lt;=0),"",ROUND(G464+F464*Uso!$B$5,Uso!$B$6))</f>
        <v>17690.571</v>
      </c>
      <c r="I464" s="6">
        <f t="shared" si="7"/>
        <v>2948.4285</v>
      </c>
      <c r="J464" t="str">
        <f>IF(COUNTIF(Cruce!$A$5:$A$14,A464)&gt;0,"SKU de muestra","Regla extrapolada")</f>
        <v>Regla extrapolada</v>
      </c>
    </row>
    <row r="465" spans="1:10" ht="30" customHeight="1">
      <c r="A465" t="s">
        <v>986</v>
      </c>
      <c r="B465" s="5" t="s">
        <v>987</v>
      </c>
      <c r="C465">
        <v>24</v>
      </c>
      <c r="D465">
        <v>100</v>
      </c>
      <c r="E465">
        <v>5</v>
      </c>
      <c r="F465" s="6">
        <v>28627.85</v>
      </c>
      <c r="G465" s="6">
        <v>38046.019</v>
      </c>
      <c r="H465" s="6">
        <f>IF(OR(F465&lt;=0,G465&lt;=0),"",ROUND(G465+F465*Uso!$B$5,Uso!$B$6))</f>
        <v>38904.855000000003</v>
      </c>
      <c r="I465" s="6">
        <f t="shared" si="7"/>
        <v>1621.0356250000002</v>
      </c>
      <c r="J465" t="str">
        <f>IF(COUNTIF(Cruce!$A$5:$A$14,A465)&gt;0,"SKU de muestra","Regla extrapolada")</f>
        <v>Regla extrapolada</v>
      </c>
    </row>
    <row r="466" spans="1:10" ht="30" customHeight="1">
      <c r="A466" t="s">
        <v>988</v>
      </c>
      <c r="B466" s="5" t="s">
        <v>989</v>
      </c>
      <c r="C466">
        <v>6</v>
      </c>
      <c r="D466">
        <v>60</v>
      </c>
      <c r="E466">
        <v>5</v>
      </c>
      <c r="F466" s="6">
        <v>19141.2</v>
      </c>
      <c r="G466" s="6">
        <v>24255.982</v>
      </c>
      <c r="H466" s="6">
        <f>IF(OR(F466&lt;=0,G466&lt;=0),"",ROUND(G466+F466*Uso!$B$5,Uso!$B$6))</f>
        <v>24830.218000000001</v>
      </c>
      <c r="I466" s="6">
        <f t="shared" si="7"/>
        <v>4138.3696666666665</v>
      </c>
      <c r="J466" t="str">
        <f>IF(COUNTIF(Cruce!$A$5:$A$14,A466)&gt;0,"SKU de muestra","Regla extrapolada")</f>
        <v>Regla extrapolada</v>
      </c>
    </row>
    <row r="467" spans="1:10" ht="30" customHeight="1">
      <c r="A467" t="s">
        <v>990</v>
      </c>
      <c r="B467" s="5" t="s">
        <v>991</v>
      </c>
      <c r="C467">
        <v>6</v>
      </c>
      <c r="D467">
        <v>115</v>
      </c>
      <c r="E467">
        <v>5</v>
      </c>
      <c r="F467" s="6">
        <v>11745.11</v>
      </c>
      <c r="G467" s="6">
        <v>14542.813</v>
      </c>
      <c r="H467" s="6">
        <f>IF(OR(F467&lt;=0,G467&lt;=0),"",ROUND(G467+F467*Uso!$B$5,Uso!$B$6))</f>
        <v>14895.165999999999</v>
      </c>
      <c r="I467" s="6">
        <f t="shared" si="7"/>
        <v>2482.5276666666664</v>
      </c>
      <c r="J467" t="str">
        <f>IF(COUNTIF(Cruce!$A$5:$A$14,A467)&gt;0,"SKU de muestra","Regla extrapolada")</f>
        <v>Regla extrapolada</v>
      </c>
    </row>
    <row r="468" spans="1:10" ht="30" customHeight="1">
      <c r="A468" t="s">
        <v>992</v>
      </c>
      <c r="B468" s="5" t="s">
        <v>993</v>
      </c>
      <c r="C468">
        <v>6</v>
      </c>
      <c r="D468">
        <v>120</v>
      </c>
      <c r="E468">
        <v>5</v>
      </c>
      <c r="F468" s="6">
        <v>28965.35</v>
      </c>
      <c r="G468" s="6">
        <v>35048.074000000001</v>
      </c>
      <c r="H468" s="6">
        <f>IF(OR(F468&lt;=0,G468&lt;=0),"",ROUND(G468+F468*Uso!$B$5,Uso!$B$6))</f>
        <v>35917.035000000003</v>
      </c>
      <c r="I468" s="6">
        <f t="shared" si="7"/>
        <v>5986.1725000000006</v>
      </c>
      <c r="J468" t="str">
        <f>IF(COUNTIF(Cruce!$A$5:$A$14,A468)&gt;0,"SKU de muestra","Regla extrapolada")</f>
        <v>Regla extrapolada</v>
      </c>
    </row>
    <row r="469" spans="1:10" ht="30" customHeight="1">
      <c r="A469" t="s">
        <v>994</v>
      </c>
      <c r="B469" s="5" t="s">
        <v>995</v>
      </c>
      <c r="C469">
        <v>6</v>
      </c>
      <c r="D469">
        <v>140</v>
      </c>
      <c r="E469">
        <v>0</v>
      </c>
      <c r="F469" s="6">
        <v>0</v>
      </c>
      <c r="G469" s="6">
        <v>0</v>
      </c>
      <c r="H469" s="6" t="str">
        <f>IF(OR(F469&lt;=0,G469&lt;=0),"",ROUND(G469+F469*Uso!$B$5,Uso!$B$6))</f>
        <v/>
      </c>
      <c r="I469" s="6" t="str">
        <f t="shared" si="7"/>
        <v/>
      </c>
      <c r="J469" t="str">
        <f>IF(COUNTIF(Cruce!$A$5:$A$14,A469)&gt;0,"SKU de muestra","Regla extrapolada")</f>
        <v>Regla extrapolada</v>
      </c>
    </row>
    <row r="470" spans="1:10" ht="30" customHeight="1">
      <c r="A470" t="s">
        <v>996</v>
      </c>
      <c r="B470" s="5" t="s">
        <v>997</v>
      </c>
      <c r="C470">
        <v>6</v>
      </c>
      <c r="D470">
        <v>140</v>
      </c>
      <c r="E470">
        <v>5</v>
      </c>
      <c r="F470" s="6">
        <v>21430.63</v>
      </c>
      <c r="G470" s="6">
        <v>28493.062000000002</v>
      </c>
      <c r="H470" s="6">
        <f>IF(OR(F470&lt;=0,G470&lt;=0),"",ROUND(G470+F470*Uso!$B$5,Uso!$B$6))</f>
        <v>29135.981</v>
      </c>
      <c r="I470" s="6">
        <f t="shared" si="7"/>
        <v>4855.9968333333336</v>
      </c>
      <c r="J470" t="str">
        <f>IF(COUNTIF(Cruce!$A$5:$A$14,A470)&gt;0,"SKU de muestra","Regla extrapolada")</f>
        <v>Regla extrapolada</v>
      </c>
    </row>
    <row r="471" spans="1:10" ht="30" customHeight="1">
      <c r="A471" t="s">
        <v>998</v>
      </c>
      <c r="B471" s="5" t="s">
        <v>999</v>
      </c>
      <c r="C471">
        <v>6</v>
      </c>
      <c r="D471">
        <v>140</v>
      </c>
      <c r="E471">
        <v>5</v>
      </c>
      <c r="F471" s="6">
        <v>21430.63</v>
      </c>
      <c r="G471" s="6">
        <v>28493.062000000002</v>
      </c>
      <c r="H471" s="6">
        <f>IF(OR(F471&lt;=0,G471&lt;=0),"",ROUND(G471+F471*Uso!$B$5,Uso!$B$6))</f>
        <v>29135.981</v>
      </c>
      <c r="I471" s="6">
        <f t="shared" si="7"/>
        <v>4855.9968333333336</v>
      </c>
      <c r="J471" t="str">
        <f>IF(COUNTIF(Cruce!$A$5:$A$14,A471)&gt;0,"SKU de muestra","Regla extrapolada")</f>
        <v>Regla extrapolada</v>
      </c>
    </row>
    <row r="472" spans="1:10" ht="30" customHeight="1">
      <c r="A472" t="s">
        <v>1000</v>
      </c>
      <c r="B472" s="5" t="s">
        <v>1001</v>
      </c>
      <c r="C472">
        <v>6</v>
      </c>
      <c r="D472">
        <v>140</v>
      </c>
      <c r="E472">
        <v>5</v>
      </c>
      <c r="F472" s="6">
        <v>21430.63</v>
      </c>
      <c r="G472" s="6">
        <v>28493.062000000002</v>
      </c>
      <c r="H472" s="6">
        <f>IF(OR(F472&lt;=0,G472&lt;=0),"",ROUND(G472+F472*Uso!$B$5,Uso!$B$6))</f>
        <v>29135.981</v>
      </c>
      <c r="I472" s="6">
        <f t="shared" si="7"/>
        <v>4855.9968333333336</v>
      </c>
      <c r="J472" t="str">
        <f>IF(COUNTIF(Cruce!$A$5:$A$14,A472)&gt;0,"SKU de muestra","Regla extrapolada")</f>
        <v>Regla extrapolada</v>
      </c>
    </row>
    <row r="473" spans="1:10" ht="30" customHeight="1">
      <c r="A473" t="s">
        <v>1002</v>
      </c>
      <c r="B473" s="5" t="s">
        <v>1003</v>
      </c>
      <c r="C473">
        <v>2</v>
      </c>
      <c r="D473">
        <v>96</v>
      </c>
      <c r="E473">
        <v>5</v>
      </c>
      <c r="F473" s="6">
        <v>9543.2999999999993</v>
      </c>
      <c r="G473" s="6">
        <v>11782.083000000001</v>
      </c>
      <c r="H473" s="6">
        <f>IF(OR(F473&lt;=0,G473&lt;=0),"",ROUND(G473+F473*Uso!$B$5,Uso!$B$6))</f>
        <v>12068.382</v>
      </c>
      <c r="I473" s="6">
        <f t="shared" si="7"/>
        <v>6034.1909999999998</v>
      </c>
      <c r="J473" t="str">
        <f>IF(COUNTIF(Cruce!$A$5:$A$14,A473)&gt;0,"SKU de muestra","Regla extrapolada")</f>
        <v>Regla extrapolada</v>
      </c>
    </row>
    <row r="474" spans="1:10" ht="30" customHeight="1">
      <c r="A474" t="s">
        <v>1004</v>
      </c>
      <c r="B474" s="5" t="s">
        <v>1005</v>
      </c>
      <c r="C474">
        <v>24</v>
      </c>
      <c r="D474">
        <v>165</v>
      </c>
      <c r="E474">
        <v>5</v>
      </c>
      <c r="F474" s="6">
        <v>53107.46</v>
      </c>
      <c r="G474" s="6">
        <v>64260.027000000002</v>
      </c>
      <c r="H474" s="6">
        <f>IF(OR(F474&lt;=0,G474&lt;=0),"",ROUND(G474+F474*Uso!$B$5,Uso!$B$6))</f>
        <v>65853.251000000004</v>
      </c>
      <c r="I474" s="6">
        <f t="shared" si="7"/>
        <v>2743.8854583333336</v>
      </c>
      <c r="J474" t="str">
        <f>IF(COUNTIF(Cruce!$A$5:$A$14,A474)&gt;0,"SKU de muestra","Regla extrapolada")</f>
        <v>Regla extrapolada</v>
      </c>
    </row>
    <row r="475" spans="1:10" ht="30" customHeight="1">
      <c r="A475" t="s">
        <v>1006</v>
      </c>
      <c r="B475" s="5" t="s">
        <v>1007</v>
      </c>
      <c r="C475">
        <v>24</v>
      </c>
      <c r="D475">
        <v>100</v>
      </c>
      <c r="E475">
        <v>5</v>
      </c>
      <c r="F475" s="6">
        <v>46187.99</v>
      </c>
      <c r="G475" s="6">
        <v>55887.468000000001</v>
      </c>
      <c r="H475" s="6">
        <f>IF(OR(F475&lt;=0,G475&lt;=0),"",ROUND(G475+F475*Uso!$B$5,Uso!$B$6))</f>
        <v>57273.108</v>
      </c>
      <c r="I475" s="6">
        <f t="shared" si="7"/>
        <v>2386.3795</v>
      </c>
      <c r="J475" t="str">
        <f>IF(COUNTIF(Cruce!$A$5:$A$14,A475)&gt;0,"SKU de muestra","Regla extrapolada")</f>
        <v>Regla extrapolada</v>
      </c>
    </row>
    <row r="476" spans="1:10" ht="30" customHeight="1">
      <c r="A476" t="s">
        <v>1008</v>
      </c>
      <c r="B476" s="5" t="s">
        <v>1009</v>
      </c>
      <c r="C476">
        <v>1</v>
      </c>
      <c r="D476">
        <v>1</v>
      </c>
      <c r="E476">
        <v>0</v>
      </c>
      <c r="F476" s="6">
        <v>0</v>
      </c>
      <c r="G476" s="6">
        <v>0</v>
      </c>
      <c r="H476" s="6" t="str">
        <f>IF(OR(F476&lt;=0,G476&lt;=0),"",ROUND(G476+F476*Uso!$B$5,Uso!$B$6))</f>
        <v/>
      </c>
      <c r="I476" s="6" t="str">
        <f t="shared" si="7"/>
        <v/>
      </c>
      <c r="J476" t="str">
        <f>IF(COUNTIF(Cruce!$A$5:$A$14,A476)&gt;0,"SKU de muestra","Regla extrapolada")</f>
        <v>Regla extrapolada</v>
      </c>
    </row>
    <row r="477" spans="1:10" ht="30" customHeight="1">
      <c r="A477" t="s">
        <v>1010</v>
      </c>
      <c r="B477" s="5" t="s">
        <v>1011</v>
      </c>
      <c r="C477">
        <v>1</v>
      </c>
      <c r="D477">
        <v>1</v>
      </c>
      <c r="E477">
        <v>0</v>
      </c>
      <c r="F477" s="6">
        <v>0</v>
      </c>
      <c r="G477" s="6">
        <v>0</v>
      </c>
      <c r="H477" s="6" t="str">
        <f>IF(OR(F477&lt;=0,G477&lt;=0),"",ROUND(G477+F477*Uso!$B$5,Uso!$B$6))</f>
        <v/>
      </c>
      <c r="I477" s="6" t="str">
        <f t="shared" si="7"/>
        <v/>
      </c>
      <c r="J477" t="str">
        <f>IF(COUNTIF(Cruce!$A$5:$A$14,A477)&gt;0,"SKU de muestra","Regla extrapolada")</f>
        <v>Regla extrapolada</v>
      </c>
    </row>
    <row r="478" spans="1:10" ht="30" customHeight="1">
      <c r="A478" t="s">
        <v>1012</v>
      </c>
      <c r="B478" s="5" t="s">
        <v>1013</v>
      </c>
      <c r="C478">
        <v>1</v>
      </c>
      <c r="D478">
        <v>1</v>
      </c>
      <c r="E478">
        <v>0</v>
      </c>
      <c r="F478" s="6">
        <v>0</v>
      </c>
      <c r="G478" s="6">
        <v>0</v>
      </c>
      <c r="H478" s="6" t="str">
        <f>IF(OR(F478&lt;=0,G478&lt;=0),"",ROUND(G478+F478*Uso!$B$5,Uso!$B$6))</f>
        <v/>
      </c>
      <c r="I478" s="6" t="str">
        <f t="shared" si="7"/>
        <v/>
      </c>
      <c r="J478" t="str">
        <f>IF(COUNTIF(Cruce!$A$5:$A$14,A478)&gt;0,"SKU de muestra","Regla extrapolada")</f>
        <v>Regla extrapolada</v>
      </c>
    </row>
    <row r="479" spans="1:10" ht="30" customHeight="1">
      <c r="A479" t="s">
        <v>1014</v>
      </c>
      <c r="B479" s="5" t="s">
        <v>1015</v>
      </c>
      <c r="C479">
        <v>1</v>
      </c>
      <c r="D479">
        <v>1</v>
      </c>
      <c r="E479">
        <v>0</v>
      </c>
      <c r="F479" s="6">
        <v>0</v>
      </c>
      <c r="G479" s="6">
        <v>0</v>
      </c>
      <c r="H479" s="6" t="str">
        <f>IF(OR(F479&lt;=0,G479&lt;=0),"",ROUND(G479+F479*Uso!$B$5,Uso!$B$6))</f>
        <v/>
      </c>
      <c r="I479" s="6" t="str">
        <f t="shared" si="7"/>
        <v/>
      </c>
      <c r="J479" t="str">
        <f>IF(COUNTIF(Cruce!$A$5:$A$14,A479)&gt;0,"SKU de muestra","Regla extrapolada")</f>
        <v>Regla extrapolada</v>
      </c>
    </row>
    <row r="480" spans="1:10" ht="30" customHeight="1">
      <c r="A480" t="s">
        <v>1016</v>
      </c>
      <c r="B480" s="5" t="s">
        <v>1017</v>
      </c>
      <c r="C480">
        <v>1</v>
      </c>
      <c r="D480">
        <v>1</v>
      </c>
      <c r="E480">
        <v>0</v>
      </c>
      <c r="F480" s="6">
        <v>0</v>
      </c>
      <c r="G480" s="6">
        <v>0</v>
      </c>
      <c r="H480" s="6" t="str">
        <f>IF(OR(F480&lt;=0,G480&lt;=0),"",ROUND(G480+F480*Uso!$B$5,Uso!$B$6))</f>
        <v/>
      </c>
      <c r="I480" s="6" t="str">
        <f t="shared" si="7"/>
        <v/>
      </c>
      <c r="J480" t="str">
        <f>IF(COUNTIF(Cruce!$A$5:$A$14,A480)&gt;0,"SKU de muestra","Regla extrapolada")</f>
        <v>Regla extrapolada</v>
      </c>
    </row>
    <row r="481" spans="1:10" ht="30" customHeight="1">
      <c r="A481" t="s">
        <v>1018</v>
      </c>
      <c r="B481" s="5" t="s">
        <v>1019</v>
      </c>
      <c r="C481">
        <v>24</v>
      </c>
      <c r="D481">
        <v>100</v>
      </c>
      <c r="E481">
        <v>5</v>
      </c>
      <c r="F481" s="6">
        <v>44630.87</v>
      </c>
      <c r="G481" s="6">
        <v>54003.353000000003</v>
      </c>
      <c r="H481" s="6">
        <f>IF(OR(F481&lt;=0,G481&lt;=0),"",ROUND(G481+F481*Uso!$B$5,Uso!$B$6))</f>
        <v>55342.279000000002</v>
      </c>
      <c r="I481" s="6">
        <f t="shared" si="7"/>
        <v>2305.9282916666666</v>
      </c>
      <c r="J481" t="str">
        <f>IF(COUNTIF(Cruce!$A$5:$A$14,A481)&gt;0,"SKU de muestra","Regla extrapolada")</f>
        <v>Regla extrapolada</v>
      </c>
    </row>
    <row r="482" spans="1:10" ht="30" customHeight="1">
      <c r="A482" t="s">
        <v>1020</v>
      </c>
      <c r="B482" s="5" t="s">
        <v>1021</v>
      </c>
      <c r="C482">
        <v>6</v>
      </c>
      <c r="D482">
        <v>384</v>
      </c>
      <c r="E482">
        <v>5</v>
      </c>
      <c r="F482" s="6">
        <v>7107.91</v>
      </c>
      <c r="G482" s="6">
        <v>8600.5709999999999</v>
      </c>
      <c r="H482" s="6">
        <f>IF(OR(F482&lt;=0,G482&lt;=0),"",ROUND(G482+F482*Uso!$B$5,Uso!$B$6))</f>
        <v>8813.8080000000009</v>
      </c>
      <c r="I482" s="6">
        <f t="shared" si="7"/>
        <v>1468.9680000000001</v>
      </c>
      <c r="J482" t="str">
        <f>IF(COUNTIF(Cruce!$A$5:$A$14,A482)&gt;0,"SKU de muestra","Regla extrapolada")</f>
        <v>Regla extrapolada</v>
      </c>
    </row>
    <row r="483" spans="1:10" ht="30" customHeight="1">
      <c r="A483" t="s">
        <v>1022</v>
      </c>
      <c r="B483" s="5" t="s">
        <v>1023</v>
      </c>
      <c r="C483">
        <v>6</v>
      </c>
      <c r="D483">
        <v>384</v>
      </c>
      <c r="E483">
        <v>5</v>
      </c>
      <c r="F483" s="6">
        <v>7107.91</v>
      </c>
      <c r="G483" s="6">
        <v>8600.5709999999999</v>
      </c>
      <c r="H483" s="6">
        <f>IF(OR(F483&lt;=0,G483&lt;=0),"",ROUND(G483+F483*Uso!$B$5,Uso!$B$6))</f>
        <v>8813.8080000000009</v>
      </c>
      <c r="I483" s="6">
        <f t="shared" si="7"/>
        <v>1468.9680000000001</v>
      </c>
      <c r="J483" t="str">
        <f>IF(COUNTIF(Cruce!$A$5:$A$14,A483)&gt;0,"SKU de muestra","Regla extrapolada")</f>
        <v>Regla extrapolada</v>
      </c>
    </row>
    <row r="484" spans="1:10" ht="30" customHeight="1">
      <c r="A484" t="s">
        <v>1024</v>
      </c>
      <c r="B484" s="5" t="s">
        <v>1025</v>
      </c>
      <c r="C484">
        <v>1</v>
      </c>
      <c r="D484">
        <v>1</v>
      </c>
      <c r="E484">
        <v>0</v>
      </c>
      <c r="F484" s="6">
        <v>0</v>
      </c>
      <c r="G484" s="6">
        <v>0</v>
      </c>
      <c r="H484" s="6" t="str">
        <f>IF(OR(F484&lt;=0,G484&lt;=0),"",ROUND(G484+F484*Uso!$B$5,Uso!$B$6))</f>
        <v/>
      </c>
      <c r="I484" s="6" t="str">
        <f t="shared" si="7"/>
        <v/>
      </c>
      <c r="J484" t="str">
        <f>IF(COUNTIF(Cruce!$A$5:$A$14,A484)&gt;0,"SKU de muestra","Regla extrapolada")</f>
        <v>Regla extrapolada</v>
      </c>
    </row>
    <row r="485" spans="1:10" ht="30" customHeight="1">
      <c r="A485" t="s">
        <v>1026</v>
      </c>
      <c r="B485" s="5" t="s">
        <v>1027</v>
      </c>
      <c r="C485">
        <v>8</v>
      </c>
      <c r="D485">
        <v>60</v>
      </c>
      <c r="E485">
        <v>5</v>
      </c>
      <c r="F485" s="6">
        <v>20847.060000000001</v>
      </c>
      <c r="G485" s="6">
        <v>26445.093000000001</v>
      </c>
      <c r="H485" s="6">
        <f>IF(OR(F485&lt;=0,G485&lt;=0),"",ROUND(G485+F485*Uso!$B$5,Uso!$B$6))</f>
        <v>27070.505000000001</v>
      </c>
      <c r="I485" s="6">
        <f t="shared" si="7"/>
        <v>3383.8131250000001</v>
      </c>
      <c r="J485" t="str">
        <f>IF(COUNTIF(Cruce!$A$5:$A$14,A485)&gt;0,"SKU de muestra","Regla extrapolada")</f>
        <v>Regla extrapolada</v>
      </c>
    </row>
    <row r="486" spans="1:10" ht="30" customHeight="1">
      <c r="A486" t="s">
        <v>1028</v>
      </c>
      <c r="B486" s="5" t="s">
        <v>1029</v>
      </c>
      <c r="C486">
        <v>8</v>
      </c>
      <c r="D486">
        <v>60</v>
      </c>
      <c r="E486">
        <v>5</v>
      </c>
      <c r="F486" s="6">
        <v>21363.5</v>
      </c>
      <c r="G486" s="6">
        <v>26452.805</v>
      </c>
      <c r="H486" s="6">
        <f>IF(OR(F486&lt;=0,G486&lt;=0),"",ROUND(G486+F486*Uso!$B$5,Uso!$B$6))</f>
        <v>27093.71</v>
      </c>
      <c r="I486" s="6">
        <f t="shared" si="7"/>
        <v>3386.7137499999999</v>
      </c>
      <c r="J486" t="str">
        <f>IF(COUNTIF(Cruce!$A$5:$A$14,A486)&gt;0,"SKU de muestra","Regla extrapolada")</f>
        <v>Regla extrapolada</v>
      </c>
    </row>
    <row r="487" spans="1:10" ht="30" customHeight="1">
      <c r="A487" t="s">
        <v>1030</v>
      </c>
      <c r="B487" s="5" t="s">
        <v>1031</v>
      </c>
      <c r="C487">
        <v>24</v>
      </c>
      <c r="D487">
        <v>91</v>
      </c>
      <c r="E487">
        <v>5</v>
      </c>
      <c r="F487" s="6">
        <v>39524.629999999997</v>
      </c>
      <c r="G487" s="6">
        <v>52626.652000000002</v>
      </c>
      <c r="H487" s="6">
        <f>IF(OR(F487&lt;=0,G487&lt;=0),"",ROUND(G487+F487*Uso!$B$5,Uso!$B$6))</f>
        <v>53812.391000000003</v>
      </c>
      <c r="I487" s="6">
        <f t="shared" si="7"/>
        <v>2242.1829583333333</v>
      </c>
      <c r="J487" t="str">
        <f>IF(COUNTIF(Cruce!$A$5:$A$14,A487)&gt;0,"SKU de muestra","Regla extrapolada")</f>
        <v>Regla extrapolada</v>
      </c>
    </row>
    <row r="488" spans="1:10" ht="30" customHeight="1">
      <c r="A488" t="s">
        <v>1032</v>
      </c>
      <c r="B488" s="5" t="s">
        <v>1033</v>
      </c>
      <c r="C488">
        <v>24</v>
      </c>
      <c r="D488">
        <v>84</v>
      </c>
      <c r="E488">
        <v>5</v>
      </c>
      <c r="F488" s="6">
        <v>50007.33</v>
      </c>
      <c r="G488" s="6">
        <v>66654.479000000007</v>
      </c>
      <c r="H488" s="6">
        <f>IF(OR(F488&lt;=0,G488&lt;=0),"",ROUND(G488+F488*Uso!$B$5,Uso!$B$6))</f>
        <v>68154.698999999993</v>
      </c>
      <c r="I488" s="6">
        <f t="shared" si="7"/>
        <v>2839.7791249999996</v>
      </c>
      <c r="J488" t="str">
        <f>IF(COUNTIF(Cruce!$A$5:$A$14,A488)&gt;0,"SKU de muestra","Regla extrapolada")</f>
        <v>Regla extrapolada</v>
      </c>
    </row>
    <row r="489" spans="1:10" ht="30" customHeight="1">
      <c r="A489" t="s">
        <v>1034</v>
      </c>
      <c r="B489" s="5" t="s">
        <v>1035</v>
      </c>
      <c r="C489">
        <v>1</v>
      </c>
      <c r="D489">
        <v>1</v>
      </c>
      <c r="E489">
        <v>0</v>
      </c>
      <c r="F489" s="6">
        <v>0</v>
      </c>
      <c r="G489" s="6">
        <v>0</v>
      </c>
      <c r="H489" s="6" t="str">
        <f>IF(OR(F489&lt;=0,G489&lt;=0),"",ROUND(G489+F489*Uso!$B$5,Uso!$B$6))</f>
        <v/>
      </c>
      <c r="I489" s="6" t="str">
        <f t="shared" si="7"/>
        <v/>
      </c>
      <c r="J489" t="str">
        <f>IF(COUNTIF(Cruce!$A$5:$A$14,A489)&gt;0,"SKU de muestra","Regla extrapolada")</f>
        <v>Regla extrapolada</v>
      </c>
    </row>
    <row r="490" spans="1:10" ht="30" customHeight="1">
      <c r="A490" t="s">
        <v>1036</v>
      </c>
      <c r="B490" s="5" t="s">
        <v>1037</v>
      </c>
      <c r="C490">
        <v>1</v>
      </c>
      <c r="D490">
        <v>1</v>
      </c>
      <c r="E490">
        <v>0</v>
      </c>
      <c r="F490" s="6">
        <v>0</v>
      </c>
      <c r="G490" s="6">
        <v>0</v>
      </c>
      <c r="H490" s="6" t="str">
        <f>IF(OR(F490&lt;=0,G490&lt;=0),"",ROUND(G490+F490*Uso!$B$5,Uso!$B$6))</f>
        <v/>
      </c>
      <c r="I490" s="6" t="str">
        <f t="shared" si="7"/>
        <v/>
      </c>
      <c r="J490" t="str">
        <f>IF(COUNTIF(Cruce!$A$5:$A$14,A490)&gt;0,"SKU de muestra","Regla extrapolada")</f>
        <v>Regla extrapolada</v>
      </c>
    </row>
    <row r="491" spans="1:10" ht="30" customHeight="1">
      <c r="A491" t="s">
        <v>1038</v>
      </c>
      <c r="B491" s="5" t="s">
        <v>1039</v>
      </c>
      <c r="C491">
        <v>1</v>
      </c>
      <c r="D491">
        <v>1</v>
      </c>
      <c r="E491">
        <v>0</v>
      </c>
      <c r="F491" s="6">
        <v>0</v>
      </c>
      <c r="G491" s="6">
        <v>0</v>
      </c>
      <c r="H491" s="6" t="str">
        <f>IF(OR(F491&lt;=0,G491&lt;=0),"",ROUND(G491+F491*Uso!$B$5,Uso!$B$6))</f>
        <v/>
      </c>
      <c r="I491" s="6" t="str">
        <f t="shared" si="7"/>
        <v/>
      </c>
      <c r="J491" t="str">
        <f>IF(COUNTIF(Cruce!$A$5:$A$14,A491)&gt;0,"SKU de muestra","Regla extrapolada")</f>
        <v>Regla extrapolada</v>
      </c>
    </row>
    <row r="492" spans="1:10" ht="30" customHeight="1">
      <c r="A492" t="s">
        <v>1040</v>
      </c>
      <c r="B492" s="5" t="s">
        <v>1041</v>
      </c>
      <c r="C492">
        <v>1</v>
      </c>
      <c r="D492">
        <v>1</v>
      </c>
      <c r="E492">
        <v>0</v>
      </c>
      <c r="F492" s="6">
        <v>0</v>
      </c>
      <c r="G492" s="6">
        <v>0</v>
      </c>
      <c r="H492" s="6" t="str">
        <f>IF(OR(F492&lt;=0,G492&lt;=0),"",ROUND(G492+F492*Uso!$B$5,Uso!$B$6))</f>
        <v/>
      </c>
      <c r="I492" s="6" t="str">
        <f t="shared" si="7"/>
        <v/>
      </c>
      <c r="J492" t="str">
        <f>IF(COUNTIF(Cruce!$A$5:$A$14,A492)&gt;0,"SKU de muestra","Regla extrapolada")</f>
        <v>Regla extrapolada</v>
      </c>
    </row>
    <row r="493" spans="1:10" ht="30" customHeight="1">
      <c r="A493" t="s">
        <v>1042</v>
      </c>
      <c r="B493" s="5" t="s">
        <v>1043</v>
      </c>
      <c r="C493">
        <v>1</v>
      </c>
      <c r="D493">
        <v>1</v>
      </c>
      <c r="E493">
        <v>0</v>
      </c>
      <c r="F493" s="6">
        <v>0</v>
      </c>
      <c r="G493" s="6">
        <v>0</v>
      </c>
      <c r="H493" s="6" t="str">
        <f>IF(OR(F493&lt;=0,G493&lt;=0),"",ROUND(G493+F493*Uso!$B$5,Uso!$B$6))</f>
        <v/>
      </c>
      <c r="I493" s="6" t="str">
        <f t="shared" si="7"/>
        <v/>
      </c>
      <c r="J493" t="str">
        <f>IF(COUNTIF(Cruce!$A$5:$A$14,A493)&gt;0,"SKU de muestra","Regla extrapolada")</f>
        <v>Regla extrapolada</v>
      </c>
    </row>
    <row r="494" spans="1:10" ht="30" customHeight="1">
      <c r="A494" t="s">
        <v>1044</v>
      </c>
      <c r="B494" s="5" t="s">
        <v>1045</v>
      </c>
      <c r="C494">
        <v>1</v>
      </c>
      <c r="D494">
        <v>1</v>
      </c>
      <c r="E494">
        <v>0</v>
      </c>
      <c r="F494" s="6">
        <v>0</v>
      </c>
      <c r="G494" s="6">
        <v>0</v>
      </c>
      <c r="H494" s="6" t="str">
        <f>IF(OR(F494&lt;=0,G494&lt;=0),"",ROUND(G494+F494*Uso!$B$5,Uso!$B$6))</f>
        <v/>
      </c>
      <c r="I494" s="6" t="str">
        <f t="shared" si="7"/>
        <v/>
      </c>
      <c r="J494" t="str">
        <f>IF(COUNTIF(Cruce!$A$5:$A$14,A494)&gt;0,"SKU de muestra","Regla extrapolada")</f>
        <v>Regla extrapolada</v>
      </c>
    </row>
    <row r="495" spans="1:10" ht="30" customHeight="1">
      <c r="A495" t="s">
        <v>1046</v>
      </c>
      <c r="B495" s="5" t="s">
        <v>1047</v>
      </c>
      <c r="C495">
        <v>1</v>
      </c>
      <c r="D495">
        <v>1</v>
      </c>
      <c r="E495">
        <v>0</v>
      </c>
      <c r="F495" s="6">
        <v>0</v>
      </c>
      <c r="G495" s="6">
        <v>0</v>
      </c>
      <c r="H495" s="6" t="str">
        <f>IF(OR(F495&lt;=0,G495&lt;=0),"",ROUND(G495+F495*Uso!$B$5,Uso!$B$6))</f>
        <v/>
      </c>
      <c r="I495" s="6" t="str">
        <f t="shared" si="7"/>
        <v/>
      </c>
      <c r="J495" t="str">
        <f>IF(COUNTIF(Cruce!$A$5:$A$14,A495)&gt;0,"SKU de muestra","Regla extrapolada")</f>
        <v>Regla extrapolada</v>
      </c>
    </row>
    <row r="496" spans="1:10" ht="30" customHeight="1">
      <c r="A496" t="s">
        <v>1048</v>
      </c>
      <c r="B496" s="5" t="s">
        <v>1049</v>
      </c>
      <c r="C496">
        <v>1</v>
      </c>
      <c r="D496">
        <v>288</v>
      </c>
      <c r="E496">
        <v>5</v>
      </c>
      <c r="F496" s="6">
        <v>7724.09</v>
      </c>
      <c r="G496" s="6">
        <v>9346.1489999999994</v>
      </c>
      <c r="H496" s="6">
        <f>IF(OR(F496&lt;=0,G496&lt;=0),"",ROUND(G496+F496*Uso!$B$5,Uso!$B$6))</f>
        <v>9577.8719999999994</v>
      </c>
      <c r="I496" s="6">
        <f t="shared" si="7"/>
        <v>9577.8719999999994</v>
      </c>
      <c r="J496" t="str">
        <f>IF(COUNTIF(Cruce!$A$5:$A$14,A496)&gt;0,"SKU de muestra","Regla extrapolada")</f>
        <v>Regla extrapolada</v>
      </c>
    </row>
    <row r="497" spans="1:10" ht="30" customHeight="1">
      <c r="A497" t="s">
        <v>58</v>
      </c>
      <c r="B497" s="5" t="s">
        <v>1050</v>
      </c>
      <c r="C497">
        <v>24</v>
      </c>
      <c r="D497">
        <v>100</v>
      </c>
      <c r="E497">
        <v>5</v>
      </c>
      <c r="F497" s="6">
        <v>52770.17</v>
      </c>
      <c r="G497" s="6">
        <v>70427.076000000001</v>
      </c>
      <c r="H497" s="6">
        <f>IF(OR(F497&lt;=0,G497&lt;=0),"",ROUND(G497+F497*Uso!$B$5,Uso!$B$6))</f>
        <v>72010.180999999997</v>
      </c>
      <c r="I497" s="6">
        <f t="shared" si="7"/>
        <v>3000.4242083333334</v>
      </c>
      <c r="J497" t="str">
        <f>IF(COUNTIF(Cruce!$A$5:$A$14,A497)&gt;0,"SKU de muestra","Regla extrapolada")</f>
        <v>SKU de muestra</v>
      </c>
    </row>
    <row r="498" spans="1:10" ht="30" customHeight="1">
      <c r="A498" t="s">
        <v>1051</v>
      </c>
      <c r="B498" s="5" t="s">
        <v>1052</v>
      </c>
      <c r="C498">
        <v>16</v>
      </c>
      <c r="D498">
        <v>96</v>
      </c>
      <c r="E498">
        <v>5</v>
      </c>
      <c r="F498" s="6">
        <v>27349.599999999999</v>
      </c>
      <c r="G498" s="6">
        <v>36316.915999999997</v>
      </c>
      <c r="H498" s="6">
        <f>IF(OR(F498&lt;=0,G498&lt;=0),"",ROUND(G498+F498*Uso!$B$5,Uso!$B$6))</f>
        <v>37137.404000000002</v>
      </c>
      <c r="I498" s="6">
        <f t="shared" si="7"/>
        <v>2321.0877500000001</v>
      </c>
      <c r="J498" t="str">
        <f>IF(COUNTIF(Cruce!$A$5:$A$14,A498)&gt;0,"SKU de muestra","Regla extrapolada")</f>
        <v>Regla extrapolada</v>
      </c>
    </row>
    <row r="499" spans="1:10" ht="30" customHeight="1">
      <c r="A499" t="s">
        <v>1053</v>
      </c>
      <c r="B499" s="5" t="s">
        <v>1054</v>
      </c>
      <c r="C499">
        <v>16</v>
      </c>
      <c r="D499">
        <v>96</v>
      </c>
      <c r="E499">
        <v>5</v>
      </c>
      <c r="F499" s="6">
        <v>27349.599999999999</v>
      </c>
      <c r="G499" s="6">
        <v>36316.915999999997</v>
      </c>
      <c r="H499" s="6">
        <f>IF(OR(F499&lt;=0,G499&lt;=0),"",ROUND(G499+F499*Uso!$B$5,Uso!$B$6))</f>
        <v>37137.404000000002</v>
      </c>
      <c r="I499" s="6">
        <f t="shared" si="7"/>
        <v>2321.0877500000001</v>
      </c>
      <c r="J499" t="str">
        <f>IF(COUNTIF(Cruce!$A$5:$A$14,A499)&gt;0,"SKU de muestra","Regla extrapolada")</f>
        <v>Regla extrapolada</v>
      </c>
    </row>
    <row r="500" spans="1:10" ht="30" customHeight="1">
      <c r="A500" t="s">
        <v>1055</v>
      </c>
      <c r="B500" s="5" t="s">
        <v>1056</v>
      </c>
      <c r="C500">
        <v>1</v>
      </c>
      <c r="D500">
        <v>100</v>
      </c>
      <c r="E500">
        <v>5</v>
      </c>
      <c r="F500" s="6">
        <v>20597.580000000002</v>
      </c>
      <c r="G500" s="6">
        <v>24923.072</v>
      </c>
      <c r="H500" s="6">
        <f>IF(OR(F500&lt;=0,G500&lt;=0),"",ROUND(G500+F500*Uso!$B$5,Uso!$B$6))</f>
        <v>25540.999</v>
      </c>
      <c r="I500" s="6">
        <f t="shared" si="7"/>
        <v>25540.999</v>
      </c>
      <c r="J500" t="str">
        <f>IF(COUNTIF(Cruce!$A$5:$A$14,A500)&gt;0,"SKU de muestra","Regla extrapolada")</f>
        <v>Regla extrapolada</v>
      </c>
    </row>
    <row r="501" spans="1:10" ht="30" customHeight="1">
      <c r="A501" t="s">
        <v>1057</v>
      </c>
      <c r="B501" s="5" t="s">
        <v>1058</v>
      </c>
      <c r="C501">
        <v>1</v>
      </c>
      <c r="D501">
        <v>1</v>
      </c>
      <c r="E501">
        <v>0</v>
      </c>
      <c r="F501" s="6">
        <v>0</v>
      </c>
      <c r="G501" s="6">
        <v>0</v>
      </c>
      <c r="H501" s="6" t="str">
        <f>IF(OR(F501&lt;=0,G501&lt;=0),"",ROUND(G501+F501*Uso!$B$5,Uso!$B$6))</f>
        <v/>
      </c>
      <c r="I501" s="6" t="str">
        <f t="shared" si="7"/>
        <v/>
      </c>
      <c r="J501" t="str">
        <f>IF(COUNTIF(Cruce!$A$5:$A$14,A501)&gt;0,"SKU de muestra","Regla extrapolada")</f>
        <v>Regla extrapolada</v>
      </c>
    </row>
    <row r="502" spans="1:10" ht="30" customHeight="1">
      <c r="A502" t="s">
        <v>1059</v>
      </c>
      <c r="B502" s="5" t="s">
        <v>1060</v>
      </c>
      <c r="C502">
        <v>24</v>
      </c>
      <c r="D502">
        <v>165</v>
      </c>
      <c r="E502">
        <v>5</v>
      </c>
      <c r="F502" s="6">
        <v>53107.46</v>
      </c>
      <c r="G502" s="6">
        <v>64260.027000000002</v>
      </c>
      <c r="H502" s="6">
        <f>IF(OR(F502&lt;=0,G502&lt;=0),"",ROUND(G502+F502*Uso!$B$5,Uso!$B$6))</f>
        <v>65853.251000000004</v>
      </c>
      <c r="I502" s="6">
        <f t="shared" si="7"/>
        <v>2743.8854583333336</v>
      </c>
      <c r="J502" t="str">
        <f>IF(COUNTIF(Cruce!$A$5:$A$14,A502)&gt;0,"SKU de muestra","Regla extrapolada")</f>
        <v>Regla extrapolada</v>
      </c>
    </row>
    <row r="503" spans="1:10" ht="30" customHeight="1">
      <c r="A503" t="s">
        <v>1061</v>
      </c>
      <c r="B503" s="5" t="s">
        <v>1062</v>
      </c>
      <c r="C503">
        <v>1</v>
      </c>
      <c r="D503">
        <v>1</v>
      </c>
      <c r="E503">
        <v>0</v>
      </c>
      <c r="F503" s="6">
        <v>0</v>
      </c>
      <c r="G503" s="6">
        <v>0</v>
      </c>
      <c r="H503" s="6" t="str">
        <f>IF(OR(F503&lt;=0,G503&lt;=0),"",ROUND(G503+F503*Uso!$B$5,Uso!$B$6))</f>
        <v/>
      </c>
      <c r="I503" s="6" t="str">
        <f t="shared" si="7"/>
        <v/>
      </c>
      <c r="J503" t="str">
        <f>IF(COUNTIF(Cruce!$A$5:$A$14,A503)&gt;0,"SKU de muestra","Regla extrapolada")</f>
        <v>Regla extrapolada</v>
      </c>
    </row>
    <row r="504" spans="1:10" ht="30" customHeight="1">
      <c r="A504" t="s">
        <v>1063</v>
      </c>
      <c r="B504" s="5" t="s">
        <v>1064</v>
      </c>
      <c r="C504">
        <v>1</v>
      </c>
      <c r="D504">
        <v>1</v>
      </c>
      <c r="E504">
        <v>0</v>
      </c>
      <c r="F504" s="6">
        <v>0</v>
      </c>
      <c r="G504" s="6">
        <v>0</v>
      </c>
      <c r="H504" s="6" t="str">
        <f>IF(OR(F504&lt;=0,G504&lt;=0),"",ROUND(G504+F504*Uso!$B$5,Uso!$B$6))</f>
        <v/>
      </c>
      <c r="I504" s="6" t="str">
        <f t="shared" si="7"/>
        <v/>
      </c>
      <c r="J504" t="str">
        <f>IF(COUNTIF(Cruce!$A$5:$A$14,A504)&gt;0,"SKU de muestra","Regla extrapolada")</f>
        <v>Regla extrapolada</v>
      </c>
    </row>
    <row r="505" spans="1:10" ht="30" customHeight="1">
      <c r="A505" t="s">
        <v>1065</v>
      </c>
      <c r="B505" s="5" t="s">
        <v>1066</v>
      </c>
      <c r="C505">
        <v>1</v>
      </c>
      <c r="D505">
        <v>1</v>
      </c>
      <c r="E505">
        <v>0</v>
      </c>
      <c r="F505" s="6">
        <v>0</v>
      </c>
      <c r="G505" s="6">
        <v>0</v>
      </c>
      <c r="H505" s="6" t="str">
        <f>IF(OR(F505&lt;=0,G505&lt;=0),"",ROUND(G505+F505*Uso!$B$5,Uso!$B$6))</f>
        <v/>
      </c>
      <c r="I505" s="6" t="str">
        <f t="shared" si="7"/>
        <v/>
      </c>
      <c r="J505" t="str">
        <f>IF(COUNTIF(Cruce!$A$5:$A$14,A505)&gt;0,"SKU de muestra","Regla extrapolada")</f>
        <v>Regla extrapolada</v>
      </c>
    </row>
    <row r="506" spans="1:10" ht="30" customHeight="1">
      <c r="A506" t="s">
        <v>1067</v>
      </c>
      <c r="B506" s="5" t="s">
        <v>1068</v>
      </c>
      <c r="C506">
        <v>6</v>
      </c>
      <c r="D506">
        <v>160</v>
      </c>
      <c r="E506">
        <v>5</v>
      </c>
      <c r="F506" s="6">
        <v>51210.74</v>
      </c>
      <c r="G506" s="6">
        <v>61964.995000000003</v>
      </c>
      <c r="H506" s="6">
        <f>IF(OR(F506&lt;=0,G506&lt;=0),"",ROUND(G506+F506*Uso!$B$5,Uso!$B$6))</f>
        <v>63501.317000000003</v>
      </c>
      <c r="I506" s="6">
        <f t="shared" si="7"/>
        <v>10583.552833333333</v>
      </c>
      <c r="J506" t="str">
        <f>IF(COUNTIF(Cruce!$A$5:$A$14,A506)&gt;0,"SKU de muestra","Regla extrapolada")</f>
        <v>Regla extrapolada</v>
      </c>
    </row>
    <row r="507" spans="1:10" ht="30" customHeight="1">
      <c r="A507" t="s">
        <v>1069</v>
      </c>
      <c r="B507" s="5" t="s">
        <v>1070</v>
      </c>
      <c r="C507">
        <v>6</v>
      </c>
      <c r="D507">
        <v>140</v>
      </c>
      <c r="E507">
        <v>5</v>
      </c>
      <c r="F507" s="6">
        <v>25545.93</v>
      </c>
      <c r="G507" s="6">
        <v>30910.575000000001</v>
      </c>
      <c r="H507" s="6">
        <f>IF(OR(F507&lt;=0,G507&lt;=0),"",ROUND(G507+F507*Uso!$B$5,Uso!$B$6))</f>
        <v>31676.953000000001</v>
      </c>
      <c r="I507" s="6">
        <f t="shared" si="7"/>
        <v>5279.4921666666669</v>
      </c>
      <c r="J507" t="str">
        <f>IF(COUNTIF(Cruce!$A$5:$A$14,A507)&gt;0,"SKU de muestra","Regla extrapolada")</f>
        <v>Regla extrapolada</v>
      </c>
    </row>
    <row r="508" spans="1:10" ht="30" customHeight="1">
      <c r="A508" t="s">
        <v>1071</v>
      </c>
      <c r="B508" s="5" t="s">
        <v>1072</v>
      </c>
      <c r="C508">
        <v>10</v>
      </c>
      <c r="D508">
        <v>35</v>
      </c>
      <c r="E508">
        <v>5</v>
      </c>
      <c r="F508" s="6">
        <v>65654.8</v>
      </c>
      <c r="G508" s="6">
        <v>79442.308000000005</v>
      </c>
      <c r="H508" s="6">
        <f>IF(OR(F508&lt;=0,G508&lt;=0),"",ROUND(G508+F508*Uso!$B$5,Uso!$B$6))</f>
        <v>81411.952000000005</v>
      </c>
      <c r="I508" s="6">
        <f t="shared" si="7"/>
        <v>8141.1952000000001</v>
      </c>
      <c r="J508" t="str">
        <f>IF(COUNTIF(Cruce!$A$5:$A$14,A508)&gt;0,"SKU de muestra","Regla extrapolada")</f>
        <v>Regla extrapolada</v>
      </c>
    </row>
    <row r="509" spans="1:10" ht="30" customHeight="1">
      <c r="A509" t="s">
        <v>1073</v>
      </c>
      <c r="B509" s="5" t="s">
        <v>1074</v>
      </c>
      <c r="C509">
        <v>4</v>
      </c>
      <c r="D509">
        <v>245</v>
      </c>
      <c r="E509">
        <v>5</v>
      </c>
      <c r="F509" s="6">
        <v>67432.08</v>
      </c>
      <c r="G509" s="6">
        <v>81592.816999999995</v>
      </c>
      <c r="H509" s="6">
        <f>IF(OR(F509&lt;=0,G509&lt;=0),"",ROUND(G509+F509*Uso!$B$5,Uso!$B$6))</f>
        <v>83615.778999999995</v>
      </c>
      <c r="I509" s="6">
        <f t="shared" si="7"/>
        <v>20903.944749999999</v>
      </c>
      <c r="J509" t="str">
        <f>IF(COUNTIF(Cruce!$A$5:$A$14,A509)&gt;0,"SKU de muestra","Regla extrapolada")</f>
        <v>Regla extrapolada</v>
      </c>
    </row>
    <row r="510" spans="1:10" ht="30" customHeight="1">
      <c r="A510" t="s">
        <v>1075</v>
      </c>
      <c r="B510" s="5" t="s">
        <v>1076</v>
      </c>
      <c r="C510">
        <v>6</v>
      </c>
      <c r="D510">
        <v>140</v>
      </c>
      <c r="E510">
        <v>5</v>
      </c>
      <c r="F510" s="6">
        <v>24575.56</v>
      </c>
      <c r="G510" s="6">
        <v>29736.428</v>
      </c>
      <c r="H510" s="6">
        <f>IF(OR(F510&lt;=0,G510&lt;=0),"",ROUND(G510+F510*Uso!$B$5,Uso!$B$6))</f>
        <v>30473.695</v>
      </c>
      <c r="I510" s="6">
        <f t="shared" si="7"/>
        <v>5078.9491666666663</v>
      </c>
      <c r="J510" t="str">
        <f>IF(COUNTIF(Cruce!$A$5:$A$14,A510)&gt;0,"SKU de muestra","Regla extrapolada")</f>
        <v>Regla extrapolada</v>
      </c>
    </row>
    <row r="511" spans="1:10" ht="30" customHeight="1">
      <c r="A511" t="s">
        <v>1077</v>
      </c>
      <c r="B511" s="5" t="s">
        <v>1078</v>
      </c>
      <c r="C511">
        <v>10</v>
      </c>
      <c r="D511">
        <v>48</v>
      </c>
      <c r="E511">
        <v>5</v>
      </c>
      <c r="F511" s="6">
        <v>328274</v>
      </c>
      <c r="G511" s="6">
        <v>397211.54</v>
      </c>
      <c r="H511" s="6">
        <f>IF(OR(F511&lt;=0,G511&lt;=0),"",ROUND(G511+F511*Uso!$B$5,Uso!$B$6))</f>
        <v>407059.76</v>
      </c>
      <c r="I511" s="6">
        <f t="shared" si="7"/>
        <v>40705.976000000002</v>
      </c>
      <c r="J511" t="str">
        <f>IF(COUNTIF(Cruce!$A$5:$A$14,A511)&gt;0,"SKU de muestra","Regla extrapolada")</f>
        <v>Regla extrapolada</v>
      </c>
    </row>
    <row r="512" spans="1:10" ht="30" customHeight="1">
      <c r="A512" t="s">
        <v>1079</v>
      </c>
      <c r="B512" s="5" t="s">
        <v>1080</v>
      </c>
      <c r="C512">
        <v>10</v>
      </c>
      <c r="D512">
        <v>195</v>
      </c>
      <c r="E512">
        <v>5</v>
      </c>
      <c r="F512" s="6">
        <v>10419.219999999999</v>
      </c>
      <c r="G512" s="6">
        <v>12607.255999999999</v>
      </c>
      <c r="H512" s="6">
        <f>IF(OR(F512&lt;=0,G512&lt;=0),"",ROUND(G512+F512*Uso!$B$5,Uso!$B$6))</f>
        <v>12919.833000000001</v>
      </c>
      <c r="I512" s="6">
        <f t="shared" si="7"/>
        <v>1291.9833000000001</v>
      </c>
      <c r="J512" t="str">
        <f>IF(COUNTIF(Cruce!$A$5:$A$14,A512)&gt;0,"SKU de muestra","Regla extrapolada")</f>
        <v>Regla extrapolada</v>
      </c>
    </row>
    <row r="513" spans="1:10" ht="30" customHeight="1">
      <c r="A513" t="s">
        <v>1081</v>
      </c>
      <c r="B513" s="5" t="s">
        <v>1082</v>
      </c>
      <c r="C513">
        <v>4</v>
      </c>
      <c r="D513">
        <v>210</v>
      </c>
      <c r="E513">
        <v>5</v>
      </c>
      <c r="F513" s="6">
        <v>44492.85</v>
      </c>
      <c r="G513" s="6">
        <v>65359.629000000001</v>
      </c>
      <c r="H513" s="6">
        <f>IF(OR(F513&lt;=0,G513&lt;=0),"",ROUND(G513+F513*Uso!$B$5,Uso!$B$6))</f>
        <v>66694.414999999994</v>
      </c>
      <c r="I513" s="6">
        <f t="shared" si="7"/>
        <v>16673.603749999998</v>
      </c>
      <c r="J513" t="str">
        <f>IF(COUNTIF(Cruce!$A$5:$A$14,A513)&gt;0,"SKU de muestra","Regla extrapolada")</f>
        <v>Regla extrapolada</v>
      </c>
    </row>
    <row r="514" spans="1:10" ht="30" customHeight="1">
      <c r="A514" t="s">
        <v>1083</v>
      </c>
      <c r="B514" s="5" t="s">
        <v>1084</v>
      </c>
      <c r="C514">
        <v>200</v>
      </c>
      <c r="D514">
        <v>60</v>
      </c>
      <c r="E514">
        <v>5</v>
      </c>
      <c r="F514" s="6">
        <v>459583.6</v>
      </c>
      <c r="G514" s="6">
        <v>556096.15599999996</v>
      </c>
      <c r="H514" s="6">
        <f>IF(OR(F514&lt;=0,G514&lt;=0),"",ROUND(G514+F514*Uso!$B$5,Uso!$B$6))</f>
        <v>569883.66399999999</v>
      </c>
      <c r="I514" s="6">
        <f t="shared" si="7"/>
        <v>2849.4183199999998</v>
      </c>
      <c r="J514" t="str">
        <f>IF(COUNTIF(Cruce!$A$5:$A$14,A514)&gt;0,"SKU de muestra","Regla extrapolada")</f>
        <v>Regla extrapolada</v>
      </c>
    </row>
    <row r="515" spans="1:10" ht="30" customHeight="1">
      <c r="A515" t="s">
        <v>1085</v>
      </c>
      <c r="B515" s="5" t="s">
        <v>1086</v>
      </c>
      <c r="C515">
        <v>150</v>
      </c>
      <c r="D515">
        <v>10</v>
      </c>
      <c r="E515">
        <v>5</v>
      </c>
      <c r="F515" s="6">
        <v>3151430.39</v>
      </c>
      <c r="G515" s="6">
        <v>3813230.7719999999</v>
      </c>
      <c r="H515" s="6">
        <f>IF(OR(F515&lt;=0,G515&lt;=0),"",ROUND(G515+F515*Uso!$B$5,Uso!$B$6))</f>
        <v>3907773.6839999999</v>
      </c>
      <c r="I515" s="6">
        <f t="shared" si="7"/>
        <v>26051.824560000001</v>
      </c>
      <c r="J515" t="str">
        <f>IF(COUNTIF(Cruce!$A$5:$A$14,A515)&gt;0,"SKU de muestra","Regla extrapolada")</f>
        <v>Regla extrapolada</v>
      </c>
    </row>
    <row r="516" spans="1:10" ht="30" customHeight="1">
      <c r="A516" t="s">
        <v>1087</v>
      </c>
      <c r="B516" s="5" t="s">
        <v>1088</v>
      </c>
      <c r="C516">
        <v>136</v>
      </c>
      <c r="D516">
        <v>12</v>
      </c>
      <c r="E516">
        <v>5</v>
      </c>
      <c r="F516" s="6">
        <v>397342.85</v>
      </c>
      <c r="G516" s="6">
        <v>480784.84899999999</v>
      </c>
      <c r="H516" s="6">
        <f>IF(OR(F516&lt;=0,G516&lt;=0),"",ROUND(G516+F516*Uso!$B$5,Uso!$B$6))</f>
        <v>492705.13500000001</v>
      </c>
      <c r="I516" s="6">
        <f t="shared" si="7"/>
        <v>3622.8318749999999</v>
      </c>
      <c r="J516" t="str">
        <f>IF(COUNTIF(Cruce!$A$5:$A$14,A516)&gt;0,"SKU de muestra","Regla extrapolada")</f>
        <v>Regla extrapolada</v>
      </c>
    </row>
    <row r="517" spans="1:10" ht="30" customHeight="1">
      <c r="A517" t="s">
        <v>1089</v>
      </c>
      <c r="B517" s="5" t="s">
        <v>1090</v>
      </c>
      <c r="C517">
        <v>40</v>
      </c>
      <c r="D517">
        <v>28</v>
      </c>
      <c r="E517">
        <v>5</v>
      </c>
      <c r="F517" s="6">
        <v>551500.31999999995</v>
      </c>
      <c r="G517" s="6">
        <v>667315.38699999999</v>
      </c>
      <c r="H517" s="6">
        <f>IF(OR(F517&lt;=0,G517&lt;=0),"",ROUND(G517+F517*Uso!$B$5,Uso!$B$6))</f>
        <v>683860.397</v>
      </c>
      <c r="I517" s="6">
        <f t="shared" ref="I517:I580" si="8">IF(OR(H517="",C517&lt;=0),"",H517/C517)</f>
        <v>17096.509924999998</v>
      </c>
      <c r="J517" t="str">
        <f>IF(COUNTIF(Cruce!$A$5:$A$14,A517)&gt;0,"SKU de muestra","Regla extrapolada")</f>
        <v>Regla extrapolada</v>
      </c>
    </row>
    <row r="518" spans="1:10" ht="30" customHeight="1">
      <c r="A518" t="s">
        <v>1091</v>
      </c>
      <c r="B518" s="5" t="s">
        <v>1092</v>
      </c>
      <c r="C518">
        <v>1</v>
      </c>
      <c r="D518">
        <v>1</v>
      </c>
      <c r="E518">
        <v>0</v>
      </c>
      <c r="F518" s="6">
        <v>0</v>
      </c>
      <c r="G518" s="6">
        <v>0</v>
      </c>
      <c r="H518" s="6" t="str">
        <f>IF(OR(F518&lt;=0,G518&lt;=0),"",ROUND(G518+F518*Uso!$B$5,Uso!$B$6))</f>
        <v/>
      </c>
      <c r="I518" s="6" t="str">
        <f t="shared" si="8"/>
        <v/>
      </c>
      <c r="J518" t="str">
        <f>IF(COUNTIF(Cruce!$A$5:$A$14,A518)&gt;0,"SKU de muestra","Regla extrapolada")</f>
        <v>Regla extrapolada</v>
      </c>
    </row>
    <row r="519" spans="1:10" ht="30" customHeight="1">
      <c r="A519" t="s">
        <v>1093</v>
      </c>
      <c r="B519" s="5" t="s">
        <v>1094</v>
      </c>
      <c r="C519">
        <v>1</v>
      </c>
      <c r="D519">
        <v>1</v>
      </c>
      <c r="E519">
        <v>0</v>
      </c>
      <c r="F519" s="6">
        <v>0</v>
      </c>
      <c r="G519" s="6">
        <v>0</v>
      </c>
      <c r="H519" s="6" t="str">
        <f>IF(OR(F519&lt;=0,G519&lt;=0),"",ROUND(G519+F519*Uso!$B$5,Uso!$B$6))</f>
        <v/>
      </c>
      <c r="I519" s="6" t="str">
        <f t="shared" si="8"/>
        <v/>
      </c>
      <c r="J519" t="str">
        <f>IF(COUNTIF(Cruce!$A$5:$A$14,A519)&gt;0,"SKU de muestra","Regla extrapolada")</f>
        <v>Regla extrapolada</v>
      </c>
    </row>
    <row r="520" spans="1:10" ht="30" customHeight="1">
      <c r="A520" t="s">
        <v>1095</v>
      </c>
      <c r="B520" s="5" t="s">
        <v>1096</v>
      </c>
      <c r="C520">
        <v>1</v>
      </c>
      <c r="D520">
        <v>1</v>
      </c>
      <c r="E520">
        <v>0</v>
      </c>
      <c r="F520" s="6">
        <v>0</v>
      </c>
      <c r="G520" s="6">
        <v>0</v>
      </c>
      <c r="H520" s="6" t="str">
        <f>IF(OR(F520&lt;=0,G520&lt;=0),"",ROUND(G520+F520*Uso!$B$5,Uso!$B$6))</f>
        <v/>
      </c>
      <c r="I520" s="6" t="str">
        <f t="shared" si="8"/>
        <v/>
      </c>
      <c r="J520" t="str">
        <f>IF(COUNTIF(Cruce!$A$5:$A$14,A520)&gt;0,"SKU de muestra","Regla extrapolada")</f>
        <v>Regla extrapolada</v>
      </c>
    </row>
    <row r="521" spans="1:10" ht="30" customHeight="1">
      <c r="A521" t="s">
        <v>1097</v>
      </c>
      <c r="B521" s="5" t="s">
        <v>1098</v>
      </c>
      <c r="C521">
        <v>1</v>
      </c>
      <c r="D521">
        <v>1</v>
      </c>
      <c r="E521">
        <v>0</v>
      </c>
      <c r="F521" s="6">
        <v>0</v>
      </c>
      <c r="G521" s="6">
        <v>0</v>
      </c>
      <c r="H521" s="6" t="str">
        <f>IF(OR(F521&lt;=0,G521&lt;=0),"",ROUND(G521+F521*Uso!$B$5,Uso!$B$6))</f>
        <v/>
      </c>
      <c r="I521" s="6" t="str">
        <f t="shared" si="8"/>
        <v/>
      </c>
      <c r="J521" t="str">
        <f>IF(COUNTIF(Cruce!$A$5:$A$14,A521)&gt;0,"SKU de muestra","Regla extrapolada")</f>
        <v>Regla extrapolada</v>
      </c>
    </row>
    <row r="522" spans="1:10" ht="30" customHeight="1">
      <c r="A522" t="s">
        <v>1099</v>
      </c>
      <c r="B522" s="5" t="s">
        <v>1100</v>
      </c>
      <c r="C522">
        <v>1</v>
      </c>
      <c r="D522">
        <v>1</v>
      </c>
      <c r="E522">
        <v>0</v>
      </c>
      <c r="F522" s="6">
        <v>0</v>
      </c>
      <c r="G522" s="6">
        <v>0</v>
      </c>
      <c r="H522" s="6" t="str">
        <f>IF(OR(F522&lt;=0,G522&lt;=0),"",ROUND(G522+F522*Uso!$B$5,Uso!$B$6))</f>
        <v/>
      </c>
      <c r="I522" s="6" t="str">
        <f t="shared" si="8"/>
        <v/>
      </c>
      <c r="J522" t="str">
        <f>IF(COUNTIF(Cruce!$A$5:$A$14,A522)&gt;0,"SKU de muestra","Regla extrapolada")</f>
        <v>Regla extrapolada</v>
      </c>
    </row>
    <row r="523" spans="1:10" ht="30" customHeight="1">
      <c r="A523" t="s">
        <v>1101</v>
      </c>
      <c r="B523" s="5" t="s">
        <v>1102</v>
      </c>
      <c r="C523">
        <v>1</v>
      </c>
      <c r="D523">
        <v>1</v>
      </c>
      <c r="E523">
        <v>0</v>
      </c>
      <c r="F523" s="6">
        <v>0</v>
      </c>
      <c r="G523" s="6">
        <v>0</v>
      </c>
      <c r="H523" s="6" t="str">
        <f>IF(OR(F523&lt;=0,G523&lt;=0),"",ROUND(G523+F523*Uso!$B$5,Uso!$B$6))</f>
        <v/>
      </c>
      <c r="I523" s="6" t="str">
        <f t="shared" si="8"/>
        <v/>
      </c>
      <c r="J523" t="str">
        <f>IF(COUNTIF(Cruce!$A$5:$A$14,A523)&gt;0,"SKU de muestra","Regla extrapolada")</f>
        <v>Regla extrapolada</v>
      </c>
    </row>
    <row r="524" spans="1:10" ht="30" customHeight="1">
      <c r="A524" t="s">
        <v>1103</v>
      </c>
      <c r="B524" s="5" t="s">
        <v>1104</v>
      </c>
      <c r="C524">
        <v>1</v>
      </c>
      <c r="D524">
        <v>1</v>
      </c>
      <c r="E524">
        <v>0</v>
      </c>
      <c r="F524" s="6">
        <v>0</v>
      </c>
      <c r="G524" s="6">
        <v>0</v>
      </c>
      <c r="H524" s="6" t="str">
        <f>IF(OR(F524&lt;=0,G524&lt;=0),"",ROUND(G524+F524*Uso!$B$5,Uso!$B$6))</f>
        <v/>
      </c>
      <c r="I524" s="6" t="str">
        <f t="shared" si="8"/>
        <v/>
      </c>
      <c r="J524" t="str">
        <f>IF(COUNTIF(Cruce!$A$5:$A$14,A524)&gt;0,"SKU de muestra","Regla extrapolada")</f>
        <v>Regla extrapolada</v>
      </c>
    </row>
    <row r="525" spans="1:10" ht="30" customHeight="1">
      <c r="A525" t="s">
        <v>1105</v>
      </c>
      <c r="B525" s="5" t="s">
        <v>1106</v>
      </c>
      <c r="C525">
        <v>1</v>
      </c>
      <c r="D525">
        <v>1</v>
      </c>
      <c r="E525">
        <v>0</v>
      </c>
      <c r="F525" s="6">
        <v>0</v>
      </c>
      <c r="G525" s="6">
        <v>0</v>
      </c>
      <c r="H525" s="6" t="str">
        <f>IF(OR(F525&lt;=0,G525&lt;=0),"",ROUND(G525+F525*Uso!$B$5,Uso!$B$6))</f>
        <v/>
      </c>
      <c r="I525" s="6" t="str">
        <f t="shared" si="8"/>
        <v/>
      </c>
      <c r="J525" t="str">
        <f>IF(COUNTIF(Cruce!$A$5:$A$14,A525)&gt;0,"SKU de muestra","Regla extrapolada")</f>
        <v>Regla extrapolada</v>
      </c>
    </row>
    <row r="526" spans="1:10" ht="30" customHeight="1">
      <c r="A526" t="s">
        <v>1107</v>
      </c>
      <c r="B526" s="5" t="s">
        <v>1108</v>
      </c>
      <c r="C526">
        <v>1</v>
      </c>
      <c r="D526">
        <v>2</v>
      </c>
      <c r="E526">
        <v>0</v>
      </c>
      <c r="F526" s="6">
        <v>0</v>
      </c>
      <c r="G526" s="6">
        <v>0</v>
      </c>
      <c r="H526" s="6" t="str">
        <f>IF(OR(F526&lt;=0,G526&lt;=0),"",ROUND(G526+F526*Uso!$B$5,Uso!$B$6))</f>
        <v/>
      </c>
      <c r="I526" s="6" t="str">
        <f t="shared" si="8"/>
        <v/>
      </c>
      <c r="J526" t="str">
        <f>IF(COUNTIF(Cruce!$A$5:$A$14,A526)&gt;0,"SKU de muestra","Regla extrapolada")</f>
        <v>Regla extrapolada</v>
      </c>
    </row>
    <row r="527" spans="1:10" ht="30" customHeight="1">
      <c r="A527" t="s">
        <v>1109</v>
      </c>
      <c r="B527" s="5" t="s">
        <v>1110</v>
      </c>
      <c r="C527">
        <v>1</v>
      </c>
      <c r="D527">
        <v>2</v>
      </c>
      <c r="E527">
        <v>0</v>
      </c>
      <c r="F527" s="6">
        <v>0</v>
      </c>
      <c r="G527" s="6">
        <v>0</v>
      </c>
      <c r="H527" s="6" t="str">
        <f>IF(OR(F527&lt;=0,G527&lt;=0),"",ROUND(G527+F527*Uso!$B$5,Uso!$B$6))</f>
        <v/>
      </c>
      <c r="I527" s="6" t="str">
        <f t="shared" si="8"/>
        <v/>
      </c>
      <c r="J527" t="str">
        <f>IF(COUNTIF(Cruce!$A$5:$A$14,A527)&gt;0,"SKU de muestra","Regla extrapolada")</f>
        <v>Regla extrapolada</v>
      </c>
    </row>
    <row r="528" spans="1:10" ht="30" customHeight="1">
      <c r="A528" t="s">
        <v>1111</v>
      </c>
      <c r="B528" s="5" t="s">
        <v>1112</v>
      </c>
      <c r="C528">
        <v>1</v>
      </c>
      <c r="D528">
        <v>1</v>
      </c>
      <c r="E528">
        <v>0</v>
      </c>
      <c r="F528" s="6">
        <v>0</v>
      </c>
      <c r="G528" s="6">
        <v>0</v>
      </c>
      <c r="H528" s="6" t="str">
        <f>IF(OR(F528&lt;=0,G528&lt;=0),"",ROUND(G528+F528*Uso!$B$5,Uso!$B$6))</f>
        <v/>
      </c>
      <c r="I528" s="6" t="str">
        <f t="shared" si="8"/>
        <v/>
      </c>
      <c r="J528" t="str">
        <f>IF(COUNTIF(Cruce!$A$5:$A$14,A528)&gt;0,"SKU de muestra","Regla extrapolada")</f>
        <v>Regla extrapolada</v>
      </c>
    </row>
    <row r="529" spans="1:10" ht="30" customHeight="1">
      <c r="A529" t="s">
        <v>1113</v>
      </c>
      <c r="B529" s="5" t="s">
        <v>1114</v>
      </c>
      <c r="C529">
        <v>1</v>
      </c>
      <c r="D529">
        <v>1</v>
      </c>
      <c r="E529">
        <v>0</v>
      </c>
      <c r="F529" s="6">
        <v>0</v>
      </c>
      <c r="G529" s="6">
        <v>0</v>
      </c>
      <c r="H529" s="6" t="str">
        <f>IF(OR(F529&lt;=0,G529&lt;=0),"",ROUND(G529+F529*Uso!$B$5,Uso!$B$6))</f>
        <v/>
      </c>
      <c r="I529" s="6" t="str">
        <f t="shared" si="8"/>
        <v/>
      </c>
      <c r="J529" t="str">
        <f>IF(COUNTIF(Cruce!$A$5:$A$14,A529)&gt;0,"SKU de muestra","Regla extrapolada")</f>
        <v>Regla extrapolada</v>
      </c>
    </row>
    <row r="530" spans="1:10" ht="30" customHeight="1">
      <c r="A530" t="s">
        <v>1115</v>
      </c>
      <c r="B530" s="5" t="s">
        <v>1116</v>
      </c>
      <c r="C530">
        <v>1</v>
      </c>
      <c r="D530">
        <v>1</v>
      </c>
      <c r="E530">
        <v>0</v>
      </c>
      <c r="F530" s="6">
        <v>0</v>
      </c>
      <c r="G530" s="6">
        <v>0</v>
      </c>
      <c r="H530" s="6" t="str">
        <f>IF(OR(F530&lt;=0,G530&lt;=0),"",ROUND(G530+F530*Uso!$B$5,Uso!$B$6))</f>
        <v/>
      </c>
      <c r="I530" s="6" t="str">
        <f t="shared" si="8"/>
        <v/>
      </c>
      <c r="J530" t="str">
        <f>IF(COUNTIF(Cruce!$A$5:$A$14,A530)&gt;0,"SKU de muestra","Regla extrapolada")</f>
        <v>Regla extrapolada</v>
      </c>
    </row>
    <row r="531" spans="1:10" ht="30" customHeight="1">
      <c r="A531" t="s">
        <v>1117</v>
      </c>
      <c r="B531" s="5" t="s">
        <v>1118</v>
      </c>
      <c r="C531">
        <v>1</v>
      </c>
      <c r="D531">
        <v>2</v>
      </c>
      <c r="E531">
        <v>0</v>
      </c>
      <c r="F531" s="6">
        <v>0</v>
      </c>
      <c r="G531" s="6">
        <v>0</v>
      </c>
      <c r="H531" s="6" t="str">
        <f>IF(OR(F531&lt;=0,G531&lt;=0),"",ROUND(G531+F531*Uso!$B$5,Uso!$B$6))</f>
        <v/>
      </c>
      <c r="I531" s="6" t="str">
        <f t="shared" si="8"/>
        <v/>
      </c>
      <c r="J531" t="str">
        <f>IF(COUNTIF(Cruce!$A$5:$A$14,A531)&gt;0,"SKU de muestra","Regla extrapolada")</f>
        <v>Regla extrapolada</v>
      </c>
    </row>
    <row r="532" spans="1:10" ht="30" customHeight="1">
      <c r="A532" t="s">
        <v>1119</v>
      </c>
      <c r="B532" s="5" t="s">
        <v>1120</v>
      </c>
      <c r="C532">
        <v>1</v>
      </c>
      <c r="D532">
        <v>1</v>
      </c>
      <c r="E532">
        <v>0</v>
      </c>
      <c r="F532" s="6">
        <v>0</v>
      </c>
      <c r="G532" s="6">
        <v>0</v>
      </c>
      <c r="H532" s="6" t="str">
        <f>IF(OR(F532&lt;=0,G532&lt;=0),"",ROUND(G532+F532*Uso!$B$5,Uso!$B$6))</f>
        <v/>
      </c>
      <c r="I532" s="6" t="str">
        <f t="shared" si="8"/>
        <v/>
      </c>
      <c r="J532" t="str">
        <f>IF(COUNTIF(Cruce!$A$5:$A$14,A532)&gt;0,"SKU de muestra","Regla extrapolada")</f>
        <v>Regla extrapolada</v>
      </c>
    </row>
    <row r="533" spans="1:10" ht="30" customHeight="1">
      <c r="A533" t="s">
        <v>1121</v>
      </c>
      <c r="B533" s="5" t="s">
        <v>1122</v>
      </c>
      <c r="C533">
        <v>1</v>
      </c>
      <c r="D533">
        <v>1</v>
      </c>
      <c r="E533">
        <v>0</v>
      </c>
      <c r="F533" s="6">
        <v>0</v>
      </c>
      <c r="G533" s="6">
        <v>0</v>
      </c>
      <c r="H533" s="6" t="str">
        <f>IF(OR(F533&lt;=0,G533&lt;=0),"",ROUND(G533+F533*Uso!$B$5,Uso!$B$6))</f>
        <v/>
      </c>
      <c r="I533" s="6" t="str">
        <f t="shared" si="8"/>
        <v/>
      </c>
      <c r="J533" t="str">
        <f>IF(COUNTIF(Cruce!$A$5:$A$14,A533)&gt;0,"SKU de muestra","Regla extrapolada")</f>
        <v>Regla extrapolada</v>
      </c>
    </row>
    <row r="534" spans="1:10" ht="30" customHeight="1">
      <c r="A534" t="s">
        <v>1123</v>
      </c>
      <c r="B534" s="5" t="s">
        <v>1124</v>
      </c>
      <c r="C534">
        <v>1</v>
      </c>
      <c r="D534">
        <v>1</v>
      </c>
      <c r="E534">
        <v>0</v>
      </c>
      <c r="F534" s="6">
        <v>0</v>
      </c>
      <c r="G534" s="6">
        <v>0</v>
      </c>
      <c r="H534" s="6" t="str">
        <f>IF(OR(F534&lt;=0,G534&lt;=0),"",ROUND(G534+F534*Uso!$B$5,Uso!$B$6))</f>
        <v/>
      </c>
      <c r="I534" s="6" t="str">
        <f t="shared" si="8"/>
        <v/>
      </c>
      <c r="J534" t="str">
        <f>IF(COUNTIF(Cruce!$A$5:$A$14,A534)&gt;0,"SKU de muestra","Regla extrapolada")</f>
        <v>Regla extrapolada</v>
      </c>
    </row>
    <row r="535" spans="1:10" ht="30" customHeight="1">
      <c r="A535" t="s">
        <v>1125</v>
      </c>
      <c r="B535" s="5" t="s">
        <v>1126</v>
      </c>
      <c r="C535">
        <v>1</v>
      </c>
      <c r="D535">
        <v>1</v>
      </c>
      <c r="E535">
        <v>0</v>
      </c>
      <c r="F535" s="6">
        <v>0</v>
      </c>
      <c r="G535" s="6">
        <v>0</v>
      </c>
      <c r="H535" s="6" t="str">
        <f>IF(OR(F535&lt;=0,G535&lt;=0),"",ROUND(G535+F535*Uso!$B$5,Uso!$B$6))</f>
        <v/>
      </c>
      <c r="I535" s="6" t="str">
        <f t="shared" si="8"/>
        <v/>
      </c>
      <c r="J535" t="str">
        <f>IF(COUNTIF(Cruce!$A$5:$A$14,A535)&gt;0,"SKU de muestra","Regla extrapolada")</f>
        <v>Regla extrapolada</v>
      </c>
    </row>
    <row r="536" spans="1:10" ht="30" customHeight="1">
      <c r="A536" t="s">
        <v>1127</v>
      </c>
      <c r="B536" s="5" t="s">
        <v>1128</v>
      </c>
      <c r="C536">
        <v>1</v>
      </c>
      <c r="D536">
        <v>1</v>
      </c>
      <c r="E536">
        <v>0</v>
      </c>
      <c r="F536" s="6">
        <v>0</v>
      </c>
      <c r="G536" s="6">
        <v>0</v>
      </c>
      <c r="H536" s="6" t="str">
        <f>IF(OR(F536&lt;=0,G536&lt;=0),"",ROUND(G536+F536*Uso!$B$5,Uso!$B$6))</f>
        <v/>
      </c>
      <c r="I536" s="6" t="str">
        <f t="shared" si="8"/>
        <v/>
      </c>
      <c r="J536" t="str">
        <f>IF(COUNTIF(Cruce!$A$5:$A$14,A536)&gt;0,"SKU de muestra","Regla extrapolada")</f>
        <v>Regla extrapolada</v>
      </c>
    </row>
    <row r="537" spans="1:10" ht="30" customHeight="1">
      <c r="A537" t="s">
        <v>1129</v>
      </c>
      <c r="B537" s="5" t="s">
        <v>1130</v>
      </c>
      <c r="C537">
        <v>1</v>
      </c>
      <c r="D537">
        <v>1</v>
      </c>
      <c r="E537">
        <v>0</v>
      </c>
      <c r="F537" s="6">
        <v>0</v>
      </c>
      <c r="G537" s="6">
        <v>0</v>
      </c>
      <c r="H537" s="6" t="str">
        <f>IF(OR(F537&lt;=0,G537&lt;=0),"",ROUND(G537+F537*Uso!$B$5,Uso!$B$6))</f>
        <v/>
      </c>
      <c r="I537" s="6" t="str">
        <f t="shared" si="8"/>
        <v/>
      </c>
      <c r="J537" t="str">
        <f>IF(COUNTIF(Cruce!$A$5:$A$14,A537)&gt;0,"SKU de muestra","Regla extrapolada")</f>
        <v>Regla extrapolada</v>
      </c>
    </row>
    <row r="538" spans="1:10" ht="30" customHeight="1">
      <c r="A538" t="s">
        <v>1131</v>
      </c>
      <c r="B538" s="5" t="s">
        <v>1132</v>
      </c>
      <c r="C538">
        <v>1</v>
      </c>
      <c r="D538">
        <v>1</v>
      </c>
      <c r="E538">
        <v>0</v>
      </c>
      <c r="F538" s="6">
        <v>0</v>
      </c>
      <c r="G538" s="6">
        <v>0</v>
      </c>
      <c r="H538" s="6" t="str">
        <f>IF(OR(F538&lt;=0,G538&lt;=0),"",ROUND(G538+F538*Uso!$B$5,Uso!$B$6))</f>
        <v/>
      </c>
      <c r="I538" s="6" t="str">
        <f t="shared" si="8"/>
        <v/>
      </c>
      <c r="J538" t="str">
        <f>IF(COUNTIF(Cruce!$A$5:$A$14,A538)&gt;0,"SKU de muestra","Regla extrapolada")</f>
        <v>Regla extrapolada</v>
      </c>
    </row>
    <row r="539" spans="1:10" ht="30" customHeight="1">
      <c r="A539" t="s">
        <v>1133</v>
      </c>
      <c r="B539" s="5" t="s">
        <v>1134</v>
      </c>
      <c r="C539">
        <v>1</v>
      </c>
      <c r="D539">
        <v>2</v>
      </c>
      <c r="E539">
        <v>0</v>
      </c>
      <c r="F539" s="6">
        <v>0</v>
      </c>
      <c r="G539" s="6">
        <v>0</v>
      </c>
      <c r="H539" s="6" t="str">
        <f>IF(OR(F539&lt;=0,G539&lt;=0),"",ROUND(G539+F539*Uso!$B$5,Uso!$B$6))</f>
        <v/>
      </c>
      <c r="I539" s="6" t="str">
        <f t="shared" si="8"/>
        <v/>
      </c>
      <c r="J539" t="str">
        <f>IF(COUNTIF(Cruce!$A$5:$A$14,A539)&gt;0,"SKU de muestra","Regla extrapolada")</f>
        <v>Regla extrapolada</v>
      </c>
    </row>
    <row r="540" spans="1:10" ht="30" customHeight="1">
      <c r="A540" t="s">
        <v>1135</v>
      </c>
      <c r="B540" s="5" t="s">
        <v>1136</v>
      </c>
      <c r="C540">
        <v>1</v>
      </c>
      <c r="D540">
        <v>1</v>
      </c>
      <c r="E540">
        <v>0</v>
      </c>
      <c r="F540" s="6">
        <v>0</v>
      </c>
      <c r="G540" s="6">
        <v>0</v>
      </c>
      <c r="H540" s="6" t="str">
        <f>IF(OR(F540&lt;=0,G540&lt;=0),"",ROUND(G540+F540*Uso!$B$5,Uso!$B$6))</f>
        <v/>
      </c>
      <c r="I540" s="6" t="str">
        <f t="shared" si="8"/>
        <v/>
      </c>
      <c r="J540" t="str">
        <f>IF(COUNTIF(Cruce!$A$5:$A$14,A540)&gt;0,"SKU de muestra","Regla extrapolada")</f>
        <v>Regla extrapolada</v>
      </c>
    </row>
    <row r="541" spans="1:10" ht="30" customHeight="1">
      <c r="A541" t="s">
        <v>1137</v>
      </c>
      <c r="B541" s="5" t="s">
        <v>1138</v>
      </c>
      <c r="C541">
        <v>1</v>
      </c>
      <c r="D541">
        <v>1</v>
      </c>
      <c r="E541">
        <v>0</v>
      </c>
      <c r="F541" s="6">
        <v>0</v>
      </c>
      <c r="G541" s="6">
        <v>0</v>
      </c>
      <c r="H541" s="6" t="str">
        <f>IF(OR(F541&lt;=0,G541&lt;=0),"",ROUND(G541+F541*Uso!$B$5,Uso!$B$6))</f>
        <v/>
      </c>
      <c r="I541" s="6" t="str">
        <f t="shared" si="8"/>
        <v/>
      </c>
      <c r="J541" t="str">
        <f>IF(COUNTIF(Cruce!$A$5:$A$14,A541)&gt;0,"SKU de muestra","Regla extrapolada")</f>
        <v>Regla extrapolada</v>
      </c>
    </row>
    <row r="542" spans="1:10" ht="30" customHeight="1">
      <c r="A542" t="s">
        <v>1139</v>
      </c>
      <c r="B542" s="5" t="s">
        <v>1140</v>
      </c>
      <c r="C542">
        <v>1</v>
      </c>
      <c r="D542">
        <v>1</v>
      </c>
      <c r="E542">
        <v>0</v>
      </c>
      <c r="F542" s="6">
        <v>0</v>
      </c>
      <c r="G542" s="6">
        <v>0</v>
      </c>
      <c r="H542" s="6" t="str">
        <f>IF(OR(F542&lt;=0,G542&lt;=0),"",ROUND(G542+F542*Uso!$B$5,Uso!$B$6))</f>
        <v/>
      </c>
      <c r="I542" s="6" t="str">
        <f t="shared" si="8"/>
        <v/>
      </c>
      <c r="J542" t="str">
        <f>IF(COUNTIF(Cruce!$A$5:$A$14,A542)&gt;0,"SKU de muestra","Regla extrapolada")</f>
        <v>Regla extrapolada</v>
      </c>
    </row>
    <row r="543" spans="1:10" ht="30" customHeight="1">
      <c r="A543" t="s">
        <v>1141</v>
      </c>
      <c r="B543" s="5" t="s">
        <v>1142</v>
      </c>
      <c r="C543">
        <v>1</v>
      </c>
      <c r="D543">
        <v>1</v>
      </c>
      <c r="E543">
        <v>0</v>
      </c>
      <c r="F543" s="6">
        <v>0</v>
      </c>
      <c r="G543" s="6">
        <v>0</v>
      </c>
      <c r="H543" s="6" t="str">
        <f>IF(OR(F543&lt;=0,G543&lt;=0),"",ROUND(G543+F543*Uso!$B$5,Uso!$B$6))</f>
        <v/>
      </c>
      <c r="I543" s="6" t="str">
        <f t="shared" si="8"/>
        <v/>
      </c>
      <c r="J543" t="str">
        <f>IF(COUNTIF(Cruce!$A$5:$A$14,A543)&gt;0,"SKU de muestra","Regla extrapolada")</f>
        <v>Regla extrapolada</v>
      </c>
    </row>
    <row r="544" spans="1:10" ht="30" customHeight="1">
      <c r="A544" t="s">
        <v>1143</v>
      </c>
      <c r="B544" s="5" t="s">
        <v>1144</v>
      </c>
      <c r="C544">
        <v>1</v>
      </c>
      <c r="D544">
        <v>1</v>
      </c>
      <c r="E544">
        <v>0</v>
      </c>
      <c r="F544" s="6">
        <v>0</v>
      </c>
      <c r="G544" s="6">
        <v>0</v>
      </c>
      <c r="H544" s="6" t="str">
        <f>IF(OR(F544&lt;=0,G544&lt;=0),"",ROUND(G544+F544*Uso!$B$5,Uso!$B$6))</f>
        <v/>
      </c>
      <c r="I544" s="6" t="str">
        <f t="shared" si="8"/>
        <v/>
      </c>
      <c r="J544" t="str">
        <f>IF(COUNTIF(Cruce!$A$5:$A$14,A544)&gt;0,"SKU de muestra","Regla extrapolada")</f>
        <v>Regla extrapolada</v>
      </c>
    </row>
    <row r="545" spans="1:10" ht="30" customHeight="1">
      <c r="A545" t="s">
        <v>1145</v>
      </c>
      <c r="B545" s="5" t="s">
        <v>1146</v>
      </c>
      <c r="C545">
        <v>1</v>
      </c>
      <c r="D545">
        <v>1</v>
      </c>
      <c r="E545">
        <v>0</v>
      </c>
      <c r="F545" s="6">
        <v>0</v>
      </c>
      <c r="G545" s="6">
        <v>0</v>
      </c>
      <c r="H545" s="6" t="str">
        <f>IF(OR(F545&lt;=0,G545&lt;=0),"",ROUND(G545+F545*Uso!$B$5,Uso!$B$6))</f>
        <v/>
      </c>
      <c r="I545" s="6" t="str">
        <f t="shared" si="8"/>
        <v/>
      </c>
      <c r="J545" t="str">
        <f>IF(COUNTIF(Cruce!$A$5:$A$14,A545)&gt;0,"SKU de muestra","Regla extrapolada")</f>
        <v>Regla extrapolada</v>
      </c>
    </row>
    <row r="546" spans="1:10" ht="30" customHeight="1">
      <c r="A546" t="s">
        <v>1147</v>
      </c>
      <c r="B546" s="5" t="s">
        <v>1148</v>
      </c>
      <c r="C546">
        <v>1</v>
      </c>
      <c r="D546">
        <v>1</v>
      </c>
      <c r="E546">
        <v>0</v>
      </c>
      <c r="F546" s="6">
        <v>0</v>
      </c>
      <c r="G546" s="6">
        <v>0</v>
      </c>
      <c r="H546" s="6" t="str">
        <f>IF(OR(F546&lt;=0,G546&lt;=0),"",ROUND(G546+F546*Uso!$B$5,Uso!$B$6))</f>
        <v/>
      </c>
      <c r="I546" s="6" t="str">
        <f t="shared" si="8"/>
        <v/>
      </c>
      <c r="J546" t="str">
        <f>IF(COUNTIF(Cruce!$A$5:$A$14,A546)&gt;0,"SKU de muestra","Regla extrapolada")</f>
        <v>Regla extrapolada</v>
      </c>
    </row>
    <row r="547" spans="1:10" ht="30" customHeight="1">
      <c r="A547" t="s">
        <v>1149</v>
      </c>
      <c r="B547" s="5" t="s">
        <v>1150</v>
      </c>
      <c r="C547">
        <v>1</v>
      </c>
      <c r="D547">
        <v>1</v>
      </c>
      <c r="E547">
        <v>0</v>
      </c>
      <c r="F547" s="6">
        <v>0</v>
      </c>
      <c r="G547" s="6">
        <v>0</v>
      </c>
      <c r="H547" s="6" t="str">
        <f>IF(OR(F547&lt;=0,G547&lt;=0),"",ROUND(G547+F547*Uso!$B$5,Uso!$B$6))</f>
        <v/>
      </c>
      <c r="I547" s="6" t="str">
        <f t="shared" si="8"/>
        <v/>
      </c>
      <c r="J547" t="str">
        <f>IF(COUNTIF(Cruce!$A$5:$A$14,A547)&gt;0,"SKU de muestra","Regla extrapolada")</f>
        <v>Regla extrapolada</v>
      </c>
    </row>
    <row r="548" spans="1:10" ht="30" customHeight="1">
      <c r="A548" t="s">
        <v>1151</v>
      </c>
      <c r="B548" s="5" t="s">
        <v>1152</v>
      </c>
      <c r="C548">
        <v>1</v>
      </c>
      <c r="D548">
        <v>1</v>
      </c>
      <c r="E548">
        <v>0</v>
      </c>
      <c r="F548" s="6">
        <v>0</v>
      </c>
      <c r="G548" s="6">
        <v>0</v>
      </c>
      <c r="H548" s="6" t="str">
        <f>IF(OR(F548&lt;=0,G548&lt;=0),"",ROUND(G548+F548*Uso!$B$5,Uso!$B$6))</f>
        <v/>
      </c>
      <c r="I548" s="6" t="str">
        <f t="shared" si="8"/>
        <v/>
      </c>
      <c r="J548" t="str">
        <f>IF(COUNTIF(Cruce!$A$5:$A$14,A548)&gt;0,"SKU de muestra","Regla extrapolada")</f>
        <v>Regla extrapolada</v>
      </c>
    </row>
    <row r="549" spans="1:10" ht="30" customHeight="1">
      <c r="A549" t="s">
        <v>1153</v>
      </c>
      <c r="B549" s="5" t="s">
        <v>1154</v>
      </c>
      <c r="C549">
        <v>1</v>
      </c>
      <c r="D549">
        <v>1</v>
      </c>
      <c r="E549">
        <v>0</v>
      </c>
      <c r="F549" s="6">
        <v>0</v>
      </c>
      <c r="G549" s="6">
        <v>0</v>
      </c>
      <c r="H549" s="6" t="str">
        <f>IF(OR(F549&lt;=0,G549&lt;=0),"",ROUND(G549+F549*Uso!$B$5,Uso!$B$6))</f>
        <v/>
      </c>
      <c r="I549" s="6" t="str">
        <f t="shared" si="8"/>
        <v/>
      </c>
      <c r="J549" t="str">
        <f>IF(COUNTIF(Cruce!$A$5:$A$14,A549)&gt;0,"SKU de muestra","Regla extrapolada")</f>
        <v>Regla extrapolada</v>
      </c>
    </row>
    <row r="550" spans="1:10" ht="30" customHeight="1">
      <c r="A550" t="s">
        <v>1155</v>
      </c>
      <c r="B550" s="5" t="s">
        <v>1156</v>
      </c>
      <c r="C550">
        <v>1</v>
      </c>
      <c r="D550">
        <v>1</v>
      </c>
      <c r="E550">
        <v>0</v>
      </c>
      <c r="F550" s="6">
        <v>0</v>
      </c>
      <c r="G550" s="6">
        <v>0</v>
      </c>
      <c r="H550" s="6" t="str">
        <f>IF(OR(F550&lt;=0,G550&lt;=0),"",ROUND(G550+F550*Uso!$B$5,Uso!$B$6))</f>
        <v/>
      </c>
      <c r="I550" s="6" t="str">
        <f t="shared" si="8"/>
        <v/>
      </c>
      <c r="J550" t="str">
        <f>IF(COUNTIF(Cruce!$A$5:$A$14,A550)&gt;0,"SKU de muestra","Regla extrapolada")</f>
        <v>Regla extrapolada</v>
      </c>
    </row>
    <row r="551" spans="1:10" ht="30" customHeight="1">
      <c r="A551" t="s">
        <v>1157</v>
      </c>
      <c r="B551" s="5" t="s">
        <v>1158</v>
      </c>
      <c r="C551">
        <v>1</v>
      </c>
      <c r="D551">
        <v>1</v>
      </c>
      <c r="E551">
        <v>0</v>
      </c>
      <c r="F551" s="6">
        <v>0</v>
      </c>
      <c r="G551" s="6">
        <v>0</v>
      </c>
      <c r="H551" s="6" t="str">
        <f>IF(OR(F551&lt;=0,G551&lt;=0),"",ROUND(G551+F551*Uso!$B$5,Uso!$B$6))</f>
        <v/>
      </c>
      <c r="I551" s="6" t="str">
        <f t="shared" si="8"/>
        <v/>
      </c>
      <c r="J551" t="str">
        <f>IF(COUNTIF(Cruce!$A$5:$A$14,A551)&gt;0,"SKU de muestra","Regla extrapolada")</f>
        <v>Regla extrapolada</v>
      </c>
    </row>
    <row r="552" spans="1:10" ht="30" customHeight="1">
      <c r="A552" t="s">
        <v>1159</v>
      </c>
      <c r="B552" s="5" t="s">
        <v>1160</v>
      </c>
      <c r="C552">
        <v>1</v>
      </c>
      <c r="D552">
        <v>1</v>
      </c>
      <c r="E552">
        <v>0</v>
      </c>
      <c r="F552" s="6">
        <v>0</v>
      </c>
      <c r="G552" s="6">
        <v>0</v>
      </c>
      <c r="H552" s="6" t="str">
        <f>IF(OR(F552&lt;=0,G552&lt;=0),"",ROUND(G552+F552*Uso!$B$5,Uso!$B$6))</f>
        <v/>
      </c>
      <c r="I552" s="6" t="str">
        <f t="shared" si="8"/>
        <v/>
      </c>
      <c r="J552" t="str">
        <f>IF(COUNTIF(Cruce!$A$5:$A$14,A552)&gt;0,"SKU de muestra","Regla extrapolada")</f>
        <v>Regla extrapolada</v>
      </c>
    </row>
    <row r="553" spans="1:10" ht="30" customHeight="1">
      <c r="A553" t="s">
        <v>1161</v>
      </c>
      <c r="B553" s="5" t="s">
        <v>1162</v>
      </c>
      <c r="C553">
        <v>1</v>
      </c>
      <c r="D553">
        <v>1</v>
      </c>
      <c r="E553">
        <v>0</v>
      </c>
      <c r="F553" s="6">
        <v>0</v>
      </c>
      <c r="G553" s="6">
        <v>0</v>
      </c>
      <c r="H553" s="6" t="str">
        <f>IF(OR(F553&lt;=0,G553&lt;=0),"",ROUND(G553+F553*Uso!$B$5,Uso!$B$6))</f>
        <v/>
      </c>
      <c r="I553" s="6" t="str">
        <f t="shared" si="8"/>
        <v/>
      </c>
      <c r="J553" t="str">
        <f>IF(COUNTIF(Cruce!$A$5:$A$14,A553)&gt;0,"SKU de muestra","Regla extrapolada")</f>
        <v>Regla extrapolada</v>
      </c>
    </row>
    <row r="554" spans="1:10" ht="30" customHeight="1">
      <c r="A554" t="s">
        <v>1163</v>
      </c>
      <c r="B554" s="5" t="s">
        <v>1164</v>
      </c>
      <c r="C554">
        <v>1</v>
      </c>
      <c r="D554">
        <v>1</v>
      </c>
      <c r="E554">
        <v>0</v>
      </c>
      <c r="F554" s="6">
        <v>0</v>
      </c>
      <c r="G554" s="6">
        <v>0</v>
      </c>
      <c r="H554" s="6" t="str">
        <f>IF(OR(F554&lt;=0,G554&lt;=0),"",ROUND(G554+F554*Uso!$B$5,Uso!$B$6))</f>
        <v/>
      </c>
      <c r="I554" s="6" t="str">
        <f t="shared" si="8"/>
        <v/>
      </c>
      <c r="J554" t="str">
        <f>IF(COUNTIF(Cruce!$A$5:$A$14,A554)&gt;0,"SKU de muestra","Regla extrapolada")</f>
        <v>Regla extrapolada</v>
      </c>
    </row>
    <row r="555" spans="1:10" ht="30" customHeight="1">
      <c r="A555" t="s">
        <v>1165</v>
      </c>
      <c r="B555" s="5" t="s">
        <v>1166</v>
      </c>
      <c r="C555">
        <v>1</v>
      </c>
      <c r="D555">
        <v>1</v>
      </c>
      <c r="E555">
        <v>0</v>
      </c>
      <c r="F555" s="6">
        <v>0</v>
      </c>
      <c r="G555" s="6">
        <v>0</v>
      </c>
      <c r="H555" s="6" t="str">
        <f>IF(OR(F555&lt;=0,G555&lt;=0),"",ROUND(G555+F555*Uso!$B$5,Uso!$B$6))</f>
        <v/>
      </c>
      <c r="I555" s="6" t="str">
        <f t="shared" si="8"/>
        <v/>
      </c>
      <c r="J555" t="str">
        <f>IF(COUNTIF(Cruce!$A$5:$A$14,A555)&gt;0,"SKU de muestra","Regla extrapolada")</f>
        <v>Regla extrapolada</v>
      </c>
    </row>
    <row r="556" spans="1:10" ht="30" customHeight="1">
      <c r="A556" t="s">
        <v>1167</v>
      </c>
      <c r="B556" s="5" t="s">
        <v>1168</v>
      </c>
      <c r="C556">
        <v>1</v>
      </c>
      <c r="D556">
        <v>1</v>
      </c>
      <c r="E556">
        <v>0</v>
      </c>
      <c r="F556" s="6">
        <v>0</v>
      </c>
      <c r="G556" s="6">
        <v>0</v>
      </c>
      <c r="H556" s="6" t="str">
        <f>IF(OR(F556&lt;=0,G556&lt;=0),"",ROUND(G556+F556*Uso!$B$5,Uso!$B$6))</f>
        <v/>
      </c>
      <c r="I556" s="6" t="str">
        <f t="shared" si="8"/>
        <v/>
      </c>
      <c r="J556" t="str">
        <f>IF(COUNTIF(Cruce!$A$5:$A$14,A556)&gt;0,"SKU de muestra","Regla extrapolada")</f>
        <v>Regla extrapolada</v>
      </c>
    </row>
    <row r="557" spans="1:10" ht="30" customHeight="1">
      <c r="A557" t="s">
        <v>1169</v>
      </c>
      <c r="B557" s="5" t="s">
        <v>1170</v>
      </c>
      <c r="C557">
        <v>1</v>
      </c>
      <c r="D557">
        <v>1</v>
      </c>
      <c r="E557">
        <v>0</v>
      </c>
      <c r="F557" s="6">
        <v>0</v>
      </c>
      <c r="G557" s="6">
        <v>0</v>
      </c>
      <c r="H557" s="6" t="str">
        <f>IF(OR(F557&lt;=0,G557&lt;=0),"",ROUND(G557+F557*Uso!$B$5,Uso!$B$6))</f>
        <v/>
      </c>
      <c r="I557" s="6" t="str">
        <f t="shared" si="8"/>
        <v/>
      </c>
      <c r="J557" t="str">
        <f>IF(COUNTIF(Cruce!$A$5:$A$14,A557)&gt;0,"SKU de muestra","Regla extrapolada")</f>
        <v>Regla extrapolada</v>
      </c>
    </row>
    <row r="558" spans="1:10" ht="30" customHeight="1">
      <c r="A558" t="s">
        <v>1171</v>
      </c>
      <c r="B558" s="5" t="s">
        <v>1172</v>
      </c>
      <c r="C558">
        <v>1</v>
      </c>
      <c r="D558">
        <v>1</v>
      </c>
      <c r="E558">
        <v>0</v>
      </c>
      <c r="F558" s="6">
        <v>0</v>
      </c>
      <c r="G558" s="6">
        <v>0</v>
      </c>
      <c r="H558" s="6" t="str">
        <f>IF(OR(F558&lt;=0,G558&lt;=0),"",ROUND(G558+F558*Uso!$B$5,Uso!$B$6))</f>
        <v/>
      </c>
      <c r="I558" s="6" t="str">
        <f t="shared" si="8"/>
        <v/>
      </c>
      <c r="J558" t="str">
        <f>IF(COUNTIF(Cruce!$A$5:$A$14,A558)&gt;0,"SKU de muestra","Regla extrapolada")</f>
        <v>Regla extrapolada</v>
      </c>
    </row>
    <row r="559" spans="1:10" ht="30" customHeight="1">
      <c r="A559" t="s">
        <v>1173</v>
      </c>
      <c r="B559" s="5" t="s">
        <v>1174</v>
      </c>
      <c r="C559">
        <v>1</v>
      </c>
      <c r="D559">
        <v>1</v>
      </c>
      <c r="E559">
        <v>0</v>
      </c>
      <c r="F559" s="6">
        <v>0</v>
      </c>
      <c r="G559" s="6">
        <v>0</v>
      </c>
      <c r="H559" s="6" t="str">
        <f>IF(OR(F559&lt;=0,G559&lt;=0),"",ROUND(G559+F559*Uso!$B$5,Uso!$B$6))</f>
        <v/>
      </c>
      <c r="I559" s="6" t="str">
        <f t="shared" si="8"/>
        <v/>
      </c>
      <c r="J559" t="str">
        <f>IF(COUNTIF(Cruce!$A$5:$A$14,A559)&gt;0,"SKU de muestra","Regla extrapolada")</f>
        <v>Regla extrapolada</v>
      </c>
    </row>
    <row r="560" spans="1:10" ht="30" customHeight="1">
      <c r="A560" t="s">
        <v>1175</v>
      </c>
      <c r="B560" s="5" t="s">
        <v>1176</v>
      </c>
      <c r="C560">
        <v>1</v>
      </c>
      <c r="D560">
        <v>2</v>
      </c>
      <c r="E560">
        <v>0</v>
      </c>
      <c r="F560" s="6">
        <v>0</v>
      </c>
      <c r="G560" s="6">
        <v>0</v>
      </c>
      <c r="H560" s="6" t="str">
        <f>IF(OR(F560&lt;=0,G560&lt;=0),"",ROUND(G560+F560*Uso!$B$5,Uso!$B$6))</f>
        <v/>
      </c>
      <c r="I560" s="6" t="str">
        <f t="shared" si="8"/>
        <v/>
      </c>
      <c r="J560" t="str">
        <f>IF(COUNTIF(Cruce!$A$5:$A$14,A560)&gt;0,"SKU de muestra","Regla extrapolada")</f>
        <v>Regla extrapolada</v>
      </c>
    </row>
    <row r="561" spans="1:10" ht="30" customHeight="1">
      <c r="A561" t="s">
        <v>1177</v>
      </c>
      <c r="B561" s="5" t="s">
        <v>1178</v>
      </c>
      <c r="C561">
        <v>1</v>
      </c>
      <c r="D561">
        <v>2</v>
      </c>
      <c r="E561">
        <v>0</v>
      </c>
      <c r="F561" s="6">
        <v>0</v>
      </c>
      <c r="G561" s="6">
        <v>0</v>
      </c>
      <c r="H561" s="6" t="str">
        <f>IF(OR(F561&lt;=0,G561&lt;=0),"",ROUND(G561+F561*Uso!$B$5,Uso!$B$6))</f>
        <v/>
      </c>
      <c r="I561" s="6" t="str">
        <f t="shared" si="8"/>
        <v/>
      </c>
      <c r="J561" t="str">
        <f>IF(COUNTIF(Cruce!$A$5:$A$14,A561)&gt;0,"SKU de muestra","Regla extrapolada")</f>
        <v>Regla extrapolada</v>
      </c>
    </row>
    <row r="562" spans="1:10" ht="30" customHeight="1">
      <c r="A562" t="s">
        <v>1179</v>
      </c>
      <c r="B562" s="5" t="s">
        <v>1180</v>
      </c>
      <c r="C562">
        <v>1</v>
      </c>
      <c r="D562">
        <v>2</v>
      </c>
      <c r="E562">
        <v>0</v>
      </c>
      <c r="F562" s="6">
        <v>0</v>
      </c>
      <c r="G562" s="6">
        <v>0</v>
      </c>
      <c r="H562" s="6" t="str">
        <f>IF(OR(F562&lt;=0,G562&lt;=0),"",ROUND(G562+F562*Uso!$B$5,Uso!$B$6))</f>
        <v/>
      </c>
      <c r="I562" s="6" t="str">
        <f t="shared" si="8"/>
        <v/>
      </c>
      <c r="J562" t="str">
        <f>IF(COUNTIF(Cruce!$A$5:$A$14,A562)&gt;0,"SKU de muestra","Regla extrapolada")</f>
        <v>Regla extrapolada</v>
      </c>
    </row>
    <row r="563" spans="1:10" ht="30" customHeight="1">
      <c r="A563" t="s">
        <v>1181</v>
      </c>
      <c r="B563" s="5" t="s">
        <v>1182</v>
      </c>
      <c r="C563">
        <v>1</v>
      </c>
      <c r="D563">
        <v>1</v>
      </c>
      <c r="E563">
        <v>0</v>
      </c>
      <c r="F563" s="6">
        <v>0</v>
      </c>
      <c r="G563" s="6">
        <v>0</v>
      </c>
      <c r="H563" s="6" t="str">
        <f>IF(OR(F563&lt;=0,G563&lt;=0),"",ROUND(G563+F563*Uso!$B$5,Uso!$B$6))</f>
        <v/>
      </c>
      <c r="I563" s="6" t="str">
        <f t="shared" si="8"/>
        <v/>
      </c>
      <c r="J563" t="str">
        <f>IF(COUNTIF(Cruce!$A$5:$A$14,A563)&gt;0,"SKU de muestra","Regla extrapolada")</f>
        <v>Regla extrapolada</v>
      </c>
    </row>
    <row r="564" spans="1:10" ht="30" customHeight="1">
      <c r="A564" t="s">
        <v>1183</v>
      </c>
      <c r="B564" s="5" t="s">
        <v>1184</v>
      </c>
      <c r="C564">
        <v>1</v>
      </c>
      <c r="D564">
        <v>1</v>
      </c>
      <c r="E564">
        <v>0</v>
      </c>
      <c r="F564" s="6">
        <v>0</v>
      </c>
      <c r="G564" s="6">
        <v>0</v>
      </c>
      <c r="H564" s="6" t="str">
        <f>IF(OR(F564&lt;=0,G564&lt;=0),"",ROUND(G564+F564*Uso!$B$5,Uso!$B$6))</f>
        <v/>
      </c>
      <c r="I564" s="6" t="str">
        <f t="shared" si="8"/>
        <v/>
      </c>
      <c r="J564" t="str">
        <f>IF(COUNTIF(Cruce!$A$5:$A$14,A564)&gt;0,"SKU de muestra","Regla extrapolada")</f>
        <v>Regla extrapolada</v>
      </c>
    </row>
    <row r="565" spans="1:10" ht="30" customHeight="1">
      <c r="A565" t="s">
        <v>1185</v>
      </c>
      <c r="B565" s="5" t="s">
        <v>1186</v>
      </c>
      <c r="C565">
        <v>1</v>
      </c>
      <c r="D565">
        <v>1</v>
      </c>
      <c r="E565">
        <v>0</v>
      </c>
      <c r="F565" s="6">
        <v>0</v>
      </c>
      <c r="G565" s="6">
        <v>0</v>
      </c>
      <c r="H565" s="6" t="str">
        <f>IF(OR(F565&lt;=0,G565&lt;=0),"",ROUND(G565+F565*Uso!$B$5,Uso!$B$6))</f>
        <v/>
      </c>
      <c r="I565" s="6" t="str">
        <f t="shared" si="8"/>
        <v/>
      </c>
      <c r="J565" t="str">
        <f>IF(COUNTIF(Cruce!$A$5:$A$14,A565)&gt;0,"SKU de muestra","Regla extrapolada")</f>
        <v>Regla extrapolada</v>
      </c>
    </row>
    <row r="566" spans="1:10" ht="30" customHeight="1">
      <c r="A566" t="s">
        <v>1187</v>
      </c>
      <c r="B566" s="5" t="s">
        <v>1188</v>
      </c>
      <c r="C566">
        <v>1</v>
      </c>
      <c r="D566">
        <v>2</v>
      </c>
      <c r="E566">
        <v>0</v>
      </c>
      <c r="F566" s="6">
        <v>0</v>
      </c>
      <c r="G566" s="6">
        <v>0</v>
      </c>
      <c r="H566" s="6" t="str">
        <f>IF(OR(F566&lt;=0,G566&lt;=0),"",ROUND(G566+F566*Uso!$B$5,Uso!$B$6))</f>
        <v/>
      </c>
      <c r="I566" s="6" t="str">
        <f t="shared" si="8"/>
        <v/>
      </c>
      <c r="J566" t="str">
        <f>IF(COUNTIF(Cruce!$A$5:$A$14,A566)&gt;0,"SKU de muestra","Regla extrapolada")</f>
        <v>Regla extrapolada</v>
      </c>
    </row>
    <row r="567" spans="1:10" ht="30" customHeight="1">
      <c r="A567" t="s">
        <v>1189</v>
      </c>
      <c r="B567" s="5" t="s">
        <v>1190</v>
      </c>
      <c r="C567">
        <v>1</v>
      </c>
      <c r="D567">
        <v>1</v>
      </c>
      <c r="E567">
        <v>0</v>
      </c>
      <c r="F567" s="6">
        <v>0</v>
      </c>
      <c r="G567" s="6">
        <v>0</v>
      </c>
      <c r="H567" s="6" t="str">
        <f>IF(OR(F567&lt;=0,G567&lt;=0),"",ROUND(G567+F567*Uso!$B$5,Uso!$B$6))</f>
        <v/>
      </c>
      <c r="I567" s="6" t="str">
        <f t="shared" si="8"/>
        <v/>
      </c>
      <c r="J567" t="str">
        <f>IF(COUNTIF(Cruce!$A$5:$A$14,A567)&gt;0,"SKU de muestra","Regla extrapolada")</f>
        <v>Regla extrapolada</v>
      </c>
    </row>
    <row r="568" spans="1:10" ht="30" customHeight="1">
      <c r="A568" t="s">
        <v>1191</v>
      </c>
      <c r="B568" s="5" t="s">
        <v>1192</v>
      </c>
      <c r="C568">
        <v>1</v>
      </c>
      <c r="D568">
        <v>1</v>
      </c>
      <c r="E568">
        <v>0</v>
      </c>
      <c r="F568" s="6">
        <v>0</v>
      </c>
      <c r="G568" s="6">
        <v>0</v>
      </c>
      <c r="H568" s="6" t="str">
        <f>IF(OR(F568&lt;=0,G568&lt;=0),"",ROUND(G568+F568*Uso!$B$5,Uso!$B$6))</f>
        <v/>
      </c>
      <c r="I568" s="6" t="str">
        <f t="shared" si="8"/>
        <v/>
      </c>
      <c r="J568" t="str">
        <f>IF(COUNTIF(Cruce!$A$5:$A$14,A568)&gt;0,"SKU de muestra","Regla extrapolada")</f>
        <v>Regla extrapolada</v>
      </c>
    </row>
    <row r="569" spans="1:10" ht="30" customHeight="1">
      <c r="A569" t="s">
        <v>1193</v>
      </c>
      <c r="B569" s="5" t="s">
        <v>1194</v>
      </c>
      <c r="C569">
        <v>1</v>
      </c>
      <c r="D569">
        <v>2</v>
      </c>
      <c r="E569">
        <v>0</v>
      </c>
      <c r="F569" s="6">
        <v>0</v>
      </c>
      <c r="G569" s="6">
        <v>0</v>
      </c>
      <c r="H569" s="6" t="str">
        <f>IF(OR(F569&lt;=0,G569&lt;=0),"",ROUND(G569+F569*Uso!$B$5,Uso!$B$6))</f>
        <v/>
      </c>
      <c r="I569" s="6" t="str">
        <f t="shared" si="8"/>
        <v/>
      </c>
      <c r="J569" t="str">
        <f>IF(COUNTIF(Cruce!$A$5:$A$14,A569)&gt;0,"SKU de muestra","Regla extrapolada")</f>
        <v>Regla extrapolada</v>
      </c>
    </row>
    <row r="570" spans="1:10" ht="30" customHeight="1">
      <c r="A570" t="s">
        <v>1195</v>
      </c>
      <c r="B570" s="5" t="s">
        <v>1196</v>
      </c>
      <c r="C570">
        <v>1</v>
      </c>
      <c r="D570">
        <v>2</v>
      </c>
      <c r="E570">
        <v>0</v>
      </c>
      <c r="F570" s="6">
        <v>0</v>
      </c>
      <c r="G570" s="6">
        <v>0</v>
      </c>
      <c r="H570" s="6" t="str">
        <f>IF(OR(F570&lt;=0,G570&lt;=0),"",ROUND(G570+F570*Uso!$B$5,Uso!$B$6))</f>
        <v/>
      </c>
      <c r="I570" s="6" t="str">
        <f t="shared" si="8"/>
        <v/>
      </c>
      <c r="J570" t="str">
        <f>IF(COUNTIF(Cruce!$A$5:$A$14,A570)&gt;0,"SKU de muestra","Regla extrapolada")</f>
        <v>Regla extrapolada</v>
      </c>
    </row>
    <row r="571" spans="1:10" ht="30" customHeight="1">
      <c r="A571" t="s">
        <v>1197</v>
      </c>
      <c r="B571" s="5" t="s">
        <v>1198</v>
      </c>
      <c r="C571">
        <v>1</v>
      </c>
      <c r="D571">
        <v>0</v>
      </c>
      <c r="E571">
        <v>5</v>
      </c>
      <c r="F571" s="6">
        <v>22976.695</v>
      </c>
      <c r="G571" s="6">
        <v>27801.800999999999</v>
      </c>
      <c r="H571" s="6">
        <f>IF(OR(F571&lt;=0,G571&lt;=0),"",ROUND(G571+F571*Uso!$B$5,Uso!$B$6))</f>
        <v>28491.101999999999</v>
      </c>
      <c r="I571" s="6">
        <f t="shared" si="8"/>
        <v>28491.101999999999</v>
      </c>
      <c r="J571" t="str">
        <f>IF(COUNTIF(Cruce!$A$5:$A$14,A571)&gt;0,"SKU de muestra","Regla extrapolada")</f>
        <v>Regla extrapolada</v>
      </c>
    </row>
    <row r="572" spans="1:10" ht="30" customHeight="1">
      <c r="A572" t="s">
        <v>1199</v>
      </c>
      <c r="B572" s="5" t="s">
        <v>1200</v>
      </c>
      <c r="C572">
        <v>1</v>
      </c>
      <c r="D572">
        <v>0</v>
      </c>
      <c r="E572">
        <v>5</v>
      </c>
      <c r="F572" s="6">
        <v>6772.4930000000004</v>
      </c>
      <c r="G572" s="6">
        <v>8194.7170000000006</v>
      </c>
      <c r="H572" s="6">
        <f>IF(OR(F572&lt;=0,G572&lt;=0),"",ROUND(G572+F572*Uso!$B$5,Uso!$B$6))</f>
        <v>8397.8919999999998</v>
      </c>
      <c r="I572" s="6">
        <f t="shared" si="8"/>
        <v>8397.8919999999998</v>
      </c>
      <c r="J572" t="str">
        <f>IF(COUNTIF(Cruce!$A$5:$A$14,A572)&gt;0,"SKU de muestra","Regla extrapolada")</f>
        <v>Regla extrapolada</v>
      </c>
    </row>
    <row r="573" spans="1:10" ht="30" customHeight="1">
      <c r="A573" t="s">
        <v>1201</v>
      </c>
      <c r="B573" s="5" t="s">
        <v>1202</v>
      </c>
      <c r="C573">
        <v>1</v>
      </c>
      <c r="D573">
        <v>0</v>
      </c>
      <c r="E573">
        <v>5</v>
      </c>
      <c r="F573" s="6">
        <v>28537.244999999999</v>
      </c>
      <c r="G573" s="6">
        <v>34530.065999999999</v>
      </c>
      <c r="H573" s="6">
        <f>IF(OR(F573&lt;=0,G573&lt;=0),"",ROUND(G573+F573*Uso!$B$5,Uso!$B$6))</f>
        <v>35386.182999999997</v>
      </c>
      <c r="I573" s="6">
        <f t="shared" si="8"/>
        <v>35386.182999999997</v>
      </c>
      <c r="J573" t="str">
        <f>IF(COUNTIF(Cruce!$A$5:$A$14,A573)&gt;0,"SKU de muestra","Regla extrapolada")</f>
        <v>Regla extrapolada</v>
      </c>
    </row>
    <row r="574" spans="1:10" ht="30" customHeight="1">
      <c r="A574" t="s">
        <v>1203</v>
      </c>
      <c r="B574" s="5" t="s">
        <v>1204</v>
      </c>
      <c r="C574">
        <v>1</v>
      </c>
      <c r="D574">
        <v>0</v>
      </c>
      <c r="E574">
        <v>5</v>
      </c>
      <c r="F574" s="6">
        <v>17549.319</v>
      </c>
      <c r="G574" s="6">
        <v>21234.677</v>
      </c>
      <c r="H574" s="6">
        <f>IF(OR(F574&lt;=0,G574&lt;=0),"",ROUND(G574+F574*Uso!$B$5,Uso!$B$6))</f>
        <v>21761.156999999999</v>
      </c>
      <c r="I574" s="6">
        <f t="shared" si="8"/>
        <v>21761.156999999999</v>
      </c>
      <c r="J574" t="str">
        <f>IF(COUNTIF(Cruce!$A$5:$A$14,A574)&gt;0,"SKU de muestra","Regla extrapolada")</f>
        <v>Regla extrapolada</v>
      </c>
    </row>
    <row r="575" spans="1:10" ht="30" customHeight="1">
      <c r="A575" t="s">
        <v>1205</v>
      </c>
      <c r="B575" s="5" t="s">
        <v>1206</v>
      </c>
      <c r="C575">
        <v>1</v>
      </c>
      <c r="D575">
        <v>0</v>
      </c>
      <c r="E575">
        <v>5</v>
      </c>
      <c r="F575" s="6">
        <v>25667.424999999999</v>
      </c>
      <c r="G575" s="6">
        <v>31057.583999999999</v>
      </c>
      <c r="H575" s="6">
        <f>IF(OR(F575&lt;=0,G575&lt;=0),"",ROUND(G575+F575*Uso!$B$5,Uso!$B$6))</f>
        <v>31827.607</v>
      </c>
      <c r="I575" s="6">
        <f t="shared" si="8"/>
        <v>31827.607</v>
      </c>
      <c r="J575" t="str">
        <f>IF(COUNTIF(Cruce!$A$5:$A$14,A575)&gt;0,"SKU de muestra","Regla extrapolada")</f>
        <v>Regla extrapolada</v>
      </c>
    </row>
    <row r="576" spans="1:10" ht="30" customHeight="1">
      <c r="A576" t="s">
        <v>1207</v>
      </c>
      <c r="B576" s="5" t="s">
        <v>1208</v>
      </c>
      <c r="C576">
        <v>1</v>
      </c>
      <c r="D576">
        <v>0</v>
      </c>
      <c r="E576">
        <v>5</v>
      </c>
      <c r="F576" s="6">
        <v>20716.32</v>
      </c>
      <c r="G576" s="6">
        <v>25341.895</v>
      </c>
      <c r="H576" s="6">
        <f>IF(OR(F576&lt;=0,G576&lt;=0),"",ROUND(G576+F576*Uso!$B$5,Uso!$B$6))</f>
        <v>25963.384999999998</v>
      </c>
      <c r="I576" s="6">
        <f t="shared" si="8"/>
        <v>25963.384999999998</v>
      </c>
      <c r="J576" t="str">
        <f>IF(COUNTIF(Cruce!$A$5:$A$14,A576)&gt;0,"SKU de muestra","Regla extrapolada")</f>
        <v>Regla extrapolada</v>
      </c>
    </row>
    <row r="577" spans="1:10" ht="30" customHeight="1">
      <c r="A577" t="s">
        <v>1209</v>
      </c>
      <c r="B577" s="5" t="s">
        <v>1210</v>
      </c>
      <c r="C577">
        <v>1</v>
      </c>
      <c r="D577">
        <v>0</v>
      </c>
      <c r="E577">
        <v>5</v>
      </c>
      <c r="F577" s="6">
        <v>21183.105</v>
      </c>
      <c r="G577" s="6">
        <v>26120.621999999999</v>
      </c>
      <c r="H577" s="6">
        <f>IF(OR(F577&lt;=0,G577&lt;=0),"",ROUND(G577+F577*Uso!$B$5,Uso!$B$6))</f>
        <v>26756.115000000002</v>
      </c>
      <c r="I577" s="6">
        <f t="shared" si="8"/>
        <v>26756.115000000002</v>
      </c>
      <c r="J577" t="str">
        <f>IF(COUNTIF(Cruce!$A$5:$A$14,A577)&gt;0,"SKU de muestra","Regla extrapolada")</f>
        <v>Regla extrapolada</v>
      </c>
    </row>
    <row r="578" spans="1:10" ht="30" customHeight="1">
      <c r="A578" t="s">
        <v>1211</v>
      </c>
      <c r="B578" s="5" t="s">
        <v>1212</v>
      </c>
      <c r="C578">
        <v>1</v>
      </c>
      <c r="D578">
        <v>0</v>
      </c>
      <c r="E578">
        <v>5</v>
      </c>
      <c r="F578" s="6">
        <v>34945.347000000002</v>
      </c>
      <c r="G578" s="6">
        <v>42283.868999999999</v>
      </c>
      <c r="H578" s="6">
        <f>IF(OR(F578&lt;=0,G578&lt;=0),"",ROUND(G578+F578*Uso!$B$5,Uso!$B$6))</f>
        <v>43332.228999999999</v>
      </c>
      <c r="I578" s="6">
        <f t="shared" si="8"/>
        <v>43332.228999999999</v>
      </c>
      <c r="J578" t="str">
        <f>IF(COUNTIF(Cruce!$A$5:$A$14,A578)&gt;0,"SKU de muestra","Regla extrapolada")</f>
        <v>Regla extrapolada</v>
      </c>
    </row>
    <row r="579" spans="1:10" ht="30" customHeight="1">
      <c r="A579" t="s">
        <v>1213</v>
      </c>
      <c r="B579" s="5" t="s">
        <v>1214</v>
      </c>
      <c r="C579">
        <v>1</v>
      </c>
      <c r="D579">
        <v>0</v>
      </c>
      <c r="E579">
        <v>5</v>
      </c>
      <c r="F579" s="6">
        <v>16155.205</v>
      </c>
      <c r="G579" s="6">
        <v>20308.883999999998</v>
      </c>
      <c r="H579" s="6">
        <f>IF(OR(F579&lt;=0,G579&lt;=0),"",ROUND(G579+F579*Uso!$B$5,Uso!$B$6))</f>
        <v>20793.54</v>
      </c>
      <c r="I579" s="6">
        <f t="shared" si="8"/>
        <v>20793.54</v>
      </c>
      <c r="J579" t="str">
        <f>IF(COUNTIF(Cruce!$A$5:$A$14,A579)&gt;0,"SKU de muestra","Regla extrapolada")</f>
        <v>Regla extrapolada</v>
      </c>
    </row>
    <row r="580" spans="1:10" ht="30" customHeight="1">
      <c r="A580" t="s">
        <v>1215</v>
      </c>
      <c r="B580" s="5" t="s">
        <v>1216</v>
      </c>
      <c r="C580">
        <v>1</v>
      </c>
      <c r="D580">
        <v>0</v>
      </c>
      <c r="E580">
        <v>5</v>
      </c>
      <c r="F580" s="6">
        <v>9100.0959999999995</v>
      </c>
      <c r="G580" s="6">
        <v>11304.607</v>
      </c>
      <c r="H580" s="6">
        <f>IF(OR(F580&lt;=0,G580&lt;=0),"",ROUND(G580+F580*Uso!$B$5,Uso!$B$6))</f>
        <v>11577.61</v>
      </c>
      <c r="I580" s="6">
        <f t="shared" si="8"/>
        <v>11577.61</v>
      </c>
      <c r="J580" t="str">
        <f>IF(COUNTIF(Cruce!$A$5:$A$14,A580)&gt;0,"SKU de muestra","Regla extrapolada")</f>
        <v>Regla extrapolada</v>
      </c>
    </row>
    <row r="581" spans="1:10" ht="30" customHeight="1">
      <c r="A581" t="s">
        <v>1217</v>
      </c>
      <c r="B581" s="5" t="s">
        <v>1218</v>
      </c>
      <c r="C581">
        <v>1</v>
      </c>
      <c r="D581">
        <v>0</v>
      </c>
      <c r="E581">
        <v>5</v>
      </c>
      <c r="F581" s="6">
        <v>49586.262999999999</v>
      </c>
      <c r="G581" s="6">
        <v>62979.58</v>
      </c>
      <c r="H581" s="6">
        <f>IF(OR(F581&lt;=0,G581&lt;=0),"",ROUND(G581+F581*Uso!$B$5,Uso!$B$6))</f>
        <v>64467.167999999998</v>
      </c>
      <c r="I581" s="6">
        <f t="shared" ref="I581:I644" si="9">IF(OR(H581="",C581&lt;=0),"",H581/C581)</f>
        <v>64467.167999999998</v>
      </c>
      <c r="J581" t="str">
        <f>IF(COUNTIF(Cruce!$A$5:$A$14,A581)&gt;0,"SKU de muestra","Regla extrapolada")</f>
        <v>Regla extrapolada</v>
      </c>
    </row>
    <row r="582" spans="1:10" ht="30" customHeight="1">
      <c r="A582" t="s">
        <v>1219</v>
      </c>
      <c r="B582" s="5" t="s">
        <v>1220</v>
      </c>
      <c r="C582">
        <v>1</v>
      </c>
      <c r="D582">
        <v>0</v>
      </c>
      <c r="E582">
        <v>5</v>
      </c>
      <c r="F582" s="6">
        <v>292871.89500000002</v>
      </c>
      <c r="G582" s="6">
        <v>354374.99300000002</v>
      </c>
      <c r="H582" s="6">
        <f>IF(OR(F582&lt;=0,G582&lt;=0),"",ROUND(G582+F582*Uso!$B$5,Uso!$B$6))</f>
        <v>363161.15</v>
      </c>
      <c r="I582" s="6">
        <f t="shared" si="9"/>
        <v>363161.15</v>
      </c>
      <c r="J582" t="str">
        <f>IF(COUNTIF(Cruce!$A$5:$A$14,A582)&gt;0,"SKU de muestra","Regla extrapolada")</f>
        <v>Regla extrapolada</v>
      </c>
    </row>
    <row r="583" spans="1:10" ht="30" customHeight="1">
      <c r="A583" t="s">
        <v>1221</v>
      </c>
      <c r="B583" s="5" t="s">
        <v>1222</v>
      </c>
      <c r="C583">
        <v>1</v>
      </c>
      <c r="D583">
        <v>0</v>
      </c>
      <c r="E583">
        <v>5</v>
      </c>
      <c r="F583" s="6">
        <v>50894.292000000001</v>
      </c>
      <c r="G583" s="6">
        <v>61582.093999999997</v>
      </c>
      <c r="H583" s="6">
        <f>IF(OR(F583&lt;=0,G583&lt;=0),"",ROUND(G583+F583*Uso!$B$5,Uso!$B$6))</f>
        <v>63108.923000000003</v>
      </c>
      <c r="I583" s="6">
        <f t="shared" si="9"/>
        <v>63108.923000000003</v>
      </c>
      <c r="J583" t="str">
        <f>IF(COUNTIF(Cruce!$A$5:$A$14,A583)&gt;0,"SKU de muestra","Regla extrapolada")</f>
        <v>Regla extrapolada</v>
      </c>
    </row>
    <row r="584" spans="1:10" ht="30" customHeight="1">
      <c r="A584" t="s">
        <v>1223</v>
      </c>
      <c r="B584" s="5" t="s">
        <v>1224</v>
      </c>
      <c r="C584">
        <v>1</v>
      </c>
      <c r="D584">
        <v>0</v>
      </c>
      <c r="E584">
        <v>5</v>
      </c>
      <c r="F584" s="6">
        <v>118157.04300000001</v>
      </c>
      <c r="G584" s="6">
        <v>142970.022</v>
      </c>
      <c r="H584" s="6">
        <f>IF(OR(F584&lt;=0,G584&lt;=0),"",ROUND(G584+F584*Uso!$B$5,Uso!$B$6))</f>
        <v>146514.73300000001</v>
      </c>
      <c r="I584" s="6">
        <f t="shared" si="9"/>
        <v>146514.73300000001</v>
      </c>
      <c r="J584" t="str">
        <f>IF(COUNTIF(Cruce!$A$5:$A$14,A584)&gt;0,"SKU de muestra","Regla extrapolada")</f>
        <v>Regla extrapolada</v>
      </c>
    </row>
    <row r="585" spans="1:10" ht="30" customHeight="1">
      <c r="A585" t="s">
        <v>1225</v>
      </c>
      <c r="B585" s="5" t="s">
        <v>1226</v>
      </c>
      <c r="C585">
        <v>1</v>
      </c>
      <c r="D585">
        <v>0</v>
      </c>
      <c r="E585">
        <v>5</v>
      </c>
      <c r="F585" s="6">
        <v>65070.18</v>
      </c>
      <c r="G585" s="6">
        <v>78734.918000000005</v>
      </c>
      <c r="H585" s="6">
        <f>IF(OR(F585&lt;=0,G585&lt;=0),"",ROUND(G585+F585*Uso!$B$5,Uso!$B$6))</f>
        <v>80687.023000000001</v>
      </c>
      <c r="I585" s="6">
        <f t="shared" si="9"/>
        <v>80687.023000000001</v>
      </c>
      <c r="J585" t="str">
        <f>IF(COUNTIF(Cruce!$A$5:$A$14,A585)&gt;0,"SKU de muestra","Regla extrapolada")</f>
        <v>Regla extrapolada</v>
      </c>
    </row>
    <row r="586" spans="1:10" ht="30" customHeight="1">
      <c r="A586" t="s">
        <v>1227</v>
      </c>
      <c r="B586" s="5" t="s">
        <v>1228</v>
      </c>
      <c r="C586">
        <v>1</v>
      </c>
      <c r="D586">
        <v>0</v>
      </c>
      <c r="E586">
        <v>5</v>
      </c>
      <c r="F586" s="6">
        <v>12030.995000000001</v>
      </c>
      <c r="G586" s="6">
        <v>14557.504000000001</v>
      </c>
      <c r="H586" s="6">
        <f>IF(OR(F586&lt;=0,G586&lt;=0),"",ROUND(G586+F586*Uso!$B$5,Uso!$B$6))</f>
        <v>14918.433999999999</v>
      </c>
      <c r="I586" s="6">
        <f t="shared" si="9"/>
        <v>14918.433999999999</v>
      </c>
      <c r="J586" t="str">
        <f>IF(COUNTIF(Cruce!$A$5:$A$14,A586)&gt;0,"SKU de muestra","Regla extrapolada")</f>
        <v>Regla extrapolada</v>
      </c>
    </row>
    <row r="587" spans="1:10" ht="30" customHeight="1">
      <c r="A587" t="s">
        <v>1229</v>
      </c>
      <c r="B587" s="5" t="s">
        <v>1230</v>
      </c>
      <c r="C587">
        <v>1</v>
      </c>
      <c r="D587">
        <v>0</v>
      </c>
      <c r="E587">
        <v>5</v>
      </c>
      <c r="F587" s="6">
        <v>13276.865</v>
      </c>
      <c r="G587" s="6">
        <v>16065.007</v>
      </c>
      <c r="H587" s="6">
        <f>IF(OR(F587&lt;=0,G587&lt;=0),"",ROUND(G587+F587*Uso!$B$5,Uso!$B$6))</f>
        <v>16463.312999999998</v>
      </c>
      <c r="I587" s="6">
        <f t="shared" si="9"/>
        <v>16463.312999999998</v>
      </c>
      <c r="J587" t="str">
        <f>IF(COUNTIF(Cruce!$A$5:$A$14,A587)&gt;0,"SKU de muestra","Regla extrapolada")</f>
        <v>Regla extrapolada</v>
      </c>
    </row>
    <row r="588" spans="1:10" ht="30" customHeight="1">
      <c r="A588" t="s">
        <v>1231</v>
      </c>
      <c r="B588" s="5" t="s">
        <v>1232</v>
      </c>
      <c r="C588">
        <v>1</v>
      </c>
      <c r="D588">
        <v>0</v>
      </c>
      <c r="E588">
        <v>5</v>
      </c>
      <c r="F588" s="6">
        <v>11967.951999999999</v>
      </c>
      <c r="G588" s="6">
        <v>15968.504999999999</v>
      </c>
      <c r="H588" s="6">
        <f>IF(OR(F588&lt;=0,G588&lt;=0),"",ROUND(G588+F588*Uso!$B$5,Uso!$B$6))</f>
        <v>16327.544</v>
      </c>
      <c r="I588" s="6">
        <f t="shared" si="9"/>
        <v>16327.544</v>
      </c>
      <c r="J588" t="str">
        <f>IF(COUNTIF(Cruce!$A$5:$A$14,A588)&gt;0,"SKU de muestra","Regla extrapolada")</f>
        <v>Regla extrapolada</v>
      </c>
    </row>
    <row r="589" spans="1:10" ht="30" customHeight="1">
      <c r="A589" t="s">
        <v>1233</v>
      </c>
      <c r="B589" s="5" t="s">
        <v>1232</v>
      </c>
      <c r="C589">
        <v>1</v>
      </c>
      <c r="D589">
        <v>0</v>
      </c>
      <c r="E589">
        <v>5</v>
      </c>
      <c r="F589" s="6">
        <v>69377.578999999998</v>
      </c>
      <c r="G589" s="6">
        <v>92501.076000000001</v>
      </c>
      <c r="H589" s="6">
        <f>IF(OR(F589&lt;=0,G589&lt;=0),"",ROUND(G589+F589*Uso!$B$5,Uso!$B$6))</f>
        <v>94582.403000000006</v>
      </c>
      <c r="I589" s="6">
        <f t="shared" si="9"/>
        <v>94582.403000000006</v>
      </c>
      <c r="J589" t="str">
        <f>IF(COUNTIF(Cruce!$A$5:$A$14,A589)&gt;0,"SKU de muestra","Regla extrapolada")</f>
        <v>Regla extrapolada</v>
      </c>
    </row>
    <row r="590" spans="1:10" ht="30" customHeight="1">
      <c r="A590" t="s">
        <v>1234</v>
      </c>
      <c r="B590" s="5" t="s">
        <v>1235</v>
      </c>
      <c r="C590">
        <v>1</v>
      </c>
      <c r="D590">
        <v>0</v>
      </c>
      <c r="E590">
        <v>5</v>
      </c>
      <c r="F590" s="6">
        <v>19933.635999999999</v>
      </c>
      <c r="G590" s="6">
        <v>26571.11</v>
      </c>
      <c r="H590" s="6">
        <f>IF(OR(F590&lt;=0,G590&lt;=0),"",ROUND(G590+F590*Uso!$B$5,Uso!$B$6))</f>
        <v>27169.118999999999</v>
      </c>
      <c r="I590" s="6">
        <f t="shared" si="9"/>
        <v>27169.118999999999</v>
      </c>
      <c r="J590" t="str">
        <f>IF(COUNTIF(Cruce!$A$5:$A$14,A590)&gt;0,"SKU de muestra","Regla extrapolada")</f>
        <v>Regla extrapolada</v>
      </c>
    </row>
    <row r="591" spans="1:10" ht="30" customHeight="1">
      <c r="A591" t="s">
        <v>1236</v>
      </c>
      <c r="B591" s="5" t="s">
        <v>1237</v>
      </c>
      <c r="C591">
        <v>1</v>
      </c>
      <c r="D591">
        <v>0</v>
      </c>
      <c r="E591">
        <v>5</v>
      </c>
      <c r="F591" s="6">
        <v>154636.69500000001</v>
      </c>
      <c r="G591" s="6">
        <v>206127.402</v>
      </c>
      <c r="H591" s="6">
        <f>IF(OR(F591&lt;=0,G591&lt;=0),"",ROUND(G591+F591*Uso!$B$5,Uso!$B$6))</f>
        <v>210766.503</v>
      </c>
      <c r="I591" s="6">
        <f t="shared" si="9"/>
        <v>210766.503</v>
      </c>
      <c r="J591" t="str">
        <f>IF(COUNTIF(Cruce!$A$5:$A$14,A591)&gt;0,"SKU de muestra","Regla extrapolada")</f>
        <v>Regla extrapolada</v>
      </c>
    </row>
    <row r="592" spans="1:10" ht="30" customHeight="1">
      <c r="A592" t="s">
        <v>1238</v>
      </c>
      <c r="B592" s="5" t="s">
        <v>1239</v>
      </c>
      <c r="C592">
        <v>1</v>
      </c>
      <c r="D592">
        <v>0</v>
      </c>
      <c r="E592">
        <v>5</v>
      </c>
      <c r="F592" s="6">
        <v>50808.330999999998</v>
      </c>
      <c r="G592" s="6">
        <v>61478.080999999998</v>
      </c>
      <c r="H592" s="6">
        <f>IF(OR(F592&lt;=0,G592&lt;=0),"",ROUND(G592+F592*Uso!$B$5,Uso!$B$6))</f>
        <v>63002.330999999998</v>
      </c>
      <c r="I592" s="6">
        <f t="shared" si="9"/>
        <v>63002.330999999998</v>
      </c>
      <c r="J592" t="str">
        <f>IF(COUNTIF(Cruce!$A$5:$A$14,A592)&gt;0,"SKU de muestra","Regla extrapolada")</f>
        <v>Regla extrapolada</v>
      </c>
    </row>
    <row r="593" spans="1:10" ht="30" customHeight="1">
      <c r="A593" t="s">
        <v>1240</v>
      </c>
      <c r="B593" s="5" t="s">
        <v>1241</v>
      </c>
      <c r="C593">
        <v>1</v>
      </c>
      <c r="D593">
        <v>0</v>
      </c>
      <c r="E593">
        <v>5</v>
      </c>
      <c r="F593" s="6">
        <v>13276.865</v>
      </c>
      <c r="G593" s="6">
        <v>16065.007</v>
      </c>
      <c r="H593" s="6">
        <f>IF(OR(F593&lt;=0,G593&lt;=0),"",ROUND(G593+F593*Uso!$B$5,Uso!$B$6))</f>
        <v>16463.312999999998</v>
      </c>
      <c r="I593" s="6">
        <f t="shared" si="9"/>
        <v>16463.312999999998</v>
      </c>
      <c r="J593" t="str">
        <f>IF(COUNTIF(Cruce!$A$5:$A$14,A593)&gt;0,"SKU de muestra","Regla extrapolada")</f>
        <v>Regla extrapolada</v>
      </c>
    </row>
    <row r="594" spans="1:10" ht="30" customHeight="1">
      <c r="A594" t="s">
        <v>1242</v>
      </c>
      <c r="B594" s="5" t="s">
        <v>1243</v>
      </c>
      <c r="C594">
        <v>1</v>
      </c>
      <c r="D594">
        <v>0</v>
      </c>
      <c r="E594">
        <v>5</v>
      </c>
      <c r="F594" s="6">
        <v>25212.560000000001</v>
      </c>
      <c r="G594" s="6">
        <v>31124.637999999999</v>
      </c>
      <c r="H594" s="6">
        <f>IF(OR(F594&lt;=0,G594&lt;=0),"",ROUND(G594+F594*Uso!$B$5,Uso!$B$6))</f>
        <v>31881.014999999999</v>
      </c>
      <c r="I594" s="6">
        <f t="shared" si="9"/>
        <v>31881.014999999999</v>
      </c>
      <c r="J594" t="str">
        <f>IF(COUNTIF(Cruce!$A$5:$A$14,A594)&gt;0,"SKU de muestra","Regla extrapolada")</f>
        <v>Regla extrapolada</v>
      </c>
    </row>
    <row r="595" spans="1:10" ht="30" customHeight="1">
      <c r="A595" t="s">
        <v>1244</v>
      </c>
      <c r="B595" s="5" t="s">
        <v>1245</v>
      </c>
      <c r="C595">
        <v>1</v>
      </c>
      <c r="D595">
        <v>0</v>
      </c>
      <c r="E595">
        <v>5</v>
      </c>
      <c r="F595" s="6">
        <v>14212.924999999999</v>
      </c>
      <c r="G595" s="6">
        <v>18189.853999999999</v>
      </c>
      <c r="H595" s="6">
        <f>IF(OR(F595&lt;=0,G595&lt;=0),"",ROUND(G595+F595*Uso!$B$5,Uso!$B$6))</f>
        <v>18616.241999999998</v>
      </c>
      <c r="I595" s="6">
        <f t="shared" si="9"/>
        <v>18616.241999999998</v>
      </c>
      <c r="J595" t="str">
        <f>IF(COUNTIF(Cruce!$A$5:$A$14,A595)&gt;0,"SKU de muestra","Regla extrapolada")</f>
        <v>Regla extrapolada</v>
      </c>
    </row>
    <row r="596" spans="1:10" ht="30" customHeight="1">
      <c r="A596" t="s">
        <v>1246</v>
      </c>
      <c r="B596" s="5" t="s">
        <v>1247</v>
      </c>
      <c r="C596">
        <v>1</v>
      </c>
      <c r="D596">
        <v>0</v>
      </c>
      <c r="E596">
        <v>5</v>
      </c>
      <c r="F596" s="6">
        <v>46669.423999999999</v>
      </c>
      <c r="G596" s="6">
        <v>59274.898999999998</v>
      </c>
      <c r="H596" s="6">
        <f>IF(OR(F596&lt;=0,G596&lt;=0),"",ROUND(G596+F596*Uso!$B$5,Uso!$B$6))</f>
        <v>60674.982000000004</v>
      </c>
      <c r="I596" s="6">
        <f t="shared" si="9"/>
        <v>60674.982000000004</v>
      </c>
      <c r="J596" t="str">
        <f>IF(COUNTIF(Cruce!$A$5:$A$14,A596)&gt;0,"SKU de muestra","Regla extrapolada")</f>
        <v>Regla extrapolada</v>
      </c>
    </row>
    <row r="597" spans="1:10" ht="30" customHeight="1">
      <c r="A597" t="s">
        <v>1248</v>
      </c>
      <c r="B597" s="5" t="s">
        <v>1249</v>
      </c>
      <c r="C597">
        <v>1</v>
      </c>
      <c r="D597">
        <v>0</v>
      </c>
      <c r="E597">
        <v>5</v>
      </c>
      <c r="F597" s="6">
        <v>49427.701000000001</v>
      </c>
      <c r="G597" s="6">
        <v>59807.519</v>
      </c>
      <c r="H597" s="6">
        <f>IF(OR(F597&lt;=0,G597&lt;=0),"",ROUND(G597+F597*Uso!$B$5,Uso!$B$6))</f>
        <v>61290.35</v>
      </c>
      <c r="I597" s="6">
        <f t="shared" si="9"/>
        <v>61290.35</v>
      </c>
      <c r="J597" t="str">
        <f>IF(COUNTIF(Cruce!$A$5:$A$14,A597)&gt;0,"SKU de muestra","Regla extrapolada")</f>
        <v>Regla extrapolada</v>
      </c>
    </row>
    <row r="598" spans="1:10" ht="30" customHeight="1">
      <c r="A598" t="s">
        <v>1250</v>
      </c>
      <c r="B598" s="5" t="s">
        <v>1251</v>
      </c>
      <c r="C598">
        <v>1</v>
      </c>
      <c r="D598">
        <v>0</v>
      </c>
      <c r="E598">
        <v>5</v>
      </c>
      <c r="F598" s="6">
        <v>45474.555</v>
      </c>
      <c r="G598" s="6">
        <v>55803.536999999997</v>
      </c>
      <c r="H598" s="6">
        <f>IF(OR(F598&lt;=0,G598&lt;=0),"",ROUND(G598+F598*Uso!$B$5,Uso!$B$6))</f>
        <v>57167.773999999998</v>
      </c>
      <c r="I598" s="6">
        <f t="shared" si="9"/>
        <v>57167.773999999998</v>
      </c>
      <c r="J598" t="str">
        <f>IF(COUNTIF(Cruce!$A$5:$A$14,A598)&gt;0,"SKU de muestra","Regla extrapolada")</f>
        <v>Regla extrapolada</v>
      </c>
    </row>
    <row r="599" spans="1:10" ht="30" customHeight="1">
      <c r="A599" t="s">
        <v>1252</v>
      </c>
      <c r="B599" s="5" t="s">
        <v>1253</v>
      </c>
      <c r="C599">
        <v>1</v>
      </c>
      <c r="D599">
        <v>0</v>
      </c>
      <c r="E599">
        <v>5</v>
      </c>
      <c r="F599" s="6">
        <v>18121.488000000001</v>
      </c>
      <c r="G599" s="6">
        <v>24155.555</v>
      </c>
      <c r="H599" s="6">
        <f>IF(OR(F599&lt;=0,G599&lt;=0),"",ROUND(G599+F599*Uso!$B$5,Uso!$B$6))</f>
        <v>24699.200000000001</v>
      </c>
      <c r="I599" s="6">
        <f t="shared" si="9"/>
        <v>24699.200000000001</v>
      </c>
      <c r="J599" t="str">
        <f>IF(COUNTIF(Cruce!$A$5:$A$14,A599)&gt;0,"SKU de muestra","Regla extrapolada")</f>
        <v>Regla extrapolada</v>
      </c>
    </row>
    <row r="600" spans="1:10" ht="30" customHeight="1">
      <c r="A600" t="s">
        <v>1254</v>
      </c>
      <c r="B600" s="5" t="s">
        <v>1255</v>
      </c>
      <c r="C600">
        <v>1</v>
      </c>
      <c r="D600">
        <v>0</v>
      </c>
      <c r="E600">
        <v>5</v>
      </c>
      <c r="F600" s="6">
        <v>132890.91</v>
      </c>
      <c r="G600" s="6">
        <v>177140.736</v>
      </c>
      <c r="H600" s="6">
        <f>IF(OR(F600&lt;=0,G600&lt;=0),"",ROUND(G600+F600*Uso!$B$5,Uso!$B$6))</f>
        <v>181127.46299999999</v>
      </c>
      <c r="I600" s="6">
        <f t="shared" si="9"/>
        <v>181127.46299999999</v>
      </c>
      <c r="J600" t="str">
        <f>IF(COUNTIF(Cruce!$A$5:$A$14,A600)&gt;0,"SKU de muestra","Regla extrapolada")</f>
        <v>Regla extrapolada</v>
      </c>
    </row>
    <row r="601" spans="1:10" ht="30" customHeight="1">
      <c r="A601" t="s">
        <v>1256</v>
      </c>
      <c r="B601" s="5" t="s">
        <v>1257</v>
      </c>
      <c r="C601">
        <v>1</v>
      </c>
      <c r="D601">
        <v>0</v>
      </c>
      <c r="E601">
        <v>5</v>
      </c>
      <c r="F601" s="6">
        <v>18242.38</v>
      </c>
      <c r="G601" s="6">
        <v>23193.87</v>
      </c>
      <c r="H601" s="6">
        <f>IF(OR(F601&lt;=0,G601&lt;=0),"",ROUND(G601+F601*Uso!$B$5,Uso!$B$6))</f>
        <v>23741.141</v>
      </c>
      <c r="I601" s="6">
        <f t="shared" si="9"/>
        <v>23741.141</v>
      </c>
      <c r="J601" t="str">
        <f>IF(COUNTIF(Cruce!$A$5:$A$14,A601)&gt;0,"SKU de muestra","Regla extrapolada")</f>
        <v>Regla extrapolada</v>
      </c>
    </row>
    <row r="602" spans="1:10" ht="30" customHeight="1">
      <c r="A602" t="s">
        <v>1258</v>
      </c>
      <c r="B602" s="5" t="s">
        <v>1259</v>
      </c>
      <c r="C602">
        <v>1</v>
      </c>
      <c r="D602">
        <v>0</v>
      </c>
      <c r="E602">
        <v>5</v>
      </c>
      <c r="F602" s="6">
        <v>30255.072</v>
      </c>
      <c r="G602" s="6">
        <v>37349.565000000002</v>
      </c>
      <c r="H602" s="6">
        <f>IF(OR(F602&lt;=0,G602&lt;=0),"",ROUND(G602+F602*Uso!$B$5,Uso!$B$6))</f>
        <v>38257.216999999997</v>
      </c>
      <c r="I602" s="6">
        <f t="shared" si="9"/>
        <v>38257.216999999997</v>
      </c>
      <c r="J602" t="str">
        <f>IF(COUNTIF(Cruce!$A$5:$A$14,A602)&gt;0,"SKU de muestra","Regla extrapolada")</f>
        <v>Regla extrapolada</v>
      </c>
    </row>
    <row r="603" spans="1:10" ht="30" customHeight="1">
      <c r="A603" t="s">
        <v>1260</v>
      </c>
      <c r="B603" s="5" t="s">
        <v>1261</v>
      </c>
      <c r="C603">
        <v>1</v>
      </c>
      <c r="D603">
        <v>0</v>
      </c>
      <c r="E603">
        <v>5</v>
      </c>
      <c r="F603" s="6">
        <v>21890.856</v>
      </c>
      <c r="G603" s="6">
        <v>27832.644</v>
      </c>
      <c r="H603" s="6">
        <f>IF(OR(F603&lt;=0,G603&lt;=0),"",ROUND(G603+F603*Uso!$B$5,Uso!$B$6))</f>
        <v>28489.37</v>
      </c>
      <c r="I603" s="6">
        <f t="shared" si="9"/>
        <v>28489.37</v>
      </c>
      <c r="J603" t="str">
        <f>IF(COUNTIF(Cruce!$A$5:$A$14,A603)&gt;0,"SKU de muestra","Regla extrapolada")</f>
        <v>Regla extrapolada</v>
      </c>
    </row>
    <row r="604" spans="1:10" ht="30" customHeight="1">
      <c r="A604" t="s">
        <v>1262</v>
      </c>
      <c r="B604" s="5" t="s">
        <v>1263</v>
      </c>
      <c r="C604">
        <v>1</v>
      </c>
      <c r="D604">
        <v>0</v>
      </c>
      <c r="E604">
        <v>5</v>
      </c>
      <c r="F604" s="6">
        <v>20838.620999999999</v>
      </c>
      <c r="G604" s="6">
        <v>27768.812000000002</v>
      </c>
      <c r="H604" s="6">
        <f>IF(OR(F604&lt;=0,G604&lt;=0),"",ROUND(G604+F604*Uso!$B$5,Uso!$B$6))</f>
        <v>28393.971000000001</v>
      </c>
      <c r="I604" s="6">
        <f t="shared" si="9"/>
        <v>28393.971000000001</v>
      </c>
      <c r="J604" t="str">
        <f>IF(COUNTIF(Cruce!$A$5:$A$14,A604)&gt;0,"SKU de muestra","Regla extrapolada")</f>
        <v>Regla extrapolada</v>
      </c>
    </row>
    <row r="605" spans="1:10" ht="30" customHeight="1">
      <c r="A605" t="s">
        <v>1264</v>
      </c>
      <c r="B605" s="5" t="s">
        <v>1265</v>
      </c>
      <c r="C605">
        <v>1</v>
      </c>
      <c r="D605">
        <v>0</v>
      </c>
      <c r="E605">
        <v>5</v>
      </c>
      <c r="F605" s="6">
        <v>161657.17800000001</v>
      </c>
      <c r="G605" s="6">
        <v>215418.663</v>
      </c>
      <c r="H605" s="6">
        <f>IF(OR(F605&lt;=0,G605&lt;=0),"",ROUND(G605+F605*Uso!$B$5,Uso!$B$6))</f>
        <v>220268.378</v>
      </c>
      <c r="I605" s="6">
        <f t="shared" si="9"/>
        <v>220268.378</v>
      </c>
      <c r="J605" t="str">
        <f>IF(COUNTIF(Cruce!$A$5:$A$14,A605)&gt;0,"SKU de muestra","Regla extrapolada")</f>
        <v>Regla extrapolada</v>
      </c>
    </row>
    <row r="606" spans="1:10" ht="30" customHeight="1">
      <c r="A606" t="s">
        <v>1266</v>
      </c>
      <c r="B606" s="5" t="s">
        <v>1267</v>
      </c>
      <c r="C606">
        <v>1</v>
      </c>
      <c r="D606">
        <v>0</v>
      </c>
      <c r="E606">
        <v>5</v>
      </c>
      <c r="F606" s="6">
        <v>11028.955</v>
      </c>
      <c r="G606" s="6">
        <v>13834.101000000001</v>
      </c>
      <c r="H606" s="6">
        <f>IF(OR(F606&lt;=0,G606&lt;=0),"",ROUND(G606+F606*Uso!$B$5,Uso!$B$6))</f>
        <v>14164.97</v>
      </c>
      <c r="I606" s="6">
        <f t="shared" si="9"/>
        <v>14164.97</v>
      </c>
      <c r="J606" t="str">
        <f>IF(COUNTIF(Cruce!$A$5:$A$14,A606)&gt;0,"SKU de muestra","Regla extrapolada")</f>
        <v>Regla extrapolada</v>
      </c>
    </row>
    <row r="607" spans="1:10" ht="30" customHeight="1">
      <c r="A607" t="s">
        <v>1268</v>
      </c>
      <c r="B607" s="5" t="s">
        <v>1269</v>
      </c>
      <c r="C607">
        <v>1</v>
      </c>
      <c r="D607">
        <v>0</v>
      </c>
      <c r="E607">
        <v>5</v>
      </c>
      <c r="F607" s="6">
        <v>17581.181</v>
      </c>
      <c r="G607" s="6">
        <v>21273.228999999999</v>
      </c>
      <c r="H607" s="6">
        <f>IF(OR(F607&lt;=0,G607&lt;=0),"",ROUND(G607+F607*Uso!$B$5,Uso!$B$6))</f>
        <v>21800.664000000001</v>
      </c>
      <c r="I607" s="6">
        <f t="shared" si="9"/>
        <v>21800.664000000001</v>
      </c>
      <c r="J607" t="str">
        <f>IF(COUNTIF(Cruce!$A$5:$A$14,A607)&gt;0,"SKU de muestra","Regla extrapolada")</f>
        <v>Regla extrapolada</v>
      </c>
    </row>
    <row r="608" spans="1:10" ht="30" customHeight="1">
      <c r="A608" t="s">
        <v>1270</v>
      </c>
      <c r="B608" s="5" t="s">
        <v>1271</v>
      </c>
      <c r="C608">
        <v>1</v>
      </c>
      <c r="D608">
        <v>0</v>
      </c>
      <c r="E608">
        <v>5</v>
      </c>
      <c r="F608" s="6">
        <v>64915.131000000001</v>
      </c>
      <c r="G608" s="6">
        <v>78547.308999999994</v>
      </c>
      <c r="H608" s="6">
        <f>IF(OR(F608&lt;=0,G608&lt;=0),"",ROUND(G608+F608*Uso!$B$5,Uso!$B$6))</f>
        <v>80494.763000000006</v>
      </c>
      <c r="I608" s="6">
        <f t="shared" si="9"/>
        <v>80494.763000000006</v>
      </c>
      <c r="J608" t="str">
        <f>IF(COUNTIF(Cruce!$A$5:$A$14,A608)&gt;0,"SKU de muestra","Regla extrapolada")</f>
        <v>Regla extrapolada</v>
      </c>
    </row>
    <row r="609" spans="1:10" ht="30" customHeight="1">
      <c r="A609" t="s">
        <v>1272</v>
      </c>
      <c r="B609" s="5" t="s">
        <v>1273</v>
      </c>
      <c r="C609">
        <v>1</v>
      </c>
      <c r="D609">
        <v>0</v>
      </c>
      <c r="E609">
        <v>5</v>
      </c>
      <c r="F609" s="6">
        <v>13545.571</v>
      </c>
      <c r="G609" s="6">
        <v>16817.947</v>
      </c>
      <c r="H609" s="6">
        <f>IF(OR(F609&lt;=0,G609&lt;=0),"",ROUND(G609+F609*Uso!$B$5,Uso!$B$6))</f>
        <v>17224.313999999998</v>
      </c>
      <c r="I609" s="6">
        <f t="shared" si="9"/>
        <v>17224.313999999998</v>
      </c>
      <c r="J609" t="str">
        <f>IF(COUNTIF(Cruce!$A$5:$A$14,A609)&gt;0,"SKU de muestra","Regla extrapolada")</f>
        <v>Regla extrapolada</v>
      </c>
    </row>
    <row r="610" spans="1:10" ht="30" customHeight="1">
      <c r="A610" t="s">
        <v>1274</v>
      </c>
      <c r="B610" s="5" t="s">
        <v>1275</v>
      </c>
      <c r="C610">
        <v>1</v>
      </c>
      <c r="D610">
        <v>0</v>
      </c>
      <c r="E610">
        <v>5</v>
      </c>
      <c r="F610" s="6">
        <v>13142.278</v>
      </c>
      <c r="G610" s="6">
        <v>16322.531999999999</v>
      </c>
      <c r="H610" s="6">
        <f>IF(OR(F610&lt;=0,G610&lt;=0),"",ROUND(G610+F610*Uso!$B$5,Uso!$B$6))</f>
        <v>16716.8</v>
      </c>
      <c r="I610" s="6">
        <f t="shared" si="9"/>
        <v>16716.8</v>
      </c>
      <c r="J610" t="str">
        <f>IF(COUNTIF(Cruce!$A$5:$A$14,A610)&gt;0,"SKU de muestra","Regla extrapolada")</f>
        <v>Regla extrapolada</v>
      </c>
    </row>
    <row r="611" spans="1:10" ht="30" customHeight="1">
      <c r="A611" t="s">
        <v>1276</v>
      </c>
      <c r="B611" s="5" t="s">
        <v>1277</v>
      </c>
      <c r="C611">
        <v>1</v>
      </c>
      <c r="D611">
        <v>0</v>
      </c>
      <c r="E611">
        <v>5</v>
      </c>
      <c r="F611" s="6">
        <v>52635.305</v>
      </c>
      <c r="G611" s="6">
        <v>63688.72</v>
      </c>
      <c r="H611" s="6">
        <f>IF(OR(F611&lt;=0,G611&lt;=0),"",ROUND(G611+F611*Uso!$B$5,Uso!$B$6))</f>
        <v>65267.779000000002</v>
      </c>
      <c r="I611" s="6">
        <f t="shared" si="9"/>
        <v>65267.779000000002</v>
      </c>
      <c r="J611" t="str">
        <f>IF(COUNTIF(Cruce!$A$5:$A$14,A611)&gt;0,"SKU de muestra","Regla extrapolada")</f>
        <v>Regla extrapolada</v>
      </c>
    </row>
    <row r="612" spans="1:10" ht="30" customHeight="1">
      <c r="A612" t="s">
        <v>1278</v>
      </c>
      <c r="B612" s="5" t="s">
        <v>1279</v>
      </c>
      <c r="C612">
        <v>1</v>
      </c>
      <c r="D612">
        <v>0</v>
      </c>
      <c r="E612">
        <v>5</v>
      </c>
      <c r="F612" s="6">
        <v>22672.2</v>
      </c>
      <c r="G612" s="6">
        <v>27433.361000000001</v>
      </c>
      <c r="H612" s="6">
        <f>IF(OR(F612&lt;=0,G612&lt;=0),"",ROUND(G612+F612*Uso!$B$5,Uso!$B$6))</f>
        <v>28113.526999999998</v>
      </c>
      <c r="I612" s="6">
        <f t="shared" si="9"/>
        <v>28113.526999999998</v>
      </c>
      <c r="J612" t="str">
        <f>IF(COUNTIF(Cruce!$A$5:$A$14,A612)&gt;0,"SKU de muestra","Regla extrapolada")</f>
        <v>Regla extrapolada</v>
      </c>
    </row>
    <row r="613" spans="1:10" ht="30" customHeight="1">
      <c r="A613" t="s">
        <v>1280</v>
      </c>
      <c r="B613" s="5" t="s">
        <v>1281</v>
      </c>
      <c r="C613">
        <v>1</v>
      </c>
      <c r="D613">
        <v>0</v>
      </c>
      <c r="E613">
        <v>5</v>
      </c>
      <c r="F613" s="6">
        <v>1657420.48</v>
      </c>
      <c r="G613" s="6">
        <v>2073563.213</v>
      </c>
      <c r="H613" s="6">
        <f>IF(OR(F613&lt;=0,G613&lt;=0),"",ROUND(G613+F613*Uso!$B$5,Uso!$B$6))</f>
        <v>2123285.827</v>
      </c>
      <c r="I613" s="6">
        <f t="shared" si="9"/>
        <v>2123285.827</v>
      </c>
      <c r="J613" t="str">
        <f>IF(COUNTIF(Cruce!$A$5:$A$14,A613)&gt;0,"SKU de muestra","Regla extrapolada")</f>
        <v>Regla extrapolada</v>
      </c>
    </row>
    <row r="614" spans="1:10" ht="30" customHeight="1">
      <c r="A614" t="s">
        <v>1282</v>
      </c>
      <c r="B614" s="5" t="s">
        <v>1283</v>
      </c>
      <c r="C614">
        <v>1</v>
      </c>
      <c r="D614">
        <v>0</v>
      </c>
      <c r="E614">
        <v>5</v>
      </c>
      <c r="F614" s="6">
        <v>6875434.5599999996</v>
      </c>
      <c r="G614" s="6">
        <v>8610569.3859999999</v>
      </c>
      <c r="H614" s="6">
        <f>IF(OR(F614&lt;=0,G614&lt;=0),"",ROUND(G614+F614*Uso!$B$5,Uso!$B$6))</f>
        <v>8816832.4230000004</v>
      </c>
      <c r="I614" s="6">
        <f t="shared" si="9"/>
        <v>8816832.4230000004</v>
      </c>
      <c r="J614" t="str">
        <f>IF(COUNTIF(Cruce!$A$5:$A$14,A614)&gt;0,"SKU de muestra","Regla extrapolada")</f>
        <v>Regla extrapolada</v>
      </c>
    </row>
    <row r="615" spans="1:10" ht="30" customHeight="1">
      <c r="A615" t="s">
        <v>1284</v>
      </c>
      <c r="B615" s="5" t="s">
        <v>1285</v>
      </c>
      <c r="C615">
        <v>1</v>
      </c>
      <c r="D615">
        <v>0</v>
      </c>
      <c r="E615">
        <v>5</v>
      </c>
      <c r="F615" s="6">
        <v>822492.15</v>
      </c>
      <c r="G615" s="6">
        <v>1029918.947</v>
      </c>
      <c r="H615" s="6">
        <f>IF(OR(F615&lt;=0,G615&lt;=0),"",ROUND(G615+F615*Uso!$B$5,Uso!$B$6))</f>
        <v>1054593.7120000001</v>
      </c>
      <c r="I615" s="6">
        <f t="shared" si="9"/>
        <v>1054593.7120000001</v>
      </c>
      <c r="J615" t="str">
        <f>IF(COUNTIF(Cruce!$A$5:$A$14,A615)&gt;0,"SKU de muestra","Regla extrapolada")</f>
        <v>Regla extrapolada</v>
      </c>
    </row>
    <row r="616" spans="1:10" ht="30" customHeight="1">
      <c r="A616" t="s">
        <v>1286</v>
      </c>
      <c r="B616" s="5" t="s">
        <v>1287</v>
      </c>
      <c r="C616">
        <v>1</v>
      </c>
      <c r="D616">
        <v>0</v>
      </c>
      <c r="E616">
        <v>5</v>
      </c>
      <c r="F616" s="6">
        <v>30056.903999999999</v>
      </c>
      <c r="G616" s="6">
        <v>37951.629999999997</v>
      </c>
      <c r="H616" s="6">
        <f>IF(OR(F616&lt;=0,G616&lt;=0),"",ROUND(G616+F616*Uso!$B$5,Uso!$B$6))</f>
        <v>38853.337</v>
      </c>
      <c r="I616" s="6">
        <f t="shared" si="9"/>
        <v>38853.337</v>
      </c>
      <c r="J616" t="str">
        <f>IF(COUNTIF(Cruce!$A$5:$A$14,A616)&gt;0,"SKU de muestra","Regla extrapolada")</f>
        <v>Regla extrapolada</v>
      </c>
    </row>
    <row r="617" spans="1:10" ht="30" customHeight="1">
      <c r="A617" t="s">
        <v>1288</v>
      </c>
      <c r="B617" s="5" t="s">
        <v>1289</v>
      </c>
      <c r="C617">
        <v>1</v>
      </c>
      <c r="D617">
        <v>0</v>
      </c>
      <c r="E617">
        <v>5</v>
      </c>
      <c r="F617" s="6">
        <v>40459.248</v>
      </c>
      <c r="G617" s="6">
        <v>48955.69</v>
      </c>
      <c r="H617" s="6">
        <f>IF(OR(F617&lt;=0,G617&lt;=0),"",ROUND(G617+F617*Uso!$B$5,Uso!$B$6))</f>
        <v>50169.466999999997</v>
      </c>
      <c r="I617" s="6">
        <f t="shared" si="9"/>
        <v>50169.466999999997</v>
      </c>
      <c r="J617" t="str">
        <f>IF(COUNTIF(Cruce!$A$5:$A$14,A617)&gt;0,"SKU de muestra","Regla extrapolada")</f>
        <v>Regla extrapolada</v>
      </c>
    </row>
    <row r="618" spans="1:10" ht="30" customHeight="1">
      <c r="A618" t="s">
        <v>1290</v>
      </c>
      <c r="B618" s="5" t="s">
        <v>1291</v>
      </c>
      <c r="C618">
        <v>1</v>
      </c>
      <c r="D618">
        <v>0</v>
      </c>
      <c r="E618">
        <v>5</v>
      </c>
      <c r="F618" s="6">
        <v>188415.598</v>
      </c>
      <c r="G618" s="6">
        <v>238140.60200000001</v>
      </c>
      <c r="H618" s="6">
        <f>IF(OR(F618&lt;=0,G618&lt;=0),"",ROUND(G618+F618*Uso!$B$5,Uso!$B$6))</f>
        <v>243793.07</v>
      </c>
      <c r="I618" s="6">
        <f t="shared" si="9"/>
        <v>243793.07</v>
      </c>
      <c r="J618" t="str">
        <f>IF(COUNTIF(Cruce!$A$5:$A$14,A618)&gt;0,"SKU de muestra","Regla extrapolada")</f>
        <v>Regla extrapolada</v>
      </c>
    </row>
    <row r="619" spans="1:10" ht="30" customHeight="1">
      <c r="A619" t="s">
        <v>1292</v>
      </c>
      <c r="B619" s="5" t="s">
        <v>1293</v>
      </c>
      <c r="C619">
        <v>1</v>
      </c>
      <c r="D619">
        <v>0</v>
      </c>
      <c r="E619">
        <v>5</v>
      </c>
      <c r="F619" s="6">
        <v>32731.793000000001</v>
      </c>
      <c r="G619" s="6">
        <v>39605.468999999997</v>
      </c>
      <c r="H619" s="6">
        <f>IF(OR(F619&lt;=0,G619&lt;=0),"",ROUND(G619+F619*Uso!$B$5,Uso!$B$6))</f>
        <v>40587.423000000003</v>
      </c>
      <c r="I619" s="6">
        <f t="shared" si="9"/>
        <v>40587.423000000003</v>
      </c>
      <c r="J619" t="str">
        <f>IF(COUNTIF(Cruce!$A$5:$A$14,A619)&gt;0,"SKU de muestra","Regla extrapolada")</f>
        <v>Regla extrapolada</v>
      </c>
    </row>
    <row r="620" spans="1:10" ht="30" customHeight="1">
      <c r="A620" t="s">
        <v>1294</v>
      </c>
      <c r="B620" s="5" t="s">
        <v>1295</v>
      </c>
      <c r="C620">
        <v>1</v>
      </c>
      <c r="D620">
        <v>0</v>
      </c>
      <c r="E620">
        <v>5</v>
      </c>
      <c r="F620" s="6">
        <v>32731.793000000001</v>
      </c>
      <c r="G620" s="6">
        <v>39605.468999999997</v>
      </c>
      <c r="H620" s="6">
        <f>IF(OR(F620&lt;=0,G620&lt;=0),"",ROUND(G620+F620*Uso!$B$5,Uso!$B$6))</f>
        <v>40587.423000000003</v>
      </c>
      <c r="I620" s="6">
        <f t="shared" si="9"/>
        <v>40587.423000000003</v>
      </c>
      <c r="J620" t="str">
        <f>IF(COUNTIF(Cruce!$A$5:$A$14,A620)&gt;0,"SKU de muestra","Regla extrapolada")</f>
        <v>Regla extrapolada</v>
      </c>
    </row>
    <row r="621" spans="1:10" ht="30" customHeight="1">
      <c r="A621" t="s">
        <v>1296</v>
      </c>
      <c r="B621" s="5" t="s">
        <v>1297</v>
      </c>
      <c r="C621">
        <v>1</v>
      </c>
      <c r="D621">
        <v>0</v>
      </c>
      <c r="E621">
        <v>5</v>
      </c>
      <c r="F621" s="6">
        <v>32731.793000000001</v>
      </c>
      <c r="G621" s="6">
        <v>39605.468999999997</v>
      </c>
      <c r="H621" s="6">
        <f>IF(OR(F621&lt;=0,G621&lt;=0),"",ROUND(G621+F621*Uso!$B$5,Uso!$B$6))</f>
        <v>40587.423000000003</v>
      </c>
      <c r="I621" s="6">
        <f t="shared" si="9"/>
        <v>40587.423000000003</v>
      </c>
      <c r="J621" t="str">
        <f>IF(COUNTIF(Cruce!$A$5:$A$14,A621)&gt;0,"SKU de muestra","Regla extrapolada")</f>
        <v>Regla extrapolada</v>
      </c>
    </row>
    <row r="622" spans="1:10" ht="30" customHeight="1">
      <c r="A622" t="s">
        <v>1298</v>
      </c>
      <c r="B622" s="5" t="s">
        <v>1299</v>
      </c>
      <c r="C622">
        <v>1</v>
      </c>
      <c r="D622">
        <v>0</v>
      </c>
      <c r="E622">
        <v>5</v>
      </c>
      <c r="F622" s="6">
        <v>52635.305</v>
      </c>
      <c r="G622" s="6">
        <v>63688.718999999997</v>
      </c>
      <c r="H622" s="6">
        <f>IF(OR(F622&lt;=0,G622&lt;=0),"",ROUND(G622+F622*Uso!$B$5,Uso!$B$6))</f>
        <v>65267.777999999998</v>
      </c>
      <c r="I622" s="6">
        <f t="shared" si="9"/>
        <v>65267.777999999998</v>
      </c>
      <c r="J622" t="str">
        <f>IF(COUNTIF(Cruce!$A$5:$A$14,A622)&gt;0,"SKU de muestra","Regla extrapolada")</f>
        <v>Regla extrapolada</v>
      </c>
    </row>
    <row r="623" spans="1:10" ht="30" customHeight="1">
      <c r="A623" t="s">
        <v>1300</v>
      </c>
      <c r="B623" s="5" t="s">
        <v>1301</v>
      </c>
      <c r="C623">
        <v>1</v>
      </c>
      <c r="D623">
        <v>0</v>
      </c>
      <c r="E623">
        <v>5</v>
      </c>
      <c r="F623" s="6">
        <v>205410.296</v>
      </c>
      <c r="G623" s="6">
        <v>262156.41800000001</v>
      </c>
      <c r="H623" s="6">
        <f>IF(OR(F623&lt;=0,G623&lt;=0),"",ROUND(G623+F623*Uso!$B$5,Uso!$B$6))</f>
        <v>268318.72700000001</v>
      </c>
      <c r="I623" s="6">
        <f t="shared" si="9"/>
        <v>268318.72700000001</v>
      </c>
      <c r="J623" t="str">
        <f>IF(COUNTIF(Cruce!$A$5:$A$14,A623)&gt;0,"SKU de muestra","Regla extrapolada")</f>
        <v>Regla extrapolada</v>
      </c>
    </row>
    <row r="624" spans="1:10" ht="30" customHeight="1">
      <c r="A624" t="s">
        <v>1302</v>
      </c>
      <c r="B624" s="5" t="s">
        <v>1303</v>
      </c>
      <c r="C624">
        <v>1</v>
      </c>
      <c r="D624">
        <v>0</v>
      </c>
      <c r="E624">
        <v>5</v>
      </c>
      <c r="F624" s="6">
        <v>100618.686</v>
      </c>
      <c r="G624" s="6">
        <v>126087.378</v>
      </c>
      <c r="H624" s="6">
        <f>IF(OR(F624&lt;=0,G624&lt;=0),"",ROUND(G624+F624*Uso!$B$5,Uso!$B$6))</f>
        <v>129105.939</v>
      </c>
      <c r="I624" s="6">
        <f t="shared" si="9"/>
        <v>129105.939</v>
      </c>
      <c r="J624" t="str">
        <f>IF(COUNTIF(Cruce!$A$5:$A$14,A624)&gt;0,"SKU de muestra","Regla extrapolada")</f>
        <v>Regla extrapolada</v>
      </c>
    </row>
    <row r="625" spans="1:10" ht="30" customHeight="1">
      <c r="A625" t="s">
        <v>1304</v>
      </c>
      <c r="B625" s="5" t="s">
        <v>1305</v>
      </c>
      <c r="C625">
        <v>1</v>
      </c>
      <c r="D625">
        <v>0</v>
      </c>
      <c r="E625">
        <v>5</v>
      </c>
      <c r="F625" s="6">
        <v>66157.769</v>
      </c>
      <c r="G625" s="6">
        <v>80050.899999999994</v>
      </c>
      <c r="H625" s="6">
        <f>IF(OR(F625&lt;=0,G625&lt;=0),"",ROUND(G625+F625*Uso!$B$5,Uso!$B$6))</f>
        <v>82035.633000000002</v>
      </c>
      <c r="I625" s="6">
        <f t="shared" si="9"/>
        <v>82035.633000000002</v>
      </c>
      <c r="J625" t="str">
        <f>IF(COUNTIF(Cruce!$A$5:$A$14,A625)&gt;0,"SKU de muestra","Regla extrapolada")</f>
        <v>Regla extrapolada</v>
      </c>
    </row>
    <row r="626" spans="1:10" ht="30" customHeight="1">
      <c r="A626" t="s">
        <v>1306</v>
      </c>
      <c r="B626" s="5" t="s">
        <v>1307</v>
      </c>
      <c r="C626">
        <v>1</v>
      </c>
      <c r="D626">
        <v>0</v>
      </c>
      <c r="E626">
        <v>5</v>
      </c>
      <c r="F626" s="6">
        <v>17917.728999999999</v>
      </c>
      <c r="G626" s="6">
        <v>21680.452000000001</v>
      </c>
      <c r="H626" s="6">
        <f>IF(OR(F626&lt;=0,G626&lt;=0),"",ROUND(G626+F626*Uso!$B$5,Uso!$B$6))</f>
        <v>22217.984</v>
      </c>
      <c r="I626" s="6">
        <f t="shared" si="9"/>
        <v>22217.984</v>
      </c>
      <c r="J626" t="str">
        <f>IF(COUNTIF(Cruce!$A$5:$A$14,A626)&gt;0,"SKU de muestra","Regla extrapolada")</f>
        <v>Regla extrapolada</v>
      </c>
    </row>
    <row r="627" spans="1:10" ht="30" customHeight="1">
      <c r="A627" t="s">
        <v>1308</v>
      </c>
      <c r="B627" s="5" t="s">
        <v>1305</v>
      </c>
      <c r="C627">
        <v>1</v>
      </c>
      <c r="D627">
        <v>0</v>
      </c>
      <c r="E627">
        <v>5</v>
      </c>
      <c r="F627" s="6">
        <v>63288.536</v>
      </c>
      <c r="G627" s="6">
        <v>76579.129000000001</v>
      </c>
      <c r="H627" s="6">
        <f>IF(OR(F627&lt;=0,G627&lt;=0),"",ROUND(G627+F627*Uso!$B$5,Uso!$B$6))</f>
        <v>78477.785000000003</v>
      </c>
      <c r="I627" s="6">
        <f t="shared" si="9"/>
        <v>78477.785000000003</v>
      </c>
      <c r="J627" t="str">
        <f>IF(COUNTIF(Cruce!$A$5:$A$14,A627)&gt;0,"SKU de muestra","Regla extrapolada")</f>
        <v>Regla extrapolada</v>
      </c>
    </row>
    <row r="628" spans="1:10" ht="30" customHeight="1">
      <c r="A628" t="s">
        <v>1309</v>
      </c>
      <c r="B628" s="5" t="s">
        <v>1307</v>
      </c>
      <c r="C628">
        <v>1</v>
      </c>
      <c r="D628">
        <v>0</v>
      </c>
      <c r="E628">
        <v>5</v>
      </c>
      <c r="F628" s="6">
        <v>34179.584999999999</v>
      </c>
      <c r="G628" s="6">
        <v>41357.298000000003</v>
      </c>
      <c r="H628" s="6">
        <f>IF(OR(F628&lt;=0,G628&lt;=0),"",ROUND(G628+F628*Uso!$B$5,Uso!$B$6))</f>
        <v>42382.686000000002</v>
      </c>
      <c r="I628" s="6">
        <f t="shared" si="9"/>
        <v>42382.686000000002</v>
      </c>
      <c r="J628" t="str">
        <f>IF(COUNTIF(Cruce!$A$5:$A$14,A628)&gt;0,"SKU de muestra","Regla extrapolada")</f>
        <v>Regla extrapolada</v>
      </c>
    </row>
    <row r="629" spans="1:10" ht="30" customHeight="1">
      <c r="A629" t="s">
        <v>1310</v>
      </c>
      <c r="B629" s="5" t="s">
        <v>1311</v>
      </c>
      <c r="C629">
        <v>1</v>
      </c>
      <c r="D629">
        <v>0</v>
      </c>
      <c r="E629">
        <v>5</v>
      </c>
      <c r="F629" s="6">
        <v>490998.21299999999</v>
      </c>
      <c r="G629" s="6">
        <v>601883.53799999994</v>
      </c>
      <c r="H629" s="6">
        <f>IF(OR(F629&lt;=0,G629&lt;=0),"",ROUND(G629+F629*Uso!$B$5,Uso!$B$6))</f>
        <v>616613.48400000005</v>
      </c>
      <c r="I629" s="6">
        <f t="shared" si="9"/>
        <v>616613.48400000005</v>
      </c>
      <c r="J629" t="str">
        <f>IF(COUNTIF(Cruce!$A$5:$A$14,A629)&gt;0,"SKU de muestra","Regla extrapolada")</f>
        <v>Regla extrapolada</v>
      </c>
    </row>
    <row r="630" spans="1:10" ht="30" customHeight="1">
      <c r="A630" t="s">
        <v>1312</v>
      </c>
      <c r="B630" s="5" t="s">
        <v>1313</v>
      </c>
      <c r="C630">
        <v>1</v>
      </c>
      <c r="D630">
        <v>0</v>
      </c>
      <c r="E630">
        <v>5</v>
      </c>
      <c r="F630" s="6">
        <v>165962.16399999999</v>
      </c>
      <c r="G630" s="6">
        <v>209519.549</v>
      </c>
      <c r="H630" s="6">
        <f>IF(OR(F630&lt;=0,G630&lt;=0),"",ROUND(G630+F630*Uso!$B$5,Uso!$B$6))</f>
        <v>214498.41399999999</v>
      </c>
      <c r="I630" s="6">
        <f t="shared" si="9"/>
        <v>214498.41399999999</v>
      </c>
      <c r="J630" t="str">
        <f>IF(COUNTIF(Cruce!$A$5:$A$14,A630)&gt;0,"SKU de muestra","Regla extrapolada")</f>
        <v>Regla extrapolada</v>
      </c>
    </row>
    <row r="631" spans="1:10" ht="30" customHeight="1">
      <c r="A631" t="s">
        <v>1314</v>
      </c>
      <c r="B631" s="5" t="s">
        <v>1315</v>
      </c>
      <c r="C631">
        <v>1</v>
      </c>
      <c r="D631">
        <v>0</v>
      </c>
      <c r="E631">
        <v>5</v>
      </c>
      <c r="F631" s="6">
        <v>73090.785000000003</v>
      </c>
      <c r="G631" s="6">
        <v>88439.85</v>
      </c>
      <c r="H631" s="6">
        <f>IF(OR(F631&lt;=0,G631&lt;=0),"",ROUND(G631+F631*Uso!$B$5,Uso!$B$6))</f>
        <v>90632.573999999993</v>
      </c>
      <c r="I631" s="6">
        <f t="shared" si="9"/>
        <v>90632.573999999993</v>
      </c>
      <c r="J631" t="str">
        <f>IF(COUNTIF(Cruce!$A$5:$A$14,A631)&gt;0,"SKU de muestra","Regla extrapolada")</f>
        <v>Regla extrapolada</v>
      </c>
    </row>
    <row r="632" spans="1:10" ht="30" customHeight="1">
      <c r="A632" t="s">
        <v>1316</v>
      </c>
      <c r="B632" s="5" t="s">
        <v>1317</v>
      </c>
      <c r="C632">
        <v>1</v>
      </c>
      <c r="D632">
        <v>0</v>
      </c>
      <c r="E632">
        <v>5</v>
      </c>
      <c r="F632" s="6">
        <v>27106.418000000001</v>
      </c>
      <c r="G632" s="6">
        <v>32798.766000000003</v>
      </c>
      <c r="H632" s="6">
        <f>IF(OR(F632&lt;=0,G632&lt;=0),"",ROUND(G632+F632*Uso!$B$5,Uso!$B$6))</f>
        <v>33611.959000000003</v>
      </c>
      <c r="I632" s="6">
        <f t="shared" si="9"/>
        <v>33611.959000000003</v>
      </c>
      <c r="J632" t="str">
        <f>IF(COUNTIF(Cruce!$A$5:$A$14,A632)&gt;0,"SKU de muestra","Regla extrapolada")</f>
        <v>Regla extrapolada</v>
      </c>
    </row>
    <row r="633" spans="1:10" ht="30" customHeight="1">
      <c r="A633" t="s">
        <v>1318</v>
      </c>
      <c r="B633" s="5" t="s">
        <v>1319</v>
      </c>
      <c r="C633">
        <v>1</v>
      </c>
      <c r="D633">
        <v>0</v>
      </c>
      <c r="E633">
        <v>5</v>
      </c>
      <c r="F633" s="6">
        <v>100680.982</v>
      </c>
      <c r="G633" s="6">
        <v>121823.988</v>
      </c>
      <c r="H633" s="6">
        <f>IF(OR(F633&lt;=0,G633&lt;=0),"",ROUND(G633+F633*Uso!$B$5,Uso!$B$6))</f>
        <v>124844.417</v>
      </c>
      <c r="I633" s="6">
        <f t="shared" si="9"/>
        <v>124844.417</v>
      </c>
      <c r="J633" t="str">
        <f>IF(COUNTIF(Cruce!$A$5:$A$14,A633)&gt;0,"SKU de muestra","Regla extrapolada")</f>
        <v>Regla extrapolada</v>
      </c>
    </row>
    <row r="634" spans="1:10" ht="30" customHeight="1">
      <c r="A634" t="s">
        <v>1320</v>
      </c>
      <c r="B634" s="5" t="s">
        <v>1321</v>
      </c>
      <c r="C634">
        <v>1</v>
      </c>
      <c r="D634">
        <v>0</v>
      </c>
      <c r="E634">
        <v>5</v>
      </c>
      <c r="F634" s="6">
        <v>44619.186999999998</v>
      </c>
      <c r="G634" s="6">
        <v>53989.216</v>
      </c>
      <c r="H634" s="6">
        <f>IF(OR(F634&lt;=0,G634&lt;=0),"",ROUND(G634+F634*Uso!$B$5,Uso!$B$6))</f>
        <v>55327.792000000001</v>
      </c>
      <c r="I634" s="6">
        <f t="shared" si="9"/>
        <v>55327.792000000001</v>
      </c>
      <c r="J634" t="str">
        <f>IF(COUNTIF(Cruce!$A$5:$A$14,A634)&gt;0,"SKU de muestra","Regla extrapolada")</f>
        <v>Regla extrapolada</v>
      </c>
    </row>
    <row r="635" spans="1:10" ht="30" customHeight="1">
      <c r="A635" t="s">
        <v>1322</v>
      </c>
      <c r="B635" s="5" t="s">
        <v>1323</v>
      </c>
      <c r="C635">
        <v>1</v>
      </c>
      <c r="D635">
        <v>0</v>
      </c>
      <c r="E635">
        <v>5</v>
      </c>
      <c r="F635" s="6">
        <v>97572.646999999997</v>
      </c>
      <c r="G635" s="6">
        <v>118062.902</v>
      </c>
      <c r="H635" s="6">
        <f>IF(OR(F635&lt;=0,G635&lt;=0),"",ROUND(G635+F635*Uso!$B$5,Uso!$B$6))</f>
        <v>120990.08100000001</v>
      </c>
      <c r="I635" s="6">
        <f t="shared" si="9"/>
        <v>120990.08100000001</v>
      </c>
      <c r="J635" t="str">
        <f>IF(COUNTIF(Cruce!$A$5:$A$14,A635)&gt;0,"SKU de muestra","Regla extrapolada")</f>
        <v>Regla extrapolada</v>
      </c>
    </row>
    <row r="636" spans="1:10" ht="30" customHeight="1">
      <c r="A636" t="s">
        <v>1324</v>
      </c>
      <c r="B636" s="5" t="s">
        <v>1325</v>
      </c>
      <c r="C636">
        <v>1</v>
      </c>
      <c r="D636">
        <v>0</v>
      </c>
      <c r="E636">
        <v>5</v>
      </c>
      <c r="F636" s="6">
        <v>69487.626999999993</v>
      </c>
      <c r="G636" s="6">
        <v>92347.673999999999</v>
      </c>
      <c r="H636" s="6">
        <f>IF(OR(F636&lt;=0,G636&lt;=0),"",ROUND(G636+F636*Uso!$B$5,Uso!$B$6))</f>
        <v>94432.303</v>
      </c>
      <c r="I636" s="6">
        <f t="shared" si="9"/>
        <v>94432.303</v>
      </c>
      <c r="J636" t="str">
        <f>IF(COUNTIF(Cruce!$A$5:$A$14,A636)&gt;0,"SKU de muestra","Regla extrapolada")</f>
        <v>Regla extrapolada</v>
      </c>
    </row>
    <row r="637" spans="1:10" ht="30" customHeight="1">
      <c r="A637" t="s">
        <v>1326</v>
      </c>
      <c r="B637" s="5" t="s">
        <v>1327</v>
      </c>
      <c r="C637">
        <v>1</v>
      </c>
      <c r="D637">
        <v>0</v>
      </c>
      <c r="E637">
        <v>5</v>
      </c>
      <c r="F637" s="6">
        <v>69736.41</v>
      </c>
      <c r="G637" s="6">
        <v>92511.210999999996</v>
      </c>
      <c r="H637" s="6">
        <f>IF(OR(F637&lt;=0,G637&lt;=0),"",ROUND(G637+F637*Uso!$B$5,Uso!$B$6))</f>
        <v>94603.303</v>
      </c>
      <c r="I637" s="6">
        <f t="shared" si="9"/>
        <v>94603.303</v>
      </c>
      <c r="J637" t="str">
        <f>IF(COUNTIF(Cruce!$A$5:$A$14,A637)&gt;0,"SKU de muestra","Regla extrapolada")</f>
        <v>Regla extrapolada</v>
      </c>
    </row>
    <row r="638" spans="1:10" ht="30" customHeight="1">
      <c r="A638" t="s">
        <v>1328</v>
      </c>
      <c r="B638" s="5" t="s">
        <v>1329</v>
      </c>
      <c r="C638">
        <v>1</v>
      </c>
      <c r="D638">
        <v>0</v>
      </c>
      <c r="E638">
        <v>5</v>
      </c>
      <c r="F638" s="6">
        <v>28504.776000000002</v>
      </c>
      <c r="G638" s="6">
        <v>35751.667000000001</v>
      </c>
      <c r="H638" s="6">
        <f>IF(OR(F638&lt;=0,G638&lt;=0),"",ROUND(G638+F638*Uso!$B$5,Uso!$B$6))</f>
        <v>36606.81</v>
      </c>
      <c r="I638" s="6">
        <f t="shared" si="9"/>
        <v>36606.81</v>
      </c>
      <c r="J638" t="str">
        <f>IF(COUNTIF(Cruce!$A$5:$A$14,A638)&gt;0,"SKU de muestra","Regla extrapolada")</f>
        <v>Regla extrapolada</v>
      </c>
    </row>
    <row r="639" spans="1:10" ht="30" customHeight="1">
      <c r="A639" t="s">
        <v>1330</v>
      </c>
      <c r="B639" s="5" t="s">
        <v>1331</v>
      </c>
      <c r="C639">
        <v>1</v>
      </c>
      <c r="D639">
        <v>0</v>
      </c>
      <c r="E639">
        <v>5</v>
      </c>
      <c r="F639" s="6">
        <v>32332.71</v>
      </c>
      <c r="G639" s="6">
        <v>40346.891000000003</v>
      </c>
      <c r="H639" s="6">
        <f>IF(OR(F639&lt;=0,G639&lt;=0),"",ROUND(G639+F639*Uso!$B$5,Uso!$B$6))</f>
        <v>41316.872000000003</v>
      </c>
      <c r="I639" s="6">
        <f t="shared" si="9"/>
        <v>41316.872000000003</v>
      </c>
      <c r="J639" t="str">
        <f>IF(COUNTIF(Cruce!$A$5:$A$14,A639)&gt;0,"SKU de muestra","Regla extrapolada")</f>
        <v>Regla extrapolada</v>
      </c>
    </row>
    <row r="640" spans="1:10" ht="30" customHeight="1">
      <c r="A640" t="s">
        <v>1332</v>
      </c>
      <c r="B640" s="5" t="s">
        <v>1333</v>
      </c>
      <c r="C640">
        <v>1</v>
      </c>
      <c r="D640">
        <v>0</v>
      </c>
      <c r="E640">
        <v>0</v>
      </c>
      <c r="F640" s="6">
        <v>0</v>
      </c>
      <c r="G640" s="6">
        <v>0</v>
      </c>
      <c r="H640" s="6" t="str">
        <f>IF(OR(F640&lt;=0,G640&lt;=0),"",ROUND(G640+F640*Uso!$B$5,Uso!$B$6))</f>
        <v/>
      </c>
      <c r="I640" s="6" t="str">
        <f t="shared" si="9"/>
        <v/>
      </c>
      <c r="J640" t="str">
        <f>IF(COUNTIF(Cruce!$A$5:$A$14,A640)&gt;0,"SKU de muestra","Regla extrapolada")</f>
        <v>Regla extrapolada</v>
      </c>
    </row>
    <row r="641" spans="1:10" ht="30" customHeight="1">
      <c r="A641" t="s">
        <v>1334</v>
      </c>
      <c r="B641" s="5" t="s">
        <v>1335</v>
      </c>
      <c r="C641">
        <v>1</v>
      </c>
      <c r="D641">
        <v>0</v>
      </c>
      <c r="E641">
        <v>5</v>
      </c>
      <c r="F641" s="6">
        <v>19247.57</v>
      </c>
      <c r="G641" s="6">
        <v>23999.059000000001</v>
      </c>
      <c r="H641" s="6">
        <f>IF(OR(F641&lt;=0,G641&lt;=0),"",ROUND(G641+F641*Uso!$B$5,Uso!$B$6))</f>
        <v>24576.486000000001</v>
      </c>
      <c r="I641" s="6">
        <f t="shared" si="9"/>
        <v>24576.486000000001</v>
      </c>
      <c r="J641" t="str">
        <f>IF(COUNTIF(Cruce!$A$5:$A$14,A641)&gt;0,"SKU de muestra","Regla extrapolada")</f>
        <v>Regla extrapolada</v>
      </c>
    </row>
    <row r="642" spans="1:10" ht="30" customHeight="1">
      <c r="A642" t="s">
        <v>1336</v>
      </c>
      <c r="B642" s="5" t="s">
        <v>1337</v>
      </c>
      <c r="C642">
        <v>1</v>
      </c>
      <c r="D642">
        <v>0</v>
      </c>
      <c r="E642">
        <v>5</v>
      </c>
      <c r="F642" s="6">
        <v>23950.975999999999</v>
      </c>
      <c r="G642" s="6">
        <v>30001.91</v>
      </c>
      <c r="H642" s="6">
        <f>IF(OR(F642&lt;=0,G642&lt;=0),"",ROUND(G642+F642*Uso!$B$5,Uso!$B$6))</f>
        <v>30720.438999999998</v>
      </c>
      <c r="I642" s="6">
        <f t="shared" si="9"/>
        <v>30720.438999999998</v>
      </c>
      <c r="J642" t="str">
        <f>IF(COUNTIF(Cruce!$A$5:$A$14,A642)&gt;0,"SKU de muestra","Regla extrapolada")</f>
        <v>Regla extrapolada</v>
      </c>
    </row>
    <row r="643" spans="1:10" ht="30" customHeight="1">
      <c r="A643" t="s">
        <v>1338</v>
      </c>
      <c r="B643" s="5" t="s">
        <v>1249</v>
      </c>
      <c r="C643">
        <v>1</v>
      </c>
      <c r="D643">
        <v>0</v>
      </c>
      <c r="E643">
        <v>5</v>
      </c>
      <c r="F643" s="6">
        <v>34158.894999999997</v>
      </c>
      <c r="G643" s="6">
        <v>41332.262999999999</v>
      </c>
      <c r="H643" s="6">
        <f>IF(OR(F643&lt;=0,G643&lt;=0),"",ROUND(G643+F643*Uso!$B$5,Uso!$B$6))</f>
        <v>42357.03</v>
      </c>
      <c r="I643" s="6">
        <f t="shared" si="9"/>
        <v>42357.03</v>
      </c>
      <c r="J643" t="str">
        <f>IF(COUNTIF(Cruce!$A$5:$A$14,A643)&gt;0,"SKU de muestra","Regla extrapolada")</f>
        <v>Regla extrapolada</v>
      </c>
    </row>
    <row r="644" spans="1:10" ht="30" customHeight="1">
      <c r="A644" t="s">
        <v>1339</v>
      </c>
      <c r="B644" s="5" t="s">
        <v>1340</v>
      </c>
      <c r="C644">
        <v>1</v>
      </c>
      <c r="D644">
        <v>0</v>
      </c>
      <c r="E644">
        <v>5</v>
      </c>
      <c r="F644" s="6">
        <v>41010.567000000003</v>
      </c>
      <c r="G644" s="6">
        <v>52028.364999999998</v>
      </c>
      <c r="H644" s="6">
        <f>IF(OR(F644&lt;=0,G644&lt;=0),"",ROUND(G644+F644*Uso!$B$5,Uso!$B$6))</f>
        <v>53258.682000000001</v>
      </c>
      <c r="I644" s="6">
        <f t="shared" si="9"/>
        <v>53258.682000000001</v>
      </c>
      <c r="J644" t="str">
        <f>IF(COUNTIF(Cruce!$A$5:$A$14,A644)&gt;0,"SKU de muestra","Regla extrapolada")</f>
        <v>Regla extrapolada</v>
      </c>
    </row>
    <row r="645" spans="1:10" ht="30" customHeight="1">
      <c r="A645" t="s">
        <v>1341</v>
      </c>
      <c r="B645" s="5" t="s">
        <v>1342</v>
      </c>
      <c r="C645">
        <v>1</v>
      </c>
      <c r="D645">
        <v>0</v>
      </c>
      <c r="E645">
        <v>5</v>
      </c>
      <c r="F645" s="6">
        <v>41010.567000000003</v>
      </c>
      <c r="G645" s="6">
        <v>52028.364999999998</v>
      </c>
      <c r="H645" s="6">
        <f>IF(OR(F645&lt;=0,G645&lt;=0),"",ROUND(G645+F645*Uso!$B$5,Uso!$B$6))</f>
        <v>53258.682000000001</v>
      </c>
      <c r="I645" s="6">
        <f t="shared" ref="I645:I708" si="10">IF(OR(H645="",C645&lt;=0),"",H645/C645)</f>
        <v>53258.682000000001</v>
      </c>
      <c r="J645" t="str">
        <f>IF(COUNTIF(Cruce!$A$5:$A$14,A645)&gt;0,"SKU de muestra","Regla extrapolada")</f>
        <v>Regla extrapolada</v>
      </c>
    </row>
    <row r="646" spans="1:10" ht="30" customHeight="1">
      <c r="A646" t="s">
        <v>1343</v>
      </c>
      <c r="B646" s="5" t="s">
        <v>1344</v>
      </c>
      <c r="C646">
        <v>1</v>
      </c>
      <c r="D646">
        <v>0</v>
      </c>
      <c r="E646">
        <v>5</v>
      </c>
      <c r="F646" s="6">
        <v>149405.11199999999</v>
      </c>
      <c r="G646" s="6">
        <v>188537.682</v>
      </c>
      <c r="H646" s="6">
        <f>IF(OR(F646&lt;=0,G646&lt;=0),"",ROUND(G646+F646*Uso!$B$5,Uso!$B$6))</f>
        <v>193019.83499999999</v>
      </c>
      <c r="I646" s="6">
        <f t="shared" si="10"/>
        <v>193019.83499999999</v>
      </c>
      <c r="J646" t="str">
        <f>IF(COUNTIF(Cruce!$A$5:$A$14,A646)&gt;0,"SKU de muestra","Regla extrapolada")</f>
        <v>Regla extrapolada</v>
      </c>
    </row>
    <row r="647" spans="1:10" ht="30" customHeight="1">
      <c r="A647" t="s">
        <v>1345</v>
      </c>
      <c r="B647" s="5" t="s">
        <v>1346</v>
      </c>
      <c r="C647">
        <v>1</v>
      </c>
      <c r="D647">
        <v>0</v>
      </c>
      <c r="E647">
        <v>5</v>
      </c>
      <c r="F647" s="6">
        <v>148283.10399999999</v>
      </c>
      <c r="G647" s="6">
        <v>179422.55600000001</v>
      </c>
      <c r="H647" s="6">
        <f>IF(OR(F647&lt;=0,G647&lt;=0),"",ROUND(G647+F647*Uso!$B$5,Uso!$B$6))</f>
        <v>183871.049</v>
      </c>
      <c r="I647" s="6">
        <f t="shared" si="10"/>
        <v>183871.049</v>
      </c>
      <c r="J647" t="str">
        <f>IF(COUNTIF(Cruce!$A$5:$A$14,A647)&gt;0,"SKU de muestra","Regla extrapolada")</f>
        <v>Regla extrapolada</v>
      </c>
    </row>
    <row r="648" spans="1:10" ht="30" customHeight="1">
      <c r="A648" t="s">
        <v>1347</v>
      </c>
      <c r="B648" s="5" t="s">
        <v>1346</v>
      </c>
      <c r="C648">
        <v>1</v>
      </c>
      <c r="D648">
        <v>0</v>
      </c>
      <c r="E648">
        <v>5</v>
      </c>
      <c r="F648" s="6">
        <v>136635.58199999999</v>
      </c>
      <c r="G648" s="6">
        <v>165329.054</v>
      </c>
      <c r="H648" s="6">
        <f>IF(OR(F648&lt;=0,G648&lt;=0),"",ROUND(G648+F648*Uso!$B$5,Uso!$B$6))</f>
        <v>169428.12100000001</v>
      </c>
      <c r="I648" s="6">
        <f t="shared" si="10"/>
        <v>169428.12100000001</v>
      </c>
      <c r="J648" t="str">
        <f>IF(COUNTIF(Cruce!$A$5:$A$14,A648)&gt;0,"SKU de muestra","Regla extrapolada")</f>
        <v>Regla extrapolada</v>
      </c>
    </row>
    <row r="649" spans="1:10" ht="30" customHeight="1">
      <c r="A649" t="s">
        <v>1348</v>
      </c>
      <c r="B649" s="5" t="s">
        <v>1349</v>
      </c>
      <c r="C649">
        <v>1</v>
      </c>
      <c r="D649">
        <v>0</v>
      </c>
      <c r="E649">
        <v>5</v>
      </c>
      <c r="F649" s="6">
        <v>22209.973999999998</v>
      </c>
      <c r="G649" s="6">
        <v>27818.588</v>
      </c>
      <c r="H649" s="6">
        <f>IF(OR(F649&lt;=0,G649&lt;=0),"",ROUND(G649+F649*Uso!$B$5,Uso!$B$6))</f>
        <v>28484.886999999999</v>
      </c>
      <c r="I649" s="6">
        <f t="shared" si="10"/>
        <v>28484.886999999999</v>
      </c>
      <c r="J649" t="str">
        <f>IF(COUNTIF(Cruce!$A$5:$A$14,A649)&gt;0,"SKU de muestra","Regla extrapolada")</f>
        <v>Regla extrapolada</v>
      </c>
    </row>
    <row r="650" spans="1:10" ht="30" customHeight="1">
      <c r="A650" t="s">
        <v>1350</v>
      </c>
      <c r="B650" s="5" t="s">
        <v>1351</v>
      </c>
      <c r="C650">
        <v>1</v>
      </c>
      <c r="D650">
        <v>0</v>
      </c>
      <c r="E650">
        <v>5</v>
      </c>
      <c r="F650" s="6">
        <v>26274.545999999998</v>
      </c>
      <c r="G650" s="6">
        <v>32705.821</v>
      </c>
      <c r="H650" s="6">
        <f>IF(OR(F650&lt;=0,G650&lt;=0),"",ROUND(G650+F650*Uso!$B$5,Uso!$B$6))</f>
        <v>33494.057000000001</v>
      </c>
      <c r="I650" s="6">
        <f t="shared" si="10"/>
        <v>33494.057000000001</v>
      </c>
      <c r="J650" t="str">
        <f>IF(COUNTIF(Cruce!$A$5:$A$14,A650)&gt;0,"SKU de muestra","Regla extrapolada")</f>
        <v>Regla extrapolada</v>
      </c>
    </row>
    <row r="651" spans="1:10" ht="30" customHeight="1">
      <c r="A651" t="s">
        <v>1352</v>
      </c>
      <c r="B651" s="5" t="s">
        <v>1353</v>
      </c>
      <c r="C651">
        <v>1</v>
      </c>
      <c r="D651">
        <v>0</v>
      </c>
      <c r="E651">
        <v>5</v>
      </c>
      <c r="F651" s="6">
        <v>17790.999</v>
      </c>
      <c r="G651" s="6">
        <v>21527.109</v>
      </c>
      <c r="H651" s="6">
        <f>IF(OR(F651&lt;=0,G651&lt;=0),"",ROUND(G651+F651*Uso!$B$5,Uso!$B$6))</f>
        <v>22060.839</v>
      </c>
      <c r="I651" s="6">
        <f t="shared" si="10"/>
        <v>22060.839</v>
      </c>
      <c r="J651" t="str">
        <f>IF(COUNTIF(Cruce!$A$5:$A$14,A651)&gt;0,"SKU de muestra","Regla extrapolada")</f>
        <v>Regla extrapolada</v>
      </c>
    </row>
    <row r="652" spans="1:10" ht="30" customHeight="1">
      <c r="A652" t="s">
        <v>1354</v>
      </c>
      <c r="B652" s="5" t="s">
        <v>1355</v>
      </c>
      <c r="C652">
        <v>1</v>
      </c>
      <c r="D652">
        <v>0</v>
      </c>
      <c r="E652">
        <v>5</v>
      </c>
      <c r="F652" s="6">
        <v>12285.7</v>
      </c>
      <c r="G652" s="6">
        <v>15025.322</v>
      </c>
      <c r="H652" s="6">
        <f>IF(OR(F652&lt;=0,G652&lt;=0),"",ROUND(G652+F652*Uso!$B$5,Uso!$B$6))</f>
        <v>15393.893</v>
      </c>
      <c r="I652" s="6">
        <f t="shared" si="10"/>
        <v>15393.893</v>
      </c>
      <c r="J652" t="str">
        <f>IF(COUNTIF(Cruce!$A$5:$A$14,A652)&gt;0,"SKU de muestra","Regla extrapolada")</f>
        <v>Regla extrapolada</v>
      </c>
    </row>
    <row r="653" spans="1:10" ht="30" customHeight="1">
      <c r="A653" t="s">
        <v>1356</v>
      </c>
      <c r="B653" s="5" t="s">
        <v>1357</v>
      </c>
      <c r="C653">
        <v>1</v>
      </c>
      <c r="D653">
        <v>0</v>
      </c>
      <c r="E653">
        <v>5</v>
      </c>
      <c r="F653" s="6">
        <v>13303.775</v>
      </c>
      <c r="G653" s="6">
        <v>16097.567999999999</v>
      </c>
      <c r="H653" s="6">
        <f>IF(OR(F653&lt;=0,G653&lt;=0),"",ROUND(G653+F653*Uso!$B$5,Uso!$B$6))</f>
        <v>16496.681</v>
      </c>
      <c r="I653" s="6">
        <f t="shared" si="10"/>
        <v>16496.681</v>
      </c>
      <c r="J653" t="str">
        <f>IF(COUNTIF(Cruce!$A$5:$A$14,A653)&gt;0,"SKU de muestra","Regla extrapolada")</f>
        <v>Regla extrapolada</v>
      </c>
    </row>
    <row r="654" spans="1:10" ht="30" customHeight="1">
      <c r="A654" t="s">
        <v>1358</v>
      </c>
      <c r="B654" s="5" t="s">
        <v>1359</v>
      </c>
      <c r="C654">
        <v>1</v>
      </c>
      <c r="D654">
        <v>0</v>
      </c>
      <c r="E654">
        <v>5</v>
      </c>
      <c r="F654" s="6">
        <v>30795.38</v>
      </c>
      <c r="G654" s="6">
        <v>37262.410000000003</v>
      </c>
      <c r="H654" s="6">
        <f>IF(OR(F654&lt;=0,G654&lt;=0),"",ROUND(G654+F654*Uso!$B$5,Uso!$B$6))</f>
        <v>38186.271000000001</v>
      </c>
      <c r="I654" s="6">
        <f t="shared" si="10"/>
        <v>38186.271000000001</v>
      </c>
      <c r="J654" t="str">
        <f>IF(COUNTIF(Cruce!$A$5:$A$14,A654)&gt;0,"SKU de muestra","Regla extrapolada")</f>
        <v>Regla extrapolada</v>
      </c>
    </row>
    <row r="655" spans="1:10" ht="30" customHeight="1">
      <c r="A655" t="s">
        <v>1360</v>
      </c>
      <c r="B655" s="5" t="s">
        <v>1361</v>
      </c>
      <c r="C655">
        <v>1</v>
      </c>
      <c r="D655">
        <v>0</v>
      </c>
      <c r="E655">
        <v>5</v>
      </c>
      <c r="F655" s="6">
        <v>30795.38</v>
      </c>
      <c r="G655" s="6">
        <v>37262.410000000003</v>
      </c>
      <c r="H655" s="6">
        <f>IF(OR(F655&lt;=0,G655&lt;=0),"",ROUND(G655+F655*Uso!$B$5,Uso!$B$6))</f>
        <v>38186.271000000001</v>
      </c>
      <c r="I655" s="6">
        <f t="shared" si="10"/>
        <v>38186.271000000001</v>
      </c>
      <c r="J655" t="str">
        <f>IF(COUNTIF(Cruce!$A$5:$A$14,A655)&gt;0,"SKU de muestra","Regla extrapolada")</f>
        <v>Regla extrapolada</v>
      </c>
    </row>
    <row r="656" spans="1:10" ht="30" customHeight="1">
      <c r="A656" t="s">
        <v>1362</v>
      </c>
      <c r="B656" s="5" t="s">
        <v>1363</v>
      </c>
      <c r="C656">
        <v>1</v>
      </c>
      <c r="D656">
        <v>0</v>
      </c>
      <c r="E656">
        <v>5</v>
      </c>
      <c r="F656" s="6">
        <v>27391.741999999998</v>
      </c>
      <c r="G656" s="6">
        <v>33144.008000000002</v>
      </c>
      <c r="H656" s="6">
        <f>IF(OR(F656&lt;=0,G656&lt;=0),"",ROUND(G656+F656*Uso!$B$5,Uso!$B$6))</f>
        <v>33965.760000000002</v>
      </c>
      <c r="I656" s="6">
        <f t="shared" si="10"/>
        <v>33965.760000000002</v>
      </c>
      <c r="J656" t="str">
        <f>IF(COUNTIF(Cruce!$A$5:$A$14,A656)&gt;0,"SKU de muestra","Regla extrapolada")</f>
        <v>Regla extrapolada</v>
      </c>
    </row>
    <row r="657" spans="1:10" ht="30" customHeight="1">
      <c r="A657" t="s">
        <v>1364</v>
      </c>
      <c r="B657" s="5" t="s">
        <v>1365</v>
      </c>
      <c r="C657">
        <v>1</v>
      </c>
      <c r="D657">
        <v>0</v>
      </c>
      <c r="E657">
        <v>5</v>
      </c>
      <c r="F657" s="6">
        <v>27391.741999999998</v>
      </c>
      <c r="G657" s="6">
        <v>33144.008000000002</v>
      </c>
      <c r="H657" s="6">
        <f>IF(OR(F657&lt;=0,G657&lt;=0),"",ROUND(G657+F657*Uso!$B$5,Uso!$B$6))</f>
        <v>33965.760000000002</v>
      </c>
      <c r="I657" s="6">
        <f t="shared" si="10"/>
        <v>33965.760000000002</v>
      </c>
      <c r="J657" t="str">
        <f>IF(COUNTIF(Cruce!$A$5:$A$14,A657)&gt;0,"SKU de muestra","Regla extrapolada")</f>
        <v>Regla extrapolada</v>
      </c>
    </row>
    <row r="658" spans="1:10" ht="30" customHeight="1">
      <c r="A658" t="s">
        <v>1366</v>
      </c>
      <c r="B658" s="5" t="s">
        <v>1367</v>
      </c>
      <c r="C658">
        <v>1</v>
      </c>
      <c r="D658">
        <v>0</v>
      </c>
      <c r="E658">
        <v>5</v>
      </c>
      <c r="F658" s="6">
        <v>28323.978999999999</v>
      </c>
      <c r="G658" s="6">
        <v>34272.014000000003</v>
      </c>
      <c r="H658" s="6">
        <f>IF(OR(F658&lt;=0,G658&lt;=0),"",ROUND(G658+F658*Uso!$B$5,Uso!$B$6))</f>
        <v>35121.733</v>
      </c>
      <c r="I658" s="6">
        <f t="shared" si="10"/>
        <v>35121.733</v>
      </c>
      <c r="J658" t="str">
        <f>IF(COUNTIF(Cruce!$A$5:$A$14,A658)&gt;0,"SKU de muestra","Regla extrapolada")</f>
        <v>Regla extrapolada</v>
      </c>
    </row>
    <row r="659" spans="1:10" ht="30" customHeight="1">
      <c r="A659" t="s">
        <v>1368</v>
      </c>
      <c r="B659" s="5" t="s">
        <v>1369</v>
      </c>
      <c r="C659">
        <v>1</v>
      </c>
      <c r="D659">
        <v>0</v>
      </c>
      <c r="E659">
        <v>5</v>
      </c>
      <c r="F659" s="6">
        <v>28323.978999999999</v>
      </c>
      <c r="G659" s="6">
        <v>34272.014000000003</v>
      </c>
      <c r="H659" s="6">
        <f>IF(OR(F659&lt;=0,G659&lt;=0),"",ROUND(G659+F659*Uso!$B$5,Uso!$B$6))</f>
        <v>35121.733</v>
      </c>
      <c r="I659" s="6">
        <f t="shared" si="10"/>
        <v>35121.733</v>
      </c>
      <c r="J659" t="str">
        <f>IF(COUNTIF(Cruce!$A$5:$A$14,A659)&gt;0,"SKU de muestra","Regla extrapolada")</f>
        <v>Regla extrapolada</v>
      </c>
    </row>
    <row r="660" spans="1:10" ht="30" customHeight="1">
      <c r="A660" t="s">
        <v>1370</v>
      </c>
      <c r="B660" s="5" t="s">
        <v>1371</v>
      </c>
      <c r="C660">
        <v>1</v>
      </c>
      <c r="D660">
        <v>0</v>
      </c>
      <c r="E660">
        <v>5</v>
      </c>
      <c r="F660" s="6">
        <v>28323.978999999999</v>
      </c>
      <c r="G660" s="6">
        <v>34272.014000000003</v>
      </c>
      <c r="H660" s="6">
        <f>IF(OR(F660&lt;=0,G660&lt;=0),"",ROUND(G660+F660*Uso!$B$5,Uso!$B$6))</f>
        <v>35121.733</v>
      </c>
      <c r="I660" s="6">
        <f t="shared" si="10"/>
        <v>35121.733</v>
      </c>
      <c r="J660" t="str">
        <f>IF(COUNTIF(Cruce!$A$5:$A$14,A660)&gt;0,"SKU de muestra","Regla extrapolada")</f>
        <v>Regla extrapolada</v>
      </c>
    </row>
    <row r="661" spans="1:10" ht="30" customHeight="1">
      <c r="A661" t="s">
        <v>1372</v>
      </c>
      <c r="B661" s="5" t="s">
        <v>1373</v>
      </c>
      <c r="C661">
        <v>1</v>
      </c>
      <c r="D661">
        <v>0</v>
      </c>
      <c r="E661">
        <v>5</v>
      </c>
      <c r="F661" s="6">
        <v>152161.79999999999</v>
      </c>
      <c r="G661" s="6">
        <v>184115.77799999999</v>
      </c>
      <c r="H661" s="6">
        <f>IF(OR(F661&lt;=0,G661&lt;=0),"",ROUND(G661+F661*Uso!$B$5,Uso!$B$6))</f>
        <v>188680.63200000001</v>
      </c>
      <c r="I661" s="6">
        <f t="shared" si="10"/>
        <v>188680.63200000001</v>
      </c>
      <c r="J661" t="str">
        <f>IF(COUNTIF(Cruce!$A$5:$A$14,A661)&gt;0,"SKU de muestra","Regla extrapolada")</f>
        <v>Regla extrapolada</v>
      </c>
    </row>
    <row r="662" spans="1:10" ht="30" customHeight="1">
      <c r="A662" t="s">
        <v>1374</v>
      </c>
      <c r="B662" s="5" t="s">
        <v>1375</v>
      </c>
      <c r="C662">
        <v>1</v>
      </c>
      <c r="D662">
        <v>0</v>
      </c>
      <c r="E662">
        <v>5</v>
      </c>
      <c r="F662" s="6">
        <v>36066.023000000001</v>
      </c>
      <c r="G662" s="6">
        <v>43639.887999999999</v>
      </c>
      <c r="H662" s="6">
        <f>IF(OR(F662&lt;=0,G662&lt;=0),"",ROUND(G662+F662*Uso!$B$5,Uso!$B$6))</f>
        <v>44721.868999999999</v>
      </c>
      <c r="I662" s="6">
        <f t="shared" si="10"/>
        <v>44721.868999999999</v>
      </c>
      <c r="J662" t="str">
        <f>IF(COUNTIF(Cruce!$A$5:$A$14,A662)&gt;0,"SKU de muestra","Regla extrapolada")</f>
        <v>Regla extrapolada</v>
      </c>
    </row>
    <row r="663" spans="1:10" ht="30" customHeight="1">
      <c r="A663" t="s">
        <v>1376</v>
      </c>
      <c r="B663" s="5" t="s">
        <v>1377</v>
      </c>
      <c r="C663">
        <v>1</v>
      </c>
      <c r="D663">
        <v>0</v>
      </c>
      <c r="E663">
        <v>5</v>
      </c>
      <c r="F663" s="6">
        <v>95803.902000000002</v>
      </c>
      <c r="G663" s="6">
        <v>120007.641</v>
      </c>
      <c r="H663" s="6">
        <f>IF(OR(F663&lt;=0,G663&lt;=0),"",ROUND(G663+F663*Uso!$B$5,Uso!$B$6))</f>
        <v>122881.758</v>
      </c>
      <c r="I663" s="6">
        <f t="shared" si="10"/>
        <v>122881.758</v>
      </c>
      <c r="J663" t="str">
        <f>IF(COUNTIF(Cruce!$A$5:$A$14,A663)&gt;0,"SKU de muestra","Regla extrapolada")</f>
        <v>Regla extrapolada</v>
      </c>
    </row>
    <row r="664" spans="1:10" ht="30" customHeight="1">
      <c r="A664" t="s">
        <v>1378</v>
      </c>
      <c r="B664" s="5" t="s">
        <v>1379</v>
      </c>
      <c r="C664">
        <v>1</v>
      </c>
      <c r="D664">
        <v>0</v>
      </c>
      <c r="E664">
        <v>5</v>
      </c>
      <c r="F664" s="6">
        <v>16117.484</v>
      </c>
      <c r="G664" s="6">
        <v>20446.674999999999</v>
      </c>
      <c r="H664" s="6">
        <f>IF(OR(F664&lt;=0,G664&lt;=0),"",ROUND(G664+F664*Uso!$B$5,Uso!$B$6))</f>
        <v>20930.2</v>
      </c>
      <c r="I664" s="6">
        <f t="shared" si="10"/>
        <v>20930.2</v>
      </c>
      <c r="J664" t="str">
        <f>IF(COUNTIF(Cruce!$A$5:$A$14,A664)&gt;0,"SKU de muestra","Regla extrapolada")</f>
        <v>Regla extrapolada</v>
      </c>
    </row>
    <row r="665" spans="1:10" ht="30" customHeight="1">
      <c r="A665" t="s">
        <v>1380</v>
      </c>
      <c r="B665" s="5" t="s">
        <v>1381</v>
      </c>
      <c r="C665">
        <v>1</v>
      </c>
      <c r="D665">
        <v>0</v>
      </c>
      <c r="E665">
        <v>5</v>
      </c>
      <c r="F665" s="6">
        <v>10927.835999999999</v>
      </c>
      <c r="G665" s="6">
        <v>13376.732</v>
      </c>
      <c r="H665" s="6">
        <f>IF(OR(F665&lt;=0,G665&lt;=0),"",ROUND(G665+F665*Uso!$B$5,Uso!$B$6))</f>
        <v>13704.566999999999</v>
      </c>
      <c r="I665" s="6">
        <f t="shared" si="10"/>
        <v>13704.566999999999</v>
      </c>
      <c r="J665" t="str">
        <f>IF(COUNTIF(Cruce!$A$5:$A$14,A665)&gt;0,"SKU de muestra","Regla extrapolada")</f>
        <v>Regla extrapolada</v>
      </c>
    </row>
    <row r="666" spans="1:10" ht="30" customHeight="1">
      <c r="A666" t="s">
        <v>1382</v>
      </c>
      <c r="B666" s="5" t="s">
        <v>1383</v>
      </c>
      <c r="C666">
        <v>1</v>
      </c>
      <c r="D666">
        <v>0</v>
      </c>
      <c r="E666">
        <v>5</v>
      </c>
      <c r="F666" s="6">
        <v>16218.5</v>
      </c>
      <c r="G666" s="6">
        <v>20448.181</v>
      </c>
      <c r="H666" s="6">
        <f>IF(OR(F666&lt;=0,G666&lt;=0),"",ROUND(G666+F666*Uso!$B$5,Uso!$B$6))</f>
        <v>20934.736000000001</v>
      </c>
      <c r="I666" s="6">
        <f t="shared" si="10"/>
        <v>20934.736000000001</v>
      </c>
      <c r="J666" t="str">
        <f>IF(COUNTIF(Cruce!$A$5:$A$14,A666)&gt;0,"SKU de muestra","Regla extrapolada")</f>
        <v>Regla extrapolada</v>
      </c>
    </row>
    <row r="667" spans="1:10" ht="30" customHeight="1">
      <c r="A667" t="s">
        <v>1384</v>
      </c>
      <c r="B667" s="5" t="s">
        <v>1383</v>
      </c>
      <c r="C667">
        <v>1</v>
      </c>
      <c r="D667">
        <v>0</v>
      </c>
      <c r="E667">
        <v>5</v>
      </c>
      <c r="F667" s="6">
        <v>21551.625</v>
      </c>
      <c r="G667" s="6">
        <v>27288.243999999999</v>
      </c>
      <c r="H667" s="6">
        <f>IF(OR(F667&lt;=0,G667&lt;=0),"",ROUND(G667+F667*Uso!$B$5,Uso!$B$6))</f>
        <v>27934.793000000001</v>
      </c>
      <c r="I667" s="6">
        <f t="shared" si="10"/>
        <v>27934.793000000001</v>
      </c>
      <c r="J667" t="str">
        <f>IF(COUNTIF(Cruce!$A$5:$A$14,A667)&gt;0,"SKU de muestra","Regla extrapolada")</f>
        <v>Regla extrapolada</v>
      </c>
    </row>
    <row r="668" spans="1:10" ht="30" customHeight="1">
      <c r="A668" t="s">
        <v>1385</v>
      </c>
      <c r="B668" s="5" t="s">
        <v>1386</v>
      </c>
      <c r="C668">
        <v>1</v>
      </c>
      <c r="D668">
        <v>0</v>
      </c>
      <c r="E668">
        <v>5</v>
      </c>
      <c r="F668" s="6">
        <v>13485.380999999999</v>
      </c>
      <c r="G668" s="6">
        <v>17190.218000000001</v>
      </c>
      <c r="H668" s="6">
        <f>IF(OR(F668&lt;=0,G668&lt;=0),"",ROUND(G668+F668*Uso!$B$5,Uso!$B$6))</f>
        <v>17594.778999999999</v>
      </c>
      <c r="I668" s="6">
        <f t="shared" si="10"/>
        <v>17594.778999999999</v>
      </c>
      <c r="J668" t="str">
        <f>IF(COUNTIF(Cruce!$A$5:$A$14,A668)&gt;0,"SKU de muestra","Regla extrapolada")</f>
        <v>Regla extrapolada</v>
      </c>
    </row>
    <row r="669" spans="1:10" ht="30" customHeight="1">
      <c r="A669" t="s">
        <v>1387</v>
      </c>
      <c r="B669" s="5" t="s">
        <v>1388</v>
      </c>
      <c r="C669">
        <v>1</v>
      </c>
      <c r="D669">
        <v>0</v>
      </c>
      <c r="E669">
        <v>5</v>
      </c>
      <c r="F669" s="6">
        <v>31457.774000000001</v>
      </c>
      <c r="G669" s="6">
        <v>41963.434000000001</v>
      </c>
      <c r="H669" s="6">
        <f>IF(OR(F669&lt;=0,G669&lt;=0),"",ROUND(G669+F669*Uso!$B$5,Uso!$B$6))</f>
        <v>42907.167000000001</v>
      </c>
      <c r="I669" s="6">
        <f t="shared" si="10"/>
        <v>42907.167000000001</v>
      </c>
      <c r="J669" t="str">
        <f>IF(COUNTIF(Cruce!$A$5:$A$14,A669)&gt;0,"SKU de muestra","Regla extrapolada")</f>
        <v>Regla extrapolada</v>
      </c>
    </row>
    <row r="670" spans="1:10" ht="30" customHeight="1">
      <c r="A670" t="s">
        <v>1389</v>
      </c>
      <c r="B670" s="5" t="s">
        <v>1390</v>
      </c>
      <c r="C670">
        <v>1</v>
      </c>
      <c r="D670">
        <v>0</v>
      </c>
      <c r="E670">
        <v>5</v>
      </c>
      <c r="F670" s="6">
        <v>16681.678</v>
      </c>
      <c r="G670" s="6">
        <v>21069.561000000002</v>
      </c>
      <c r="H670" s="6">
        <f>IF(OR(F670&lt;=0,G670&lt;=0),"",ROUND(G670+F670*Uso!$B$5,Uso!$B$6))</f>
        <v>21570.010999999999</v>
      </c>
      <c r="I670" s="6">
        <f t="shared" si="10"/>
        <v>21570.010999999999</v>
      </c>
      <c r="J670" t="str">
        <f>IF(COUNTIF(Cruce!$A$5:$A$14,A670)&gt;0,"SKU de muestra","Regla extrapolada")</f>
        <v>Regla extrapolada</v>
      </c>
    </row>
    <row r="671" spans="1:10" ht="30" customHeight="1">
      <c r="A671" t="s">
        <v>1391</v>
      </c>
      <c r="B671" s="5" t="s">
        <v>1392</v>
      </c>
      <c r="C671">
        <v>1</v>
      </c>
      <c r="D671">
        <v>0</v>
      </c>
      <c r="E671">
        <v>5</v>
      </c>
      <c r="F671" s="6">
        <v>33399.904999999999</v>
      </c>
      <c r="G671" s="6">
        <v>41298.616000000002</v>
      </c>
      <c r="H671" s="6">
        <f>IF(OR(F671&lt;=0,G671&lt;=0),"",ROUND(G671+F671*Uso!$B$5,Uso!$B$6))</f>
        <v>42300.612999999998</v>
      </c>
      <c r="I671" s="6">
        <f t="shared" si="10"/>
        <v>42300.612999999998</v>
      </c>
      <c r="J671" t="str">
        <f>IF(COUNTIF(Cruce!$A$5:$A$14,A671)&gt;0,"SKU de muestra","Regla extrapolada")</f>
        <v>Regla extrapolada</v>
      </c>
    </row>
    <row r="672" spans="1:10" ht="30" customHeight="1">
      <c r="A672" t="s">
        <v>1393</v>
      </c>
      <c r="B672" s="5" t="s">
        <v>1394</v>
      </c>
      <c r="C672">
        <v>1</v>
      </c>
      <c r="D672">
        <v>0</v>
      </c>
      <c r="E672">
        <v>5</v>
      </c>
      <c r="F672" s="6">
        <v>21242.984</v>
      </c>
      <c r="G672" s="6">
        <v>25704.010999999999</v>
      </c>
      <c r="H672" s="6">
        <f>IF(OR(F672&lt;=0,G672&lt;=0),"",ROUND(G672+F672*Uso!$B$5,Uso!$B$6))</f>
        <v>26341.300999999999</v>
      </c>
      <c r="I672" s="6">
        <f t="shared" si="10"/>
        <v>26341.300999999999</v>
      </c>
      <c r="J672" t="str">
        <f>IF(COUNTIF(Cruce!$A$5:$A$14,A672)&gt;0,"SKU de muestra","Regla extrapolada")</f>
        <v>Regla extrapolada</v>
      </c>
    </row>
    <row r="673" spans="1:10" ht="30" customHeight="1">
      <c r="A673" t="s">
        <v>1395</v>
      </c>
      <c r="B673" s="5" t="s">
        <v>1396</v>
      </c>
      <c r="C673">
        <v>1</v>
      </c>
      <c r="D673">
        <v>0</v>
      </c>
      <c r="E673">
        <v>5</v>
      </c>
      <c r="F673" s="6">
        <v>39282.576999999997</v>
      </c>
      <c r="G673" s="6">
        <v>47531.917999999998</v>
      </c>
      <c r="H673" s="6">
        <f>IF(OR(F673&lt;=0,G673&lt;=0),"",ROUND(G673+F673*Uso!$B$5,Uso!$B$6))</f>
        <v>48710.394999999997</v>
      </c>
      <c r="I673" s="6">
        <f t="shared" si="10"/>
        <v>48710.394999999997</v>
      </c>
      <c r="J673" t="str">
        <f>IF(COUNTIF(Cruce!$A$5:$A$14,A673)&gt;0,"SKU de muestra","Regla extrapolada")</f>
        <v>Regla extrapolada</v>
      </c>
    </row>
    <row r="674" spans="1:10" ht="30" customHeight="1">
      <c r="A674" t="s">
        <v>1397</v>
      </c>
      <c r="B674" s="5" t="s">
        <v>1398</v>
      </c>
      <c r="C674">
        <v>1</v>
      </c>
      <c r="D674">
        <v>0</v>
      </c>
      <c r="E674">
        <v>5</v>
      </c>
      <c r="F674" s="6">
        <v>337182.78700000001</v>
      </c>
      <c r="G674" s="6">
        <v>448973.71299999999</v>
      </c>
      <c r="H674" s="6">
        <f>IF(OR(F674&lt;=0,G674&lt;=0),"",ROUND(G674+F674*Uso!$B$5,Uso!$B$6))</f>
        <v>459089.19699999999</v>
      </c>
      <c r="I674" s="6">
        <f t="shared" si="10"/>
        <v>459089.19699999999</v>
      </c>
      <c r="J674" t="str">
        <f>IF(COUNTIF(Cruce!$A$5:$A$14,A674)&gt;0,"SKU de muestra","Regla extrapolada")</f>
        <v>Regla extrapolada</v>
      </c>
    </row>
    <row r="675" spans="1:10" ht="30" customHeight="1">
      <c r="A675" t="s">
        <v>1399</v>
      </c>
      <c r="B675" s="5" t="s">
        <v>1394</v>
      </c>
      <c r="C675">
        <v>1</v>
      </c>
      <c r="D675">
        <v>0</v>
      </c>
      <c r="E675">
        <v>5</v>
      </c>
      <c r="F675" s="6">
        <v>37175.222000000002</v>
      </c>
      <c r="G675" s="6">
        <v>44982.019</v>
      </c>
      <c r="H675" s="6">
        <f>IF(OR(F675&lt;=0,G675&lt;=0),"",ROUND(G675+F675*Uso!$B$5,Uso!$B$6))</f>
        <v>46097.275999999998</v>
      </c>
      <c r="I675" s="6">
        <f t="shared" si="10"/>
        <v>46097.275999999998</v>
      </c>
      <c r="J675" t="str">
        <f>IF(COUNTIF(Cruce!$A$5:$A$14,A675)&gt;0,"SKU de muestra","Regla extrapolada")</f>
        <v>Regla extrapolada</v>
      </c>
    </row>
    <row r="676" spans="1:10" ht="30" customHeight="1">
      <c r="A676" t="s">
        <v>1400</v>
      </c>
      <c r="B676" s="5" t="s">
        <v>1401</v>
      </c>
      <c r="C676">
        <v>1</v>
      </c>
      <c r="D676">
        <v>0</v>
      </c>
      <c r="E676">
        <v>5</v>
      </c>
      <c r="F676" s="6">
        <v>750255.49399999995</v>
      </c>
      <c r="G676" s="6">
        <v>916103.228</v>
      </c>
      <c r="H676" s="6">
        <f>IF(OR(F676&lt;=0,G676&lt;=0),"",ROUND(G676+F676*Uso!$B$5,Uso!$B$6))</f>
        <v>938610.89300000004</v>
      </c>
      <c r="I676" s="6">
        <f t="shared" si="10"/>
        <v>938610.89300000004</v>
      </c>
      <c r="J676" t="str">
        <f>IF(COUNTIF(Cruce!$A$5:$A$14,A676)&gt;0,"SKU de muestra","Regla extrapolada")</f>
        <v>Regla extrapolada</v>
      </c>
    </row>
    <row r="677" spans="1:10" ht="30" customHeight="1">
      <c r="A677" t="s">
        <v>1402</v>
      </c>
      <c r="B677" s="5" t="s">
        <v>1403</v>
      </c>
      <c r="C677">
        <v>1</v>
      </c>
      <c r="D677">
        <v>0</v>
      </c>
      <c r="E677">
        <v>5</v>
      </c>
      <c r="F677" s="6">
        <v>26626.464</v>
      </c>
      <c r="G677" s="6">
        <v>33520.074999999997</v>
      </c>
      <c r="H677" s="6">
        <f>IF(OR(F677&lt;=0,G677&lt;=0),"",ROUND(G677+F677*Uso!$B$5,Uso!$B$6))</f>
        <v>34318.868999999999</v>
      </c>
      <c r="I677" s="6">
        <f t="shared" si="10"/>
        <v>34318.868999999999</v>
      </c>
      <c r="J677" t="str">
        <f>IF(COUNTIF(Cruce!$A$5:$A$14,A677)&gt;0,"SKU de muestra","Regla extrapolada")</f>
        <v>Regla extrapolada</v>
      </c>
    </row>
    <row r="678" spans="1:10" ht="30" customHeight="1">
      <c r="A678" t="s">
        <v>1404</v>
      </c>
      <c r="B678" s="5" t="s">
        <v>1394</v>
      </c>
      <c r="C678">
        <v>1</v>
      </c>
      <c r="D678">
        <v>0</v>
      </c>
      <c r="E678">
        <v>5</v>
      </c>
      <c r="F678" s="6">
        <v>26553.73</v>
      </c>
      <c r="G678" s="6">
        <v>32130.012999999999</v>
      </c>
      <c r="H678" s="6">
        <f>IF(OR(F678&lt;=0,G678&lt;=0),"",ROUND(G678+F678*Uso!$B$5,Uso!$B$6))</f>
        <v>32926.625</v>
      </c>
      <c r="I678" s="6">
        <f t="shared" si="10"/>
        <v>32926.625</v>
      </c>
      <c r="J678" t="str">
        <f>IF(COUNTIF(Cruce!$A$5:$A$14,A678)&gt;0,"SKU de muestra","Regla extrapolada")</f>
        <v>Regla extrapolada</v>
      </c>
    </row>
    <row r="679" spans="1:10" ht="30" customHeight="1">
      <c r="A679" t="s">
        <v>1405</v>
      </c>
      <c r="B679" s="5" t="s">
        <v>1406</v>
      </c>
      <c r="C679">
        <v>1</v>
      </c>
      <c r="D679">
        <v>0</v>
      </c>
      <c r="E679">
        <v>5</v>
      </c>
      <c r="F679" s="6">
        <v>101258.08199999999</v>
      </c>
      <c r="G679" s="6">
        <v>133566.804</v>
      </c>
      <c r="H679" s="6">
        <f>IF(OR(F679&lt;=0,G679&lt;=0),"",ROUND(G679+F679*Uso!$B$5,Uso!$B$6))</f>
        <v>136604.546</v>
      </c>
      <c r="I679" s="6">
        <f t="shared" si="10"/>
        <v>136604.546</v>
      </c>
      <c r="J679" t="str">
        <f>IF(COUNTIF(Cruce!$A$5:$A$14,A679)&gt;0,"SKU de muestra","Regla extrapolada")</f>
        <v>Regla extrapolada</v>
      </c>
    </row>
    <row r="680" spans="1:10" ht="30" customHeight="1">
      <c r="A680" t="s">
        <v>1407</v>
      </c>
      <c r="B680" s="5" t="s">
        <v>1403</v>
      </c>
      <c r="C680">
        <v>1</v>
      </c>
      <c r="D680">
        <v>0</v>
      </c>
      <c r="E680">
        <v>5</v>
      </c>
      <c r="F680" s="6">
        <v>26626.464</v>
      </c>
      <c r="G680" s="6">
        <v>33520.074999999997</v>
      </c>
      <c r="H680" s="6">
        <f>IF(OR(F680&lt;=0,G680&lt;=0),"",ROUND(G680+F680*Uso!$B$5,Uso!$B$6))</f>
        <v>34318.868999999999</v>
      </c>
      <c r="I680" s="6">
        <f t="shared" si="10"/>
        <v>34318.868999999999</v>
      </c>
      <c r="J680" t="str">
        <f>IF(COUNTIF(Cruce!$A$5:$A$14,A680)&gt;0,"SKU de muestra","Regla extrapolada")</f>
        <v>Regla extrapolada</v>
      </c>
    </row>
    <row r="681" spans="1:10" ht="30" customHeight="1">
      <c r="A681" t="s">
        <v>1408</v>
      </c>
      <c r="B681" s="5" t="s">
        <v>1409</v>
      </c>
      <c r="C681">
        <v>1</v>
      </c>
      <c r="D681">
        <v>0</v>
      </c>
      <c r="E681">
        <v>5</v>
      </c>
      <c r="F681" s="6">
        <v>12814.909</v>
      </c>
      <c r="G681" s="6">
        <v>17056.352999999999</v>
      </c>
      <c r="H681" s="6">
        <f>IF(OR(F681&lt;=0,G681&lt;=0),"",ROUND(G681+F681*Uso!$B$5,Uso!$B$6))</f>
        <v>17440.8</v>
      </c>
      <c r="I681" s="6">
        <f t="shared" si="10"/>
        <v>17440.8</v>
      </c>
      <c r="J681" t="str">
        <f>IF(COUNTIF(Cruce!$A$5:$A$14,A681)&gt;0,"SKU de muestra","Regla extrapolada")</f>
        <v>Regla extrapolada</v>
      </c>
    </row>
    <row r="682" spans="1:10" ht="30" customHeight="1">
      <c r="A682" t="s">
        <v>1410</v>
      </c>
      <c r="B682" s="5" t="s">
        <v>1411</v>
      </c>
      <c r="C682">
        <v>1</v>
      </c>
      <c r="D682">
        <v>0</v>
      </c>
      <c r="E682">
        <v>5</v>
      </c>
      <c r="F682" s="6">
        <v>37443.982000000004</v>
      </c>
      <c r="G682" s="6">
        <v>48695.09</v>
      </c>
      <c r="H682" s="6">
        <f>IF(OR(F682&lt;=0,G682&lt;=0),"",ROUND(G682+F682*Uso!$B$5,Uso!$B$6))</f>
        <v>49818.409</v>
      </c>
      <c r="I682" s="6">
        <f t="shared" si="10"/>
        <v>49818.409</v>
      </c>
      <c r="J682" t="str">
        <f>IF(COUNTIF(Cruce!$A$5:$A$14,A682)&gt;0,"SKU de muestra","Regla extrapolada")</f>
        <v>Regla extrapolada</v>
      </c>
    </row>
    <row r="683" spans="1:10" ht="30" customHeight="1">
      <c r="A683" t="s">
        <v>1412</v>
      </c>
      <c r="B683" s="5" t="s">
        <v>1413</v>
      </c>
      <c r="C683">
        <v>1</v>
      </c>
      <c r="D683">
        <v>0</v>
      </c>
      <c r="E683">
        <v>5</v>
      </c>
      <c r="F683" s="6">
        <v>10478.621999999999</v>
      </c>
      <c r="G683" s="6">
        <v>13940.370999999999</v>
      </c>
      <c r="H683" s="6">
        <f>IF(OR(F683&lt;=0,G683&lt;=0),"",ROUND(G683+F683*Uso!$B$5,Uso!$B$6))</f>
        <v>14254.73</v>
      </c>
      <c r="I683" s="6">
        <f t="shared" si="10"/>
        <v>14254.73</v>
      </c>
      <c r="J683" t="str">
        <f>IF(COUNTIF(Cruce!$A$5:$A$14,A683)&gt;0,"SKU de muestra","Regla extrapolada")</f>
        <v>Regla extrapolada</v>
      </c>
    </row>
    <row r="684" spans="1:10" ht="30" customHeight="1">
      <c r="A684" t="s">
        <v>1414</v>
      </c>
      <c r="B684" s="5" t="s">
        <v>1375</v>
      </c>
      <c r="C684">
        <v>1</v>
      </c>
      <c r="D684">
        <v>0</v>
      </c>
      <c r="E684">
        <v>5</v>
      </c>
      <c r="F684" s="6">
        <v>35539.525000000001</v>
      </c>
      <c r="G684" s="6">
        <v>43002.824999999997</v>
      </c>
      <c r="H684" s="6">
        <f>IF(OR(F684&lt;=0,G684&lt;=0),"",ROUND(G684+F684*Uso!$B$5,Uso!$B$6))</f>
        <v>44069.010999999999</v>
      </c>
      <c r="I684" s="6">
        <f t="shared" si="10"/>
        <v>44069.010999999999</v>
      </c>
      <c r="J684" t="str">
        <f>IF(COUNTIF(Cruce!$A$5:$A$14,A684)&gt;0,"SKU de muestra","Regla extrapolada")</f>
        <v>Regla extrapolada</v>
      </c>
    </row>
    <row r="685" spans="1:10" ht="30" customHeight="1">
      <c r="A685" t="s">
        <v>1415</v>
      </c>
      <c r="B685" s="5" t="s">
        <v>1403</v>
      </c>
      <c r="C685">
        <v>1</v>
      </c>
      <c r="D685">
        <v>0</v>
      </c>
      <c r="E685">
        <v>5</v>
      </c>
      <c r="F685" s="6">
        <v>31064.207999999999</v>
      </c>
      <c r="G685" s="6">
        <v>39106.754999999997</v>
      </c>
      <c r="H685" s="6">
        <f>IF(OR(F685&lt;=0,G685&lt;=0),"",ROUND(G685+F685*Uso!$B$5,Uso!$B$6))</f>
        <v>40038.680999999997</v>
      </c>
      <c r="I685" s="6">
        <f t="shared" si="10"/>
        <v>40038.680999999997</v>
      </c>
      <c r="J685" t="str">
        <f>IF(COUNTIF(Cruce!$A$5:$A$14,A685)&gt;0,"SKU de muestra","Regla extrapolada")</f>
        <v>Regla extrapolada</v>
      </c>
    </row>
    <row r="686" spans="1:10" ht="30" customHeight="1">
      <c r="A686" t="s">
        <v>1416</v>
      </c>
      <c r="B686" s="5" t="s">
        <v>1383</v>
      </c>
      <c r="C686">
        <v>1</v>
      </c>
      <c r="D686">
        <v>0</v>
      </c>
      <c r="E686">
        <v>5</v>
      </c>
      <c r="F686" s="6">
        <v>32327.437999999998</v>
      </c>
      <c r="G686" s="6">
        <v>40932.366000000002</v>
      </c>
      <c r="H686" s="6">
        <f>IF(OR(F686&lt;=0,G686&lt;=0),"",ROUND(G686+F686*Uso!$B$5,Uso!$B$6))</f>
        <v>41902.188999999998</v>
      </c>
      <c r="I686" s="6">
        <f t="shared" si="10"/>
        <v>41902.188999999998</v>
      </c>
      <c r="J686" t="str">
        <f>IF(COUNTIF(Cruce!$A$5:$A$14,A686)&gt;0,"SKU de muestra","Regla extrapolada")</f>
        <v>Regla extrapolada</v>
      </c>
    </row>
    <row r="687" spans="1:10" ht="30" customHeight="1">
      <c r="A687" t="s">
        <v>1417</v>
      </c>
      <c r="B687" s="5" t="s">
        <v>1418</v>
      </c>
      <c r="C687">
        <v>1</v>
      </c>
      <c r="D687">
        <v>0</v>
      </c>
      <c r="E687">
        <v>5</v>
      </c>
      <c r="F687" s="6">
        <v>32914.936000000002</v>
      </c>
      <c r="G687" s="6">
        <v>39827.072999999997</v>
      </c>
      <c r="H687" s="6">
        <f>IF(OR(F687&lt;=0,G687&lt;=0),"",ROUND(G687+F687*Uso!$B$5,Uso!$B$6))</f>
        <v>40814.521000000001</v>
      </c>
      <c r="I687" s="6">
        <f t="shared" si="10"/>
        <v>40814.521000000001</v>
      </c>
      <c r="J687" t="str">
        <f>IF(COUNTIF(Cruce!$A$5:$A$14,A687)&gt;0,"SKU de muestra","Regla extrapolada")</f>
        <v>Regla extrapolada</v>
      </c>
    </row>
    <row r="688" spans="1:10" ht="30" customHeight="1">
      <c r="A688" t="s">
        <v>1419</v>
      </c>
      <c r="B688" s="5" t="s">
        <v>1420</v>
      </c>
      <c r="C688">
        <v>1</v>
      </c>
      <c r="D688">
        <v>0</v>
      </c>
      <c r="E688">
        <v>5</v>
      </c>
      <c r="F688" s="6">
        <v>123915.054</v>
      </c>
      <c r="G688" s="6">
        <v>149937.21599999999</v>
      </c>
      <c r="H688" s="6">
        <f>IF(OR(F688&lt;=0,G688&lt;=0),"",ROUND(G688+F688*Uso!$B$5,Uso!$B$6))</f>
        <v>153654.66800000001</v>
      </c>
      <c r="I688" s="6">
        <f t="shared" si="10"/>
        <v>153654.66800000001</v>
      </c>
      <c r="J688" t="str">
        <f>IF(COUNTIF(Cruce!$A$5:$A$14,A688)&gt;0,"SKU de muestra","Regla extrapolada")</f>
        <v>Regla extrapolada</v>
      </c>
    </row>
    <row r="689" spans="1:10" ht="30" customHeight="1">
      <c r="A689" t="s">
        <v>1421</v>
      </c>
      <c r="B689" s="5" t="s">
        <v>1422</v>
      </c>
      <c r="C689">
        <v>1</v>
      </c>
      <c r="D689">
        <v>0</v>
      </c>
      <c r="E689">
        <v>5</v>
      </c>
      <c r="F689" s="6">
        <v>54180.440999999999</v>
      </c>
      <c r="G689" s="6">
        <v>65558.332999999999</v>
      </c>
      <c r="H689" s="6">
        <f>IF(OR(F689&lt;=0,G689&lt;=0),"",ROUND(G689+F689*Uso!$B$5,Uso!$B$6))</f>
        <v>67183.745999999999</v>
      </c>
      <c r="I689" s="6">
        <f t="shared" si="10"/>
        <v>67183.745999999999</v>
      </c>
      <c r="J689" t="str">
        <f>IF(COUNTIF(Cruce!$A$5:$A$14,A689)&gt;0,"SKU de muestra","Regla extrapolada")</f>
        <v>Regla extrapolada</v>
      </c>
    </row>
    <row r="690" spans="1:10" ht="30" customHeight="1">
      <c r="A690" t="s">
        <v>1423</v>
      </c>
      <c r="B690" s="5" t="s">
        <v>1424</v>
      </c>
      <c r="C690">
        <v>1</v>
      </c>
      <c r="D690">
        <v>0</v>
      </c>
      <c r="E690">
        <v>5</v>
      </c>
      <c r="F690" s="6">
        <v>120089.41099999999</v>
      </c>
      <c r="G690" s="6">
        <v>145308.18799999999</v>
      </c>
      <c r="H690" s="6">
        <f>IF(OR(F690&lt;=0,G690&lt;=0),"",ROUND(G690+F690*Uso!$B$5,Uso!$B$6))</f>
        <v>148910.87</v>
      </c>
      <c r="I690" s="6">
        <f t="shared" si="10"/>
        <v>148910.87</v>
      </c>
      <c r="J690" t="str">
        <f>IF(COUNTIF(Cruce!$A$5:$A$14,A690)&gt;0,"SKU de muestra","Regla extrapolada")</f>
        <v>Regla extrapolada</v>
      </c>
    </row>
    <row r="691" spans="1:10" ht="30" customHeight="1">
      <c r="A691" t="s">
        <v>1425</v>
      </c>
      <c r="B691" s="5" t="s">
        <v>1426</v>
      </c>
      <c r="C691">
        <v>1</v>
      </c>
      <c r="D691">
        <v>0</v>
      </c>
      <c r="E691">
        <v>5</v>
      </c>
      <c r="F691" s="6">
        <v>26445.58</v>
      </c>
      <c r="G691" s="6">
        <v>34895.535000000003</v>
      </c>
      <c r="H691" s="6">
        <f>IF(OR(F691&lt;=0,G691&lt;=0),"",ROUND(G691+F691*Uso!$B$5,Uso!$B$6))</f>
        <v>35688.902000000002</v>
      </c>
      <c r="I691" s="6">
        <f t="shared" si="10"/>
        <v>35688.902000000002</v>
      </c>
      <c r="J691" t="str">
        <f>IF(COUNTIF(Cruce!$A$5:$A$14,A691)&gt;0,"SKU de muestra","Regla extrapolada")</f>
        <v>Regla extrapolada</v>
      </c>
    </row>
    <row r="692" spans="1:10" ht="30" customHeight="1">
      <c r="A692" t="s">
        <v>1427</v>
      </c>
      <c r="B692" s="5" t="s">
        <v>1428</v>
      </c>
      <c r="C692">
        <v>1</v>
      </c>
      <c r="D692">
        <v>0</v>
      </c>
      <c r="E692">
        <v>5</v>
      </c>
      <c r="F692" s="6">
        <v>31678.007000000001</v>
      </c>
      <c r="G692" s="6">
        <v>42242.447999999997</v>
      </c>
      <c r="H692" s="6">
        <f>IF(OR(F692&lt;=0,G692&lt;=0),"",ROUND(G692+F692*Uso!$B$5,Uso!$B$6))</f>
        <v>43192.788</v>
      </c>
      <c r="I692" s="6">
        <f t="shared" si="10"/>
        <v>43192.788</v>
      </c>
      <c r="J692" t="str">
        <f>IF(COUNTIF(Cruce!$A$5:$A$14,A692)&gt;0,"SKU de muestra","Regla extrapolada")</f>
        <v>Regla extrapolada</v>
      </c>
    </row>
    <row r="693" spans="1:10" ht="30" customHeight="1">
      <c r="A693" t="s">
        <v>1429</v>
      </c>
      <c r="B693" s="5" t="s">
        <v>1430</v>
      </c>
      <c r="C693">
        <v>1</v>
      </c>
      <c r="D693">
        <v>0</v>
      </c>
      <c r="E693">
        <v>5</v>
      </c>
      <c r="F693" s="6">
        <v>45004.322999999997</v>
      </c>
      <c r="G693" s="6">
        <v>59835.430999999997</v>
      </c>
      <c r="H693" s="6">
        <f>IF(OR(F693&lt;=0,G693&lt;=0),"",ROUND(G693+F693*Uso!$B$5,Uso!$B$6))</f>
        <v>61185.561000000002</v>
      </c>
      <c r="I693" s="6">
        <f t="shared" si="10"/>
        <v>61185.561000000002</v>
      </c>
      <c r="J693" t="str">
        <f>IF(COUNTIF(Cruce!$A$5:$A$14,A693)&gt;0,"SKU de muestra","Regla extrapolada")</f>
        <v>Regla extrapolada</v>
      </c>
    </row>
    <row r="694" spans="1:10" ht="30" customHeight="1">
      <c r="A694" t="s">
        <v>1431</v>
      </c>
      <c r="B694" s="5" t="s">
        <v>1432</v>
      </c>
      <c r="C694">
        <v>1</v>
      </c>
      <c r="D694">
        <v>0</v>
      </c>
      <c r="E694">
        <v>5</v>
      </c>
      <c r="F694" s="6">
        <v>14103.977999999999</v>
      </c>
      <c r="G694" s="6">
        <v>17496.474999999999</v>
      </c>
      <c r="H694" s="6">
        <f>IF(OR(F694&lt;=0,G694&lt;=0),"",ROUND(G694+F694*Uso!$B$5,Uso!$B$6))</f>
        <v>17919.594000000001</v>
      </c>
      <c r="I694" s="6">
        <f t="shared" si="10"/>
        <v>17919.594000000001</v>
      </c>
      <c r="J694" t="str">
        <f>IF(COUNTIF(Cruce!$A$5:$A$14,A694)&gt;0,"SKU de muestra","Regla extrapolada")</f>
        <v>Regla extrapolada</v>
      </c>
    </row>
    <row r="695" spans="1:10" ht="30" customHeight="1">
      <c r="A695" t="s">
        <v>1433</v>
      </c>
      <c r="B695" s="5" t="s">
        <v>1434</v>
      </c>
      <c r="C695">
        <v>1</v>
      </c>
      <c r="D695">
        <v>0</v>
      </c>
      <c r="E695">
        <v>5</v>
      </c>
      <c r="F695" s="6">
        <v>45422.476000000002</v>
      </c>
      <c r="G695" s="6">
        <v>60491.877</v>
      </c>
      <c r="H695" s="6">
        <f>IF(OR(F695&lt;=0,G695&lt;=0),"",ROUND(G695+F695*Uso!$B$5,Uso!$B$6))</f>
        <v>61854.550999999999</v>
      </c>
      <c r="I695" s="6">
        <f t="shared" si="10"/>
        <v>61854.550999999999</v>
      </c>
      <c r="J695" t="str">
        <f>IF(COUNTIF(Cruce!$A$5:$A$14,A695)&gt;0,"SKU de muestra","Regla extrapolada")</f>
        <v>Regla extrapolada</v>
      </c>
    </row>
    <row r="696" spans="1:10" ht="30" customHeight="1">
      <c r="A696" t="s">
        <v>1435</v>
      </c>
      <c r="B696" s="5" t="s">
        <v>1436</v>
      </c>
      <c r="C696">
        <v>1</v>
      </c>
      <c r="D696">
        <v>0</v>
      </c>
      <c r="E696">
        <v>5</v>
      </c>
      <c r="F696" s="6">
        <v>28168.620999999999</v>
      </c>
      <c r="G696" s="6">
        <v>34084.031000000003</v>
      </c>
      <c r="H696" s="6">
        <f>IF(OR(F696&lt;=0,G696&lt;=0),"",ROUND(G696+F696*Uso!$B$5,Uso!$B$6))</f>
        <v>34929.089999999997</v>
      </c>
      <c r="I696" s="6">
        <f t="shared" si="10"/>
        <v>34929.089999999997</v>
      </c>
      <c r="J696" t="str">
        <f>IF(COUNTIF(Cruce!$A$5:$A$14,A696)&gt;0,"SKU de muestra","Regla extrapolada")</f>
        <v>Regla extrapolada</v>
      </c>
    </row>
    <row r="697" spans="1:10" ht="30" customHeight="1">
      <c r="A697" t="s">
        <v>1437</v>
      </c>
      <c r="B697" s="5" t="s">
        <v>1438</v>
      </c>
      <c r="C697">
        <v>1</v>
      </c>
      <c r="D697">
        <v>0</v>
      </c>
      <c r="E697">
        <v>5</v>
      </c>
      <c r="F697" s="6">
        <v>14306.950999999999</v>
      </c>
      <c r="G697" s="6">
        <v>17311.411</v>
      </c>
      <c r="H697" s="6">
        <f>IF(OR(F697&lt;=0,G697&lt;=0),"",ROUND(G697+F697*Uso!$B$5,Uso!$B$6))</f>
        <v>17740.62</v>
      </c>
      <c r="I697" s="6">
        <f t="shared" si="10"/>
        <v>17740.62</v>
      </c>
      <c r="J697" t="str">
        <f>IF(COUNTIF(Cruce!$A$5:$A$14,A697)&gt;0,"SKU de muestra","Regla extrapolada")</f>
        <v>Regla extrapolada</v>
      </c>
    </row>
    <row r="698" spans="1:10" ht="30" customHeight="1">
      <c r="A698" t="s">
        <v>1439</v>
      </c>
      <c r="B698" s="5" t="s">
        <v>1440</v>
      </c>
      <c r="C698">
        <v>1</v>
      </c>
      <c r="D698">
        <v>0</v>
      </c>
      <c r="E698">
        <v>5</v>
      </c>
      <c r="F698" s="6">
        <v>29909.167000000001</v>
      </c>
      <c r="G698" s="6">
        <v>36747.409</v>
      </c>
      <c r="H698" s="6">
        <f>IF(OR(F698&lt;=0,G698&lt;=0),"",ROUND(G698+F698*Uso!$B$5,Uso!$B$6))</f>
        <v>37644.684000000001</v>
      </c>
      <c r="I698" s="6">
        <f t="shared" si="10"/>
        <v>37644.684000000001</v>
      </c>
      <c r="J698" t="str">
        <f>IF(COUNTIF(Cruce!$A$5:$A$14,A698)&gt;0,"SKU de muestra","Regla extrapolada")</f>
        <v>Regla extrapolada</v>
      </c>
    </row>
    <row r="699" spans="1:10" ht="30" customHeight="1">
      <c r="A699" t="s">
        <v>1441</v>
      </c>
      <c r="B699" s="5" t="s">
        <v>1442</v>
      </c>
      <c r="C699">
        <v>1</v>
      </c>
      <c r="D699">
        <v>0</v>
      </c>
      <c r="E699">
        <v>5</v>
      </c>
      <c r="F699" s="6">
        <v>101263.96400000001</v>
      </c>
      <c r="G699" s="6">
        <v>131531.943</v>
      </c>
      <c r="H699" s="6">
        <f>IF(OR(F699&lt;=0,G699&lt;=0),"",ROUND(G699+F699*Uso!$B$5,Uso!$B$6))</f>
        <v>134569.86199999999</v>
      </c>
      <c r="I699" s="6">
        <f t="shared" si="10"/>
        <v>134569.86199999999</v>
      </c>
      <c r="J699" t="str">
        <f>IF(COUNTIF(Cruce!$A$5:$A$14,A699)&gt;0,"SKU de muestra","Regla extrapolada")</f>
        <v>Regla extrapolada</v>
      </c>
    </row>
    <row r="700" spans="1:10" ht="30" customHeight="1">
      <c r="A700" t="s">
        <v>1443</v>
      </c>
      <c r="B700" s="5" t="s">
        <v>1444</v>
      </c>
      <c r="C700">
        <v>1</v>
      </c>
      <c r="D700">
        <v>0</v>
      </c>
      <c r="E700">
        <v>5</v>
      </c>
      <c r="F700" s="6">
        <v>25634.661</v>
      </c>
      <c r="G700" s="6">
        <v>31835.360000000001</v>
      </c>
      <c r="H700" s="6">
        <f>IF(OR(F700&lt;=0,G700&lt;=0),"",ROUND(G700+F700*Uso!$B$5,Uso!$B$6))</f>
        <v>32604.400000000001</v>
      </c>
      <c r="I700" s="6">
        <f t="shared" si="10"/>
        <v>32604.400000000001</v>
      </c>
      <c r="J700" t="str">
        <f>IF(COUNTIF(Cruce!$A$5:$A$14,A700)&gt;0,"SKU de muestra","Regla extrapolada")</f>
        <v>Regla extrapolada</v>
      </c>
    </row>
    <row r="701" spans="1:10" ht="30" customHeight="1">
      <c r="A701" t="s">
        <v>1445</v>
      </c>
      <c r="B701" s="5" t="s">
        <v>1403</v>
      </c>
      <c r="C701">
        <v>1</v>
      </c>
      <c r="D701">
        <v>0</v>
      </c>
      <c r="E701">
        <v>5</v>
      </c>
      <c r="F701" s="6">
        <v>20834.900000000001</v>
      </c>
      <c r="G701" s="6">
        <v>26401.664000000001</v>
      </c>
      <c r="H701" s="6">
        <f>IF(OR(F701&lt;=0,G701&lt;=0),"",ROUND(G701+F701*Uso!$B$5,Uso!$B$6))</f>
        <v>27026.710999999999</v>
      </c>
      <c r="I701" s="6">
        <f t="shared" si="10"/>
        <v>27026.710999999999</v>
      </c>
      <c r="J701" t="str">
        <f>IF(COUNTIF(Cruce!$A$5:$A$14,A701)&gt;0,"SKU de muestra","Regla extrapolada")</f>
        <v>Regla extrapolada</v>
      </c>
    </row>
    <row r="702" spans="1:10" ht="30" customHeight="1">
      <c r="A702" t="s">
        <v>1446</v>
      </c>
      <c r="B702" s="5" t="s">
        <v>1375</v>
      </c>
      <c r="C702">
        <v>1</v>
      </c>
      <c r="D702">
        <v>0</v>
      </c>
      <c r="E702">
        <v>5</v>
      </c>
      <c r="F702" s="6">
        <v>35539.525000000001</v>
      </c>
      <c r="G702" s="6">
        <v>43002.824999999997</v>
      </c>
      <c r="H702" s="6">
        <f>IF(OR(F702&lt;=0,G702&lt;=0),"",ROUND(G702+F702*Uso!$B$5,Uso!$B$6))</f>
        <v>44069.010999999999</v>
      </c>
      <c r="I702" s="6">
        <f t="shared" si="10"/>
        <v>44069.010999999999</v>
      </c>
      <c r="J702" t="str">
        <f>IF(COUNTIF(Cruce!$A$5:$A$14,A702)&gt;0,"SKU de muestra","Regla extrapolada")</f>
        <v>Regla extrapolada</v>
      </c>
    </row>
    <row r="703" spans="1:10" ht="30" customHeight="1">
      <c r="A703" t="s">
        <v>1447</v>
      </c>
      <c r="B703" s="5" t="s">
        <v>1375</v>
      </c>
      <c r="C703">
        <v>1</v>
      </c>
      <c r="D703">
        <v>0</v>
      </c>
      <c r="E703">
        <v>5</v>
      </c>
      <c r="F703" s="6">
        <v>35539.525000000001</v>
      </c>
      <c r="G703" s="6">
        <v>43002.824999999997</v>
      </c>
      <c r="H703" s="6">
        <f>IF(OR(F703&lt;=0,G703&lt;=0),"",ROUND(G703+F703*Uso!$B$5,Uso!$B$6))</f>
        <v>44069.010999999999</v>
      </c>
      <c r="I703" s="6">
        <f t="shared" si="10"/>
        <v>44069.010999999999</v>
      </c>
      <c r="J703" t="str">
        <f>IF(COUNTIF(Cruce!$A$5:$A$14,A703)&gt;0,"SKU de muestra","Regla extrapolada")</f>
        <v>Regla extrapolada</v>
      </c>
    </row>
    <row r="704" spans="1:10" ht="30" customHeight="1">
      <c r="A704" t="s">
        <v>1448</v>
      </c>
      <c r="B704" s="5" t="s">
        <v>1383</v>
      </c>
      <c r="C704">
        <v>1</v>
      </c>
      <c r="D704">
        <v>0</v>
      </c>
      <c r="E704">
        <v>5</v>
      </c>
      <c r="F704" s="6">
        <v>17570.041000000001</v>
      </c>
      <c r="G704" s="6">
        <v>22152.197</v>
      </c>
      <c r="H704" s="6">
        <f>IF(OR(F704&lt;=0,G704&lt;=0),"",ROUND(G704+F704*Uso!$B$5,Uso!$B$6))</f>
        <v>22679.297999999999</v>
      </c>
      <c r="I704" s="6">
        <f t="shared" si="10"/>
        <v>22679.297999999999</v>
      </c>
      <c r="J704" t="str">
        <f>IF(COUNTIF(Cruce!$A$5:$A$14,A704)&gt;0,"SKU de muestra","Regla extrapolada")</f>
        <v>Regla extrapolada</v>
      </c>
    </row>
    <row r="705" spans="1:10" ht="30" customHeight="1">
      <c r="A705" t="s">
        <v>1449</v>
      </c>
      <c r="B705" s="5" t="s">
        <v>1450</v>
      </c>
      <c r="C705">
        <v>1</v>
      </c>
      <c r="D705">
        <v>0</v>
      </c>
      <c r="E705">
        <v>5</v>
      </c>
      <c r="F705" s="6">
        <v>26553.73</v>
      </c>
      <c r="G705" s="6">
        <v>32130.012999999999</v>
      </c>
      <c r="H705" s="6">
        <f>IF(OR(F705&lt;=0,G705&lt;=0),"",ROUND(G705+F705*Uso!$B$5,Uso!$B$6))</f>
        <v>32926.625</v>
      </c>
      <c r="I705" s="6">
        <f t="shared" si="10"/>
        <v>32926.625</v>
      </c>
      <c r="J705" t="str">
        <f>IF(COUNTIF(Cruce!$A$5:$A$14,A705)&gt;0,"SKU de muestra","Regla extrapolada")</f>
        <v>Regla extrapolada</v>
      </c>
    </row>
    <row r="706" spans="1:10" ht="30" customHeight="1">
      <c r="A706" t="s">
        <v>1451</v>
      </c>
      <c r="B706" s="5" t="s">
        <v>1452</v>
      </c>
      <c r="C706">
        <v>1</v>
      </c>
      <c r="D706">
        <v>0</v>
      </c>
      <c r="E706">
        <v>5</v>
      </c>
      <c r="F706" s="6">
        <v>32145.945</v>
      </c>
      <c r="G706" s="6">
        <v>42739.593000000001</v>
      </c>
      <c r="H706" s="6">
        <f>IF(OR(F706&lt;=0,G706&lt;=0),"",ROUND(G706+F706*Uso!$B$5,Uso!$B$6))</f>
        <v>43703.970999999998</v>
      </c>
      <c r="I706" s="6">
        <f t="shared" si="10"/>
        <v>43703.970999999998</v>
      </c>
      <c r="J706" t="str">
        <f>IF(COUNTIF(Cruce!$A$5:$A$14,A706)&gt;0,"SKU de muestra","Regla extrapolada")</f>
        <v>Regla extrapolada</v>
      </c>
    </row>
    <row r="707" spans="1:10" ht="30" customHeight="1">
      <c r="A707" t="s">
        <v>1453</v>
      </c>
      <c r="B707" s="5" t="s">
        <v>1454</v>
      </c>
      <c r="C707">
        <v>1</v>
      </c>
      <c r="D707">
        <v>0</v>
      </c>
      <c r="E707">
        <v>5</v>
      </c>
      <c r="F707" s="6">
        <v>142291.87700000001</v>
      </c>
      <c r="G707" s="6">
        <v>189925.29300000001</v>
      </c>
      <c r="H707" s="6">
        <f>IF(OR(F707&lt;=0,G707&lt;=0),"",ROUND(G707+F707*Uso!$B$5,Uso!$B$6))</f>
        <v>194194.049</v>
      </c>
      <c r="I707" s="6">
        <f t="shared" si="10"/>
        <v>194194.049</v>
      </c>
      <c r="J707" t="str">
        <f>IF(COUNTIF(Cruce!$A$5:$A$14,A707)&gt;0,"SKU de muestra","Regla extrapolada")</f>
        <v>Regla extrapolada</v>
      </c>
    </row>
    <row r="708" spans="1:10" ht="30" customHeight="1">
      <c r="A708" t="s">
        <v>1455</v>
      </c>
      <c r="B708" s="5" t="s">
        <v>1456</v>
      </c>
      <c r="C708">
        <v>1</v>
      </c>
      <c r="D708">
        <v>0</v>
      </c>
      <c r="E708">
        <v>5</v>
      </c>
      <c r="F708" s="6">
        <v>52728.639000000003</v>
      </c>
      <c r="G708" s="6">
        <v>66428.163</v>
      </c>
      <c r="H708" s="6">
        <f>IF(OR(F708&lt;=0,G708&lt;=0),"",ROUND(G708+F708*Uso!$B$5,Uso!$B$6))</f>
        <v>68010.021999999997</v>
      </c>
      <c r="I708" s="6">
        <f t="shared" si="10"/>
        <v>68010.021999999997</v>
      </c>
      <c r="J708" t="str">
        <f>IF(COUNTIF(Cruce!$A$5:$A$14,A708)&gt;0,"SKU de muestra","Regla extrapolada")</f>
        <v>Regla extrapolada</v>
      </c>
    </row>
    <row r="709" spans="1:10" ht="30" customHeight="1">
      <c r="A709" t="s">
        <v>1457</v>
      </c>
      <c r="B709" s="5" t="s">
        <v>1458</v>
      </c>
      <c r="C709">
        <v>1</v>
      </c>
      <c r="D709">
        <v>0</v>
      </c>
      <c r="E709">
        <v>5</v>
      </c>
      <c r="F709" s="6">
        <v>13276.865</v>
      </c>
      <c r="G709" s="6">
        <v>16065.007</v>
      </c>
      <c r="H709" s="6">
        <f>IF(OR(F709&lt;=0,G709&lt;=0),"",ROUND(G709+F709*Uso!$B$5,Uso!$B$6))</f>
        <v>16463.312999999998</v>
      </c>
      <c r="I709" s="6">
        <f t="shared" ref="I709:I772" si="11">IF(OR(H709="",C709&lt;=0),"",H709/C709)</f>
        <v>16463.312999999998</v>
      </c>
      <c r="J709" t="str">
        <f>IF(COUNTIF(Cruce!$A$5:$A$14,A709)&gt;0,"SKU de muestra","Regla extrapolada")</f>
        <v>Regla extrapolada</v>
      </c>
    </row>
    <row r="710" spans="1:10" ht="30" customHeight="1">
      <c r="A710" t="s">
        <v>1459</v>
      </c>
      <c r="B710" s="5" t="s">
        <v>1460</v>
      </c>
      <c r="C710">
        <v>1</v>
      </c>
      <c r="D710">
        <v>0</v>
      </c>
      <c r="E710">
        <v>5</v>
      </c>
      <c r="F710" s="6">
        <v>26467.896000000001</v>
      </c>
      <c r="G710" s="6">
        <v>32026.153999999999</v>
      </c>
      <c r="H710" s="6">
        <f>IF(OR(F710&lt;=0,G710&lt;=0),"",ROUND(G710+F710*Uso!$B$5,Uso!$B$6))</f>
        <v>32820.190999999999</v>
      </c>
      <c r="I710" s="6">
        <f t="shared" si="11"/>
        <v>32820.190999999999</v>
      </c>
      <c r="J710" t="str">
        <f>IF(COUNTIF(Cruce!$A$5:$A$14,A710)&gt;0,"SKU de muestra","Regla extrapolada")</f>
        <v>Regla extrapolada</v>
      </c>
    </row>
    <row r="711" spans="1:10" ht="30" customHeight="1">
      <c r="A711" t="s">
        <v>1461</v>
      </c>
      <c r="B711" s="5" t="s">
        <v>1462</v>
      </c>
      <c r="C711">
        <v>1</v>
      </c>
      <c r="D711">
        <v>0</v>
      </c>
      <c r="E711">
        <v>5</v>
      </c>
      <c r="F711" s="6">
        <v>54134.409</v>
      </c>
      <c r="G711" s="6">
        <v>68251.017000000007</v>
      </c>
      <c r="H711" s="6">
        <f>IF(OR(F711&lt;=0,G711&lt;=0),"",ROUND(G711+F711*Uso!$B$5,Uso!$B$6))</f>
        <v>69875.048999999999</v>
      </c>
      <c r="I711" s="6">
        <f t="shared" si="11"/>
        <v>69875.048999999999</v>
      </c>
      <c r="J711" t="str">
        <f>IF(COUNTIF(Cruce!$A$5:$A$14,A711)&gt;0,"SKU de muestra","Regla extrapolada")</f>
        <v>Regla extrapolada</v>
      </c>
    </row>
    <row r="712" spans="1:10" ht="30" customHeight="1">
      <c r="A712" t="s">
        <v>1463</v>
      </c>
      <c r="B712" s="5" t="s">
        <v>1464</v>
      </c>
      <c r="C712">
        <v>1</v>
      </c>
      <c r="D712">
        <v>0</v>
      </c>
      <c r="E712">
        <v>5</v>
      </c>
      <c r="F712" s="6">
        <v>26904.026000000002</v>
      </c>
      <c r="G712" s="6">
        <v>34236.644999999997</v>
      </c>
      <c r="H712" s="6">
        <f>IF(OR(F712&lt;=0,G712&lt;=0),"",ROUND(G712+F712*Uso!$B$5,Uso!$B$6))</f>
        <v>35043.766000000003</v>
      </c>
      <c r="I712" s="6">
        <f t="shared" si="11"/>
        <v>35043.766000000003</v>
      </c>
      <c r="J712" t="str">
        <f>IF(COUNTIF(Cruce!$A$5:$A$14,A712)&gt;0,"SKU de muestra","Regla extrapolada")</f>
        <v>Regla extrapolada</v>
      </c>
    </row>
    <row r="713" spans="1:10" ht="30" customHeight="1">
      <c r="A713" t="s">
        <v>1465</v>
      </c>
      <c r="B713" s="5" t="s">
        <v>1466</v>
      </c>
      <c r="C713">
        <v>1</v>
      </c>
      <c r="D713">
        <v>0</v>
      </c>
      <c r="E713">
        <v>5</v>
      </c>
      <c r="F713" s="6">
        <v>42580.614000000001</v>
      </c>
      <c r="G713" s="6">
        <v>53764.809000000001</v>
      </c>
      <c r="H713" s="6">
        <f>IF(OR(F713&lt;=0,G713&lt;=0),"",ROUND(G713+F713*Uso!$B$5,Uso!$B$6))</f>
        <v>55042.226999999999</v>
      </c>
      <c r="I713" s="6">
        <f t="shared" si="11"/>
        <v>55042.226999999999</v>
      </c>
      <c r="J713" t="str">
        <f>IF(COUNTIF(Cruce!$A$5:$A$14,A713)&gt;0,"SKU de muestra","Regla extrapolada")</f>
        <v>Regla extrapolada</v>
      </c>
    </row>
    <row r="714" spans="1:10" ht="30" customHeight="1">
      <c r="A714" t="s">
        <v>1467</v>
      </c>
      <c r="B714" s="5" t="s">
        <v>1468</v>
      </c>
      <c r="C714">
        <v>1</v>
      </c>
      <c r="D714">
        <v>0</v>
      </c>
      <c r="E714">
        <v>5</v>
      </c>
      <c r="F714" s="6">
        <v>33000.987999999998</v>
      </c>
      <c r="G714" s="6">
        <v>39931.195</v>
      </c>
      <c r="H714" s="6">
        <f>IF(OR(F714&lt;=0,G714&lt;=0),"",ROUND(G714+F714*Uso!$B$5,Uso!$B$6))</f>
        <v>40921.224999999999</v>
      </c>
      <c r="I714" s="6">
        <f t="shared" si="11"/>
        <v>40921.224999999999</v>
      </c>
      <c r="J714" t="str">
        <f>IF(COUNTIF(Cruce!$A$5:$A$14,A714)&gt;0,"SKU de muestra","Regla extrapolada")</f>
        <v>Regla extrapolada</v>
      </c>
    </row>
    <row r="715" spans="1:10" ht="30" customHeight="1">
      <c r="A715" t="s">
        <v>1469</v>
      </c>
      <c r="B715" s="5" t="s">
        <v>1403</v>
      </c>
      <c r="C715">
        <v>1</v>
      </c>
      <c r="D715">
        <v>0</v>
      </c>
      <c r="E715">
        <v>5</v>
      </c>
      <c r="F715" s="6">
        <v>22103.157999999999</v>
      </c>
      <c r="G715" s="6">
        <v>28015.594000000001</v>
      </c>
      <c r="H715" s="6">
        <f>IF(OR(F715&lt;=0,G715&lt;=0),"",ROUND(G715+F715*Uso!$B$5,Uso!$B$6))</f>
        <v>28678.688999999998</v>
      </c>
      <c r="I715" s="6">
        <f t="shared" si="11"/>
        <v>28678.688999999998</v>
      </c>
      <c r="J715" t="str">
        <f>IF(COUNTIF(Cruce!$A$5:$A$14,A715)&gt;0,"SKU de muestra","Regla extrapolada")</f>
        <v>Regla extrapolada</v>
      </c>
    </row>
    <row r="716" spans="1:10" ht="30" customHeight="1">
      <c r="A716" t="s">
        <v>1470</v>
      </c>
      <c r="B716" s="5" t="s">
        <v>1383</v>
      </c>
      <c r="C716">
        <v>1</v>
      </c>
      <c r="D716">
        <v>0</v>
      </c>
      <c r="E716">
        <v>5</v>
      </c>
      <c r="F716" s="6">
        <v>26020.37</v>
      </c>
      <c r="G716" s="6">
        <v>32929.178</v>
      </c>
      <c r="H716" s="6">
        <f>IF(OR(F716&lt;=0,G716&lt;=0),"",ROUND(G716+F716*Uso!$B$5,Uso!$B$6))</f>
        <v>33709.788999999997</v>
      </c>
      <c r="I716" s="6">
        <f t="shared" si="11"/>
        <v>33709.788999999997</v>
      </c>
      <c r="J716" t="str">
        <f>IF(COUNTIF(Cruce!$A$5:$A$14,A716)&gt;0,"SKU de muestra","Regla extrapolada")</f>
        <v>Regla extrapolada</v>
      </c>
    </row>
    <row r="717" spans="1:10" ht="30" customHeight="1">
      <c r="A717" t="s">
        <v>1471</v>
      </c>
      <c r="B717" s="5" t="s">
        <v>1472</v>
      </c>
      <c r="C717">
        <v>1</v>
      </c>
      <c r="D717">
        <v>0</v>
      </c>
      <c r="E717">
        <v>5</v>
      </c>
      <c r="F717" s="6">
        <v>18868.544999999998</v>
      </c>
      <c r="G717" s="6">
        <v>23440.847000000002</v>
      </c>
      <c r="H717" s="6">
        <f>IF(OR(F717&lt;=0,G717&lt;=0),"",ROUND(G717+F717*Uso!$B$5,Uso!$B$6))</f>
        <v>24006.902999999998</v>
      </c>
      <c r="I717" s="6">
        <f t="shared" si="11"/>
        <v>24006.902999999998</v>
      </c>
      <c r="J717" t="str">
        <f>IF(COUNTIF(Cruce!$A$5:$A$14,A717)&gt;0,"SKU de muestra","Regla extrapolada")</f>
        <v>Regla extrapolada</v>
      </c>
    </row>
    <row r="718" spans="1:10" ht="30" customHeight="1">
      <c r="A718" t="s">
        <v>1473</v>
      </c>
      <c r="B718" s="5" t="s">
        <v>1474</v>
      </c>
      <c r="C718">
        <v>1</v>
      </c>
      <c r="D718">
        <v>0</v>
      </c>
      <c r="E718">
        <v>5</v>
      </c>
      <c r="F718" s="6">
        <v>15279.31</v>
      </c>
      <c r="G718" s="6">
        <v>18954.514999999999</v>
      </c>
      <c r="H718" s="6">
        <f>IF(OR(F718&lt;=0,G718&lt;=0),"",ROUND(G718+F718*Uso!$B$5,Uso!$B$6))</f>
        <v>19412.894</v>
      </c>
      <c r="I718" s="6">
        <f t="shared" si="11"/>
        <v>19412.894</v>
      </c>
      <c r="J718" t="str">
        <f>IF(COUNTIF(Cruce!$A$5:$A$14,A718)&gt;0,"SKU de muestra","Regla extrapolada")</f>
        <v>Regla extrapolada</v>
      </c>
    </row>
    <row r="719" spans="1:10" ht="30" customHeight="1">
      <c r="A719" t="s">
        <v>1475</v>
      </c>
      <c r="B719" s="5" t="s">
        <v>1476</v>
      </c>
      <c r="C719">
        <v>1</v>
      </c>
      <c r="D719">
        <v>0</v>
      </c>
      <c r="E719">
        <v>5</v>
      </c>
      <c r="F719" s="6">
        <v>77642.960000000006</v>
      </c>
      <c r="G719" s="6">
        <v>93947.982000000004</v>
      </c>
      <c r="H719" s="6">
        <f>IF(OR(F719&lt;=0,G719&lt;=0),"",ROUND(G719+F719*Uso!$B$5,Uso!$B$6))</f>
        <v>96277.270999999993</v>
      </c>
      <c r="I719" s="6">
        <f t="shared" si="11"/>
        <v>96277.270999999993</v>
      </c>
      <c r="J719" t="str">
        <f>IF(COUNTIF(Cruce!$A$5:$A$14,A719)&gt;0,"SKU de muestra","Regla extrapolada")</f>
        <v>Regla extrapolada</v>
      </c>
    </row>
    <row r="720" spans="1:10" ht="30" customHeight="1">
      <c r="A720" t="s">
        <v>1477</v>
      </c>
      <c r="B720" s="5" t="s">
        <v>1478</v>
      </c>
      <c r="C720">
        <v>1</v>
      </c>
      <c r="D720">
        <v>0</v>
      </c>
      <c r="E720">
        <v>5</v>
      </c>
      <c r="F720" s="6">
        <v>26017.296999999999</v>
      </c>
      <c r="G720" s="6">
        <v>34676.207999999999</v>
      </c>
      <c r="H720" s="6">
        <f>IF(OR(F720&lt;=0,G720&lt;=0),"",ROUND(G720+F720*Uso!$B$5,Uso!$B$6))</f>
        <v>35456.726999999999</v>
      </c>
      <c r="I720" s="6">
        <f t="shared" si="11"/>
        <v>35456.726999999999</v>
      </c>
      <c r="J720" t="str">
        <f>IF(COUNTIF(Cruce!$A$5:$A$14,A720)&gt;0,"SKU de muestra","Regla extrapolada")</f>
        <v>Regla extrapolada</v>
      </c>
    </row>
    <row r="721" spans="1:10" ht="30" customHeight="1">
      <c r="A721" t="s">
        <v>1479</v>
      </c>
      <c r="B721" s="5" t="s">
        <v>1480</v>
      </c>
      <c r="C721">
        <v>1</v>
      </c>
      <c r="D721">
        <v>0</v>
      </c>
      <c r="E721">
        <v>5</v>
      </c>
      <c r="F721" s="6">
        <v>315787.18099999998</v>
      </c>
      <c r="G721" s="6">
        <v>420946.25599999999</v>
      </c>
      <c r="H721" s="6">
        <f>IF(OR(F721&lt;=0,G721&lt;=0),"",ROUND(G721+F721*Uso!$B$5,Uso!$B$6))</f>
        <v>430419.87099999998</v>
      </c>
      <c r="I721" s="6">
        <f t="shared" si="11"/>
        <v>430419.87099999998</v>
      </c>
      <c r="J721" t="str">
        <f>IF(COUNTIF(Cruce!$A$5:$A$14,A721)&gt;0,"SKU de muestra","Regla extrapolada")</f>
        <v>Regla extrapolada</v>
      </c>
    </row>
    <row r="722" spans="1:10" ht="30" customHeight="1">
      <c r="A722" t="s">
        <v>1481</v>
      </c>
      <c r="B722" s="5" t="s">
        <v>1482</v>
      </c>
      <c r="C722">
        <v>1</v>
      </c>
      <c r="D722">
        <v>0</v>
      </c>
      <c r="E722">
        <v>5</v>
      </c>
      <c r="F722" s="6">
        <v>87511.614000000001</v>
      </c>
      <c r="G722" s="6">
        <v>105889.053</v>
      </c>
      <c r="H722" s="6">
        <f>IF(OR(F722&lt;=0,G722&lt;=0),"",ROUND(G722+F722*Uso!$B$5,Uso!$B$6))</f>
        <v>108514.401</v>
      </c>
      <c r="I722" s="6">
        <f t="shared" si="11"/>
        <v>108514.401</v>
      </c>
      <c r="J722" t="str">
        <f>IF(COUNTIF(Cruce!$A$5:$A$14,A722)&gt;0,"SKU de muestra","Regla extrapolada")</f>
        <v>Regla extrapolada</v>
      </c>
    </row>
    <row r="723" spans="1:10" ht="30" customHeight="1">
      <c r="A723" t="s">
        <v>1483</v>
      </c>
      <c r="B723" s="5" t="s">
        <v>1484</v>
      </c>
      <c r="C723">
        <v>1</v>
      </c>
      <c r="D723">
        <v>0</v>
      </c>
      <c r="E723">
        <v>5</v>
      </c>
      <c r="F723" s="6">
        <v>87511.614000000001</v>
      </c>
      <c r="G723" s="6">
        <v>105889.053</v>
      </c>
      <c r="H723" s="6">
        <f>IF(OR(F723&lt;=0,G723&lt;=0),"",ROUND(G723+F723*Uso!$B$5,Uso!$B$6))</f>
        <v>108514.401</v>
      </c>
      <c r="I723" s="6">
        <f t="shared" si="11"/>
        <v>108514.401</v>
      </c>
      <c r="J723" t="str">
        <f>IF(COUNTIF(Cruce!$A$5:$A$14,A723)&gt;0,"SKU de muestra","Regla extrapolada")</f>
        <v>Regla extrapolada</v>
      </c>
    </row>
    <row r="724" spans="1:10" ht="30" customHeight="1">
      <c r="A724" t="s">
        <v>1485</v>
      </c>
      <c r="B724" s="5" t="s">
        <v>1486</v>
      </c>
      <c r="C724">
        <v>1</v>
      </c>
      <c r="D724">
        <v>0</v>
      </c>
      <c r="E724">
        <v>5</v>
      </c>
      <c r="F724" s="6">
        <v>19302.892</v>
      </c>
      <c r="G724" s="6">
        <v>23356.5</v>
      </c>
      <c r="H724" s="6">
        <f>IF(OR(F724&lt;=0,G724&lt;=0),"",ROUND(G724+F724*Uso!$B$5,Uso!$B$6))</f>
        <v>23935.587</v>
      </c>
      <c r="I724" s="6">
        <f t="shared" si="11"/>
        <v>23935.587</v>
      </c>
      <c r="J724" t="str">
        <f>IF(COUNTIF(Cruce!$A$5:$A$14,A724)&gt;0,"SKU de muestra","Regla extrapolada")</f>
        <v>Regla extrapolada</v>
      </c>
    </row>
    <row r="725" spans="1:10" ht="30" customHeight="1">
      <c r="A725" t="s">
        <v>1487</v>
      </c>
      <c r="B725" s="5" t="s">
        <v>1488</v>
      </c>
      <c r="C725">
        <v>1</v>
      </c>
      <c r="D725">
        <v>0</v>
      </c>
      <c r="E725">
        <v>5</v>
      </c>
      <c r="F725" s="6">
        <v>29909.167000000001</v>
      </c>
      <c r="G725" s="6">
        <v>36747.409</v>
      </c>
      <c r="H725" s="6">
        <f>IF(OR(F725&lt;=0,G725&lt;=0),"",ROUND(G725+F725*Uso!$B$5,Uso!$B$6))</f>
        <v>37644.684000000001</v>
      </c>
      <c r="I725" s="6">
        <f t="shared" si="11"/>
        <v>37644.684000000001</v>
      </c>
      <c r="J725" t="str">
        <f>IF(COUNTIF(Cruce!$A$5:$A$14,A725)&gt;0,"SKU de muestra","Regla extrapolada")</f>
        <v>Regla extrapolada</v>
      </c>
    </row>
    <row r="726" spans="1:10" ht="30" customHeight="1">
      <c r="A726" t="s">
        <v>1489</v>
      </c>
      <c r="B726" s="5" t="s">
        <v>1490</v>
      </c>
      <c r="C726">
        <v>1</v>
      </c>
      <c r="D726">
        <v>0</v>
      </c>
      <c r="E726">
        <v>5</v>
      </c>
      <c r="F726" s="6">
        <v>14345.78</v>
      </c>
      <c r="G726" s="6">
        <v>19093.838</v>
      </c>
      <c r="H726" s="6">
        <f>IF(OR(F726&lt;=0,G726&lt;=0),"",ROUND(G726+F726*Uso!$B$5,Uso!$B$6))</f>
        <v>19524.210999999999</v>
      </c>
      <c r="I726" s="6">
        <f t="shared" si="11"/>
        <v>19524.210999999999</v>
      </c>
      <c r="J726" t="str">
        <f>IF(COUNTIF(Cruce!$A$5:$A$14,A726)&gt;0,"SKU de muestra","Regla extrapolada")</f>
        <v>Regla extrapolada</v>
      </c>
    </row>
    <row r="727" spans="1:10" ht="30" customHeight="1">
      <c r="A727" t="s">
        <v>1491</v>
      </c>
      <c r="B727" s="5" t="s">
        <v>1492</v>
      </c>
      <c r="C727">
        <v>1</v>
      </c>
      <c r="D727">
        <v>0</v>
      </c>
      <c r="E727">
        <v>5</v>
      </c>
      <c r="F727" s="6">
        <v>197303.94</v>
      </c>
      <c r="G727" s="6">
        <v>240292.90700000001</v>
      </c>
      <c r="H727" s="6">
        <f>IF(OR(F727&lt;=0,G727&lt;=0),"",ROUND(G727+F727*Uso!$B$5,Uso!$B$6))</f>
        <v>246212.02499999999</v>
      </c>
      <c r="I727" s="6">
        <f t="shared" si="11"/>
        <v>246212.02499999999</v>
      </c>
      <c r="J727" t="str">
        <f>IF(COUNTIF(Cruce!$A$5:$A$14,A727)&gt;0,"SKU de muestra","Regla extrapolada")</f>
        <v>Regla extrapolada</v>
      </c>
    </row>
    <row r="728" spans="1:10" ht="30" customHeight="1">
      <c r="A728" t="s">
        <v>1493</v>
      </c>
      <c r="B728" s="5" t="s">
        <v>1494</v>
      </c>
      <c r="C728">
        <v>1</v>
      </c>
      <c r="D728">
        <v>0</v>
      </c>
      <c r="E728">
        <v>5</v>
      </c>
      <c r="F728" s="6">
        <v>197303.92199999999</v>
      </c>
      <c r="G728" s="6">
        <v>240292.886</v>
      </c>
      <c r="H728" s="6">
        <f>IF(OR(F728&lt;=0,G728&lt;=0),"",ROUND(G728+F728*Uso!$B$5,Uso!$B$6))</f>
        <v>246212.00399999999</v>
      </c>
      <c r="I728" s="6">
        <f t="shared" si="11"/>
        <v>246212.00399999999</v>
      </c>
      <c r="J728" t="str">
        <f>IF(COUNTIF(Cruce!$A$5:$A$14,A728)&gt;0,"SKU de muestra","Regla extrapolada")</f>
        <v>Regla extrapolada</v>
      </c>
    </row>
    <row r="729" spans="1:10" ht="30" customHeight="1">
      <c r="A729" t="s">
        <v>1495</v>
      </c>
      <c r="B729" s="5" t="s">
        <v>1496</v>
      </c>
      <c r="C729">
        <v>1</v>
      </c>
      <c r="D729">
        <v>0</v>
      </c>
      <c r="E729">
        <v>5</v>
      </c>
      <c r="F729" s="6">
        <v>20750.087</v>
      </c>
      <c r="G729" s="6">
        <v>25107.605</v>
      </c>
      <c r="H729" s="6">
        <f>IF(OR(F729&lt;=0,G729&lt;=0),"",ROUND(G729+F729*Uso!$B$5,Uso!$B$6))</f>
        <v>25730.108</v>
      </c>
      <c r="I729" s="6">
        <f t="shared" si="11"/>
        <v>25730.108</v>
      </c>
      <c r="J729" t="str">
        <f>IF(COUNTIF(Cruce!$A$5:$A$14,A729)&gt;0,"SKU de muestra","Regla extrapolada")</f>
        <v>Regla extrapolada</v>
      </c>
    </row>
    <row r="730" spans="1:10" ht="30" customHeight="1">
      <c r="A730" t="s">
        <v>1497</v>
      </c>
      <c r="B730" s="5" t="s">
        <v>1498</v>
      </c>
      <c r="C730">
        <v>1</v>
      </c>
      <c r="D730">
        <v>0</v>
      </c>
      <c r="E730">
        <v>5</v>
      </c>
      <c r="F730" s="6">
        <v>7839.01</v>
      </c>
      <c r="G730" s="6">
        <v>10004.746999999999</v>
      </c>
      <c r="H730" s="6">
        <f>IF(OR(F730&lt;=0,G730&lt;=0),"",ROUND(G730+F730*Uso!$B$5,Uso!$B$6))</f>
        <v>10239.916999999999</v>
      </c>
      <c r="I730" s="6">
        <f t="shared" si="11"/>
        <v>10239.916999999999</v>
      </c>
      <c r="J730" t="str">
        <f>IF(COUNTIF(Cruce!$A$5:$A$14,A730)&gt;0,"SKU de muestra","Regla extrapolada")</f>
        <v>Regla extrapolada</v>
      </c>
    </row>
    <row r="731" spans="1:10" ht="30" customHeight="1">
      <c r="A731" t="s">
        <v>1499</v>
      </c>
      <c r="B731" s="5" t="s">
        <v>1500</v>
      </c>
      <c r="C731">
        <v>1</v>
      </c>
      <c r="D731">
        <v>0</v>
      </c>
      <c r="E731">
        <v>5</v>
      </c>
      <c r="F731" s="6">
        <v>8990.2540000000008</v>
      </c>
      <c r="G731" s="6">
        <v>11460.145</v>
      </c>
      <c r="H731" s="6">
        <f>IF(OR(F731&lt;=0,G731&lt;=0),"",ROUND(G731+F731*Uso!$B$5,Uso!$B$6))</f>
        <v>11729.852999999999</v>
      </c>
      <c r="I731" s="6">
        <f t="shared" si="11"/>
        <v>11729.852999999999</v>
      </c>
      <c r="J731" t="str">
        <f>IF(COUNTIF(Cruce!$A$5:$A$14,A731)&gt;0,"SKU de muestra","Regla extrapolada")</f>
        <v>Regla extrapolada</v>
      </c>
    </row>
    <row r="732" spans="1:10" ht="30" customHeight="1">
      <c r="A732" t="s">
        <v>1501</v>
      </c>
      <c r="B732" s="5" t="s">
        <v>1383</v>
      </c>
      <c r="C732">
        <v>1</v>
      </c>
      <c r="D732">
        <v>0</v>
      </c>
      <c r="E732">
        <v>5</v>
      </c>
      <c r="F732" s="6">
        <v>25020.669000000002</v>
      </c>
      <c r="G732" s="6">
        <v>31646.83</v>
      </c>
      <c r="H732" s="6">
        <f>IF(OR(F732&lt;=0,G732&lt;=0),"",ROUND(G732+F732*Uso!$B$5,Uso!$B$6))</f>
        <v>32397.45</v>
      </c>
      <c r="I732" s="6">
        <f t="shared" si="11"/>
        <v>32397.45</v>
      </c>
      <c r="J732" t="str">
        <f>IF(COUNTIF(Cruce!$A$5:$A$14,A732)&gt;0,"SKU de muestra","Regla extrapolada")</f>
        <v>Regla extrapolada</v>
      </c>
    </row>
    <row r="733" spans="1:10" ht="30" customHeight="1">
      <c r="A733" t="s">
        <v>1502</v>
      </c>
      <c r="B733" s="5" t="s">
        <v>1503</v>
      </c>
      <c r="C733">
        <v>1</v>
      </c>
      <c r="D733">
        <v>0</v>
      </c>
      <c r="E733">
        <v>5</v>
      </c>
      <c r="F733" s="6">
        <v>32407.726999999999</v>
      </c>
      <c r="G733" s="6">
        <v>39213.349000000002</v>
      </c>
      <c r="H733" s="6">
        <f>IF(OR(F733&lt;=0,G733&lt;=0),"",ROUND(G733+F733*Uso!$B$5,Uso!$B$6))</f>
        <v>40185.580999999998</v>
      </c>
      <c r="I733" s="6">
        <f t="shared" si="11"/>
        <v>40185.580999999998</v>
      </c>
      <c r="J733" t="str">
        <f>IF(COUNTIF(Cruce!$A$5:$A$14,A733)&gt;0,"SKU de muestra","Regla extrapolada")</f>
        <v>Regla extrapolada</v>
      </c>
    </row>
    <row r="734" spans="1:10" ht="30" customHeight="1">
      <c r="A734" t="s">
        <v>1504</v>
      </c>
      <c r="B734" s="5" t="s">
        <v>1505</v>
      </c>
      <c r="C734">
        <v>1</v>
      </c>
      <c r="D734">
        <v>0</v>
      </c>
      <c r="E734">
        <v>5</v>
      </c>
      <c r="F734" s="6">
        <v>22986.909</v>
      </c>
      <c r="G734" s="6">
        <v>27814.16</v>
      </c>
      <c r="H734" s="6">
        <f>IF(OR(F734&lt;=0,G734&lt;=0),"",ROUND(G734+F734*Uso!$B$5,Uso!$B$6))</f>
        <v>28503.767</v>
      </c>
      <c r="I734" s="6">
        <f t="shared" si="11"/>
        <v>28503.767</v>
      </c>
      <c r="J734" t="str">
        <f>IF(COUNTIF(Cruce!$A$5:$A$14,A734)&gt;0,"SKU de muestra","Regla extrapolada")</f>
        <v>Regla extrapolada</v>
      </c>
    </row>
    <row r="735" spans="1:10" ht="30" customHeight="1">
      <c r="A735" t="s">
        <v>1506</v>
      </c>
      <c r="B735" s="5" t="s">
        <v>1507</v>
      </c>
      <c r="C735">
        <v>1</v>
      </c>
      <c r="D735">
        <v>0</v>
      </c>
      <c r="E735">
        <v>5</v>
      </c>
      <c r="F735" s="6">
        <v>36905.726999999999</v>
      </c>
      <c r="G735" s="6">
        <v>44655.928999999996</v>
      </c>
      <c r="H735" s="6">
        <f>IF(OR(F735&lt;=0,G735&lt;=0),"",ROUND(G735+F735*Uso!$B$5,Uso!$B$6))</f>
        <v>45763.101000000002</v>
      </c>
      <c r="I735" s="6">
        <f t="shared" si="11"/>
        <v>45763.101000000002</v>
      </c>
      <c r="J735" t="str">
        <f>IF(COUNTIF(Cruce!$A$5:$A$14,A735)&gt;0,"SKU de muestra","Regla extrapolada")</f>
        <v>Regla extrapolada</v>
      </c>
    </row>
    <row r="736" spans="1:10" ht="30" customHeight="1">
      <c r="A736" t="s">
        <v>1508</v>
      </c>
      <c r="B736" s="5" t="s">
        <v>1509</v>
      </c>
      <c r="C736">
        <v>1</v>
      </c>
      <c r="D736">
        <v>0</v>
      </c>
      <c r="E736">
        <v>5</v>
      </c>
      <c r="F736" s="6">
        <v>30896.377</v>
      </c>
      <c r="G736" s="6">
        <v>37384.616000000002</v>
      </c>
      <c r="H736" s="6">
        <f>IF(OR(F736&lt;=0,G736&lt;=0),"",ROUND(G736+F736*Uso!$B$5,Uso!$B$6))</f>
        <v>38311.506999999998</v>
      </c>
      <c r="I736" s="6">
        <f t="shared" si="11"/>
        <v>38311.506999999998</v>
      </c>
      <c r="J736" t="str">
        <f>IF(COUNTIF(Cruce!$A$5:$A$14,A736)&gt;0,"SKU de muestra","Regla extrapolada")</f>
        <v>Regla extrapolada</v>
      </c>
    </row>
    <row r="737" spans="1:10" ht="30" customHeight="1">
      <c r="A737" t="s">
        <v>1510</v>
      </c>
      <c r="B737" s="5" t="s">
        <v>1511</v>
      </c>
      <c r="C737">
        <v>1</v>
      </c>
      <c r="D737">
        <v>0</v>
      </c>
      <c r="E737">
        <v>5</v>
      </c>
      <c r="F737" s="6">
        <v>23430.876</v>
      </c>
      <c r="G737" s="6">
        <v>28351.361000000001</v>
      </c>
      <c r="H737" s="6">
        <f>IF(OR(F737&lt;=0,G737&lt;=0),"",ROUND(G737+F737*Uso!$B$5,Uso!$B$6))</f>
        <v>29054.287</v>
      </c>
      <c r="I737" s="6">
        <f t="shared" si="11"/>
        <v>29054.287</v>
      </c>
      <c r="J737" t="str">
        <f>IF(COUNTIF(Cruce!$A$5:$A$14,A737)&gt;0,"SKU de muestra","Regla extrapolada")</f>
        <v>Regla extrapolada</v>
      </c>
    </row>
    <row r="738" spans="1:10" ht="30" customHeight="1">
      <c r="A738" t="s">
        <v>1512</v>
      </c>
      <c r="B738" s="5" t="s">
        <v>1513</v>
      </c>
      <c r="C738">
        <v>1</v>
      </c>
      <c r="D738">
        <v>0</v>
      </c>
      <c r="E738">
        <v>5</v>
      </c>
      <c r="F738" s="6">
        <v>67596.922999999995</v>
      </c>
      <c r="G738" s="6">
        <v>83681.214999999997</v>
      </c>
      <c r="H738" s="6">
        <f>IF(OR(F738&lt;=0,G738&lt;=0),"",ROUND(G738+F738*Uso!$B$5,Uso!$B$6))</f>
        <v>85709.123000000007</v>
      </c>
      <c r="I738" s="6">
        <f t="shared" si="11"/>
        <v>85709.123000000007</v>
      </c>
      <c r="J738" t="str">
        <f>IF(COUNTIF(Cruce!$A$5:$A$14,A738)&gt;0,"SKU de muestra","Regla extrapolada")</f>
        <v>Regla extrapolada</v>
      </c>
    </row>
    <row r="739" spans="1:10" ht="30" customHeight="1">
      <c r="A739" t="s">
        <v>1514</v>
      </c>
      <c r="B739" s="5" t="s">
        <v>1515</v>
      </c>
      <c r="C739">
        <v>1</v>
      </c>
      <c r="D739">
        <v>0</v>
      </c>
      <c r="E739">
        <v>5</v>
      </c>
      <c r="F739" s="6">
        <v>19067.445</v>
      </c>
      <c r="G739" s="6">
        <v>23604.667000000001</v>
      </c>
      <c r="H739" s="6">
        <f>IF(OR(F739&lt;=0,G739&lt;=0),"",ROUND(G739+F739*Uso!$B$5,Uso!$B$6))</f>
        <v>24176.69</v>
      </c>
      <c r="I739" s="6">
        <f t="shared" si="11"/>
        <v>24176.69</v>
      </c>
      <c r="J739" t="str">
        <f>IF(COUNTIF(Cruce!$A$5:$A$14,A739)&gt;0,"SKU de muestra","Regla extrapolada")</f>
        <v>Regla extrapolada</v>
      </c>
    </row>
    <row r="740" spans="1:10" ht="30" customHeight="1">
      <c r="A740" t="s">
        <v>1516</v>
      </c>
      <c r="B740" s="5" t="s">
        <v>1517</v>
      </c>
      <c r="C740">
        <v>1</v>
      </c>
      <c r="D740">
        <v>0</v>
      </c>
      <c r="E740">
        <v>5</v>
      </c>
      <c r="F740" s="6">
        <v>29909.167000000001</v>
      </c>
      <c r="G740" s="6">
        <v>36747.409</v>
      </c>
      <c r="H740" s="6">
        <f>IF(OR(F740&lt;=0,G740&lt;=0),"",ROUND(G740+F740*Uso!$B$5,Uso!$B$6))</f>
        <v>37644.684000000001</v>
      </c>
      <c r="I740" s="6">
        <f t="shared" si="11"/>
        <v>37644.684000000001</v>
      </c>
      <c r="J740" t="str">
        <f>IF(COUNTIF(Cruce!$A$5:$A$14,A740)&gt;0,"SKU de muestra","Regla extrapolada")</f>
        <v>Regla extrapolada</v>
      </c>
    </row>
    <row r="741" spans="1:10" ht="30" customHeight="1">
      <c r="A741" t="s">
        <v>1518</v>
      </c>
      <c r="B741" s="5" t="s">
        <v>1519</v>
      </c>
      <c r="C741">
        <v>1</v>
      </c>
      <c r="D741">
        <v>0</v>
      </c>
      <c r="E741">
        <v>5</v>
      </c>
      <c r="F741" s="6">
        <v>29909.168000000001</v>
      </c>
      <c r="G741" s="6">
        <v>36747.410000000003</v>
      </c>
      <c r="H741" s="6">
        <f>IF(OR(F741&lt;=0,G741&lt;=0),"",ROUND(G741+F741*Uso!$B$5,Uso!$B$6))</f>
        <v>37644.684999999998</v>
      </c>
      <c r="I741" s="6">
        <f t="shared" si="11"/>
        <v>37644.684999999998</v>
      </c>
      <c r="J741" t="str">
        <f>IF(COUNTIF(Cruce!$A$5:$A$14,A741)&gt;0,"SKU de muestra","Regla extrapolada")</f>
        <v>Regla extrapolada</v>
      </c>
    </row>
    <row r="742" spans="1:10" ht="30" customHeight="1">
      <c r="A742" t="s">
        <v>1520</v>
      </c>
      <c r="B742" s="5" t="s">
        <v>1521</v>
      </c>
      <c r="C742">
        <v>1</v>
      </c>
      <c r="D742">
        <v>0</v>
      </c>
      <c r="E742">
        <v>5</v>
      </c>
      <c r="F742" s="6">
        <v>26466.023000000001</v>
      </c>
      <c r="G742" s="6">
        <v>32023.887999999999</v>
      </c>
      <c r="H742" s="6">
        <f>IF(OR(F742&lt;=0,G742&lt;=0),"",ROUND(G742+F742*Uso!$B$5,Uso!$B$6))</f>
        <v>32817.868999999999</v>
      </c>
      <c r="I742" s="6">
        <f t="shared" si="11"/>
        <v>32817.868999999999</v>
      </c>
      <c r="J742" t="str">
        <f>IF(COUNTIF(Cruce!$A$5:$A$14,A742)&gt;0,"SKU de muestra","Regla extrapolada")</f>
        <v>Regla extrapolada</v>
      </c>
    </row>
    <row r="743" spans="1:10" ht="30" customHeight="1">
      <c r="A743" t="s">
        <v>1522</v>
      </c>
      <c r="B743" s="5" t="s">
        <v>1523</v>
      </c>
      <c r="C743">
        <v>1</v>
      </c>
      <c r="D743">
        <v>0</v>
      </c>
      <c r="E743">
        <v>5</v>
      </c>
      <c r="F743" s="6">
        <v>39998.14</v>
      </c>
      <c r="G743" s="6">
        <v>48397.749000000003</v>
      </c>
      <c r="H743" s="6">
        <f>IF(OR(F743&lt;=0,G743&lt;=0),"",ROUND(G743+F743*Uso!$B$5,Uso!$B$6))</f>
        <v>49597.692999999999</v>
      </c>
      <c r="I743" s="6">
        <f t="shared" si="11"/>
        <v>49597.692999999999</v>
      </c>
      <c r="J743" t="str">
        <f>IF(COUNTIF(Cruce!$A$5:$A$14,A743)&gt;0,"SKU de muestra","Regla extrapolada")</f>
        <v>Regla extrapolada</v>
      </c>
    </row>
    <row r="744" spans="1:10" ht="30" customHeight="1">
      <c r="A744" t="s">
        <v>1524</v>
      </c>
      <c r="B744" s="5" t="s">
        <v>1525</v>
      </c>
      <c r="C744">
        <v>1</v>
      </c>
      <c r="D744">
        <v>0</v>
      </c>
      <c r="E744">
        <v>5</v>
      </c>
      <c r="F744" s="6">
        <v>38992.959000000003</v>
      </c>
      <c r="G744" s="6">
        <v>47181.481</v>
      </c>
      <c r="H744" s="6">
        <f>IF(OR(F744&lt;=0,G744&lt;=0),"",ROUND(G744+F744*Uso!$B$5,Uso!$B$6))</f>
        <v>48351.27</v>
      </c>
      <c r="I744" s="6">
        <f t="shared" si="11"/>
        <v>48351.27</v>
      </c>
      <c r="J744" t="str">
        <f>IF(COUNTIF(Cruce!$A$5:$A$14,A744)&gt;0,"SKU de muestra","Regla extrapolada")</f>
        <v>Regla extrapolada</v>
      </c>
    </row>
    <row r="745" spans="1:10" ht="30" customHeight="1">
      <c r="A745" t="s">
        <v>1526</v>
      </c>
      <c r="B745" s="5" t="s">
        <v>1527</v>
      </c>
      <c r="C745">
        <v>1</v>
      </c>
      <c r="D745">
        <v>0</v>
      </c>
      <c r="E745">
        <v>5</v>
      </c>
      <c r="F745" s="6">
        <v>52525.076000000001</v>
      </c>
      <c r="G745" s="6">
        <v>63555.341999999997</v>
      </c>
      <c r="H745" s="6">
        <f>IF(OR(F745&lt;=0,G745&lt;=0),"",ROUND(G745+F745*Uso!$B$5,Uso!$B$6))</f>
        <v>65131.093999999997</v>
      </c>
      <c r="I745" s="6">
        <f t="shared" si="11"/>
        <v>65131.093999999997</v>
      </c>
      <c r="J745" t="str">
        <f>IF(COUNTIF(Cruce!$A$5:$A$14,A745)&gt;0,"SKU de muestra","Regla extrapolada")</f>
        <v>Regla extrapolada</v>
      </c>
    </row>
    <row r="746" spans="1:10" ht="30" customHeight="1">
      <c r="A746" t="s">
        <v>1528</v>
      </c>
      <c r="B746" s="5" t="s">
        <v>1529</v>
      </c>
      <c r="C746">
        <v>1</v>
      </c>
      <c r="D746">
        <v>0</v>
      </c>
      <c r="E746">
        <v>5</v>
      </c>
      <c r="F746" s="6">
        <v>52525.076000000001</v>
      </c>
      <c r="G746" s="6">
        <v>63555.341999999997</v>
      </c>
      <c r="H746" s="6">
        <f>IF(OR(F746&lt;=0,G746&lt;=0),"",ROUND(G746+F746*Uso!$B$5,Uso!$B$6))</f>
        <v>65131.093999999997</v>
      </c>
      <c r="I746" s="6">
        <f t="shared" si="11"/>
        <v>65131.093999999997</v>
      </c>
      <c r="J746" t="str">
        <f>IF(COUNTIF(Cruce!$A$5:$A$14,A746)&gt;0,"SKU de muestra","Regla extrapolada")</f>
        <v>Regla extrapolada</v>
      </c>
    </row>
    <row r="747" spans="1:10" ht="30" customHeight="1">
      <c r="A747" t="s">
        <v>1530</v>
      </c>
      <c r="B747" s="5" t="s">
        <v>1531</v>
      </c>
      <c r="C747">
        <v>1</v>
      </c>
      <c r="D747">
        <v>0</v>
      </c>
      <c r="E747">
        <v>5</v>
      </c>
      <c r="F747" s="6">
        <v>39998.14</v>
      </c>
      <c r="G747" s="6">
        <v>48397.749000000003</v>
      </c>
      <c r="H747" s="6">
        <f>IF(OR(F747&lt;=0,G747&lt;=0),"",ROUND(G747+F747*Uso!$B$5,Uso!$B$6))</f>
        <v>49597.692999999999</v>
      </c>
      <c r="I747" s="6">
        <f t="shared" si="11"/>
        <v>49597.692999999999</v>
      </c>
      <c r="J747" t="str">
        <f>IF(COUNTIF(Cruce!$A$5:$A$14,A747)&gt;0,"SKU de muestra","Regla extrapolada")</f>
        <v>Regla extrapolada</v>
      </c>
    </row>
    <row r="748" spans="1:10" ht="30" customHeight="1">
      <c r="A748" t="s">
        <v>1532</v>
      </c>
      <c r="B748" s="5" t="s">
        <v>1533</v>
      </c>
      <c r="C748">
        <v>1</v>
      </c>
      <c r="D748">
        <v>0</v>
      </c>
      <c r="E748">
        <v>5</v>
      </c>
      <c r="F748" s="6">
        <v>449150.46</v>
      </c>
      <c r="G748" s="6">
        <v>593288.527</v>
      </c>
      <c r="H748" s="6">
        <f>IF(OR(F748&lt;=0,G748&lt;=0),"",ROUND(G748+F748*Uso!$B$5,Uso!$B$6))</f>
        <v>606763.04099999997</v>
      </c>
      <c r="I748" s="6">
        <f t="shared" si="11"/>
        <v>606763.04099999997</v>
      </c>
      <c r="J748" t="str">
        <f>IF(COUNTIF(Cruce!$A$5:$A$14,A748)&gt;0,"SKU de muestra","Regla extrapolada")</f>
        <v>Regla extrapolada</v>
      </c>
    </row>
    <row r="749" spans="1:10" ht="30" customHeight="1">
      <c r="A749" t="s">
        <v>1534</v>
      </c>
      <c r="B749" s="5" t="s">
        <v>1535</v>
      </c>
      <c r="C749">
        <v>1</v>
      </c>
      <c r="D749">
        <v>0</v>
      </c>
      <c r="E749">
        <v>5</v>
      </c>
      <c r="F749" s="6">
        <v>39998.14</v>
      </c>
      <c r="G749" s="6">
        <v>48397.749000000003</v>
      </c>
      <c r="H749" s="6">
        <f>IF(OR(F749&lt;=0,G749&lt;=0),"",ROUND(G749+F749*Uso!$B$5,Uso!$B$6))</f>
        <v>49597.692999999999</v>
      </c>
      <c r="I749" s="6">
        <f t="shared" si="11"/>
        <v>49597.692999999999</v>
      </c>
      <c r="J749" t="str">
        <f>IF(COUNTIF(Cruce!$A$5:$A$14,A749)&gt;0,"SKU de muestra","Regla extrapolada")</f>
        <v>Regla extrapolada</v>
      </c>
    </row>
    <row r="750" spans="1:10" ht="30" customHeight="1">
      <c r="A750" t="s">
        <v>1536</v>
      </c>
      <c r="B750" s="5" t="s">
        <v>1537</v>
      </c>
      <c r="C750">
        <v>1</v>
      </c>
      <c r="D750">
        <v>0</v>
      </c>
      <c r="E750">
        <v>5</v>
      </c>
      <c r="F750" s="6">
        <v>52525.076000000001</v>
      </c>
      <c r="G750" s="6">
        <v>63555.341999999997</v>
      </c>
      <c r="H750" s="6">
        <f>IF(OR(F750&lt;=0,G750&lt;=0),"",ROUND(G750+F750*Uso!$B$5,Uso!$B$6))</f>
        <v>65131.093999999997</v>
      </c>
      <c r="I750" s="6">
        <f t="shared" si="11"/>
        <v>65131.093999999997</v>
      </c>
      <c r="J750" t="str">
        <f>IF(COUNTIF(Cruce!$A$5:$A$14,A750)&gt;0,"SKU de muestra","Regla extrapolada")</f>
        <v>Regla extrapolada</v>
      </c>
    </row>
    <row r="751" spans="1:10" ht="30" customHeight="1">
      <c r="A751" t="s">
        <v>1538</v>
      </c>
      <c r="B751" s="5" t="s">
        <v>1539</v>
      </c>
      <c r="C751">
        <v>1</v>
      </c>
      <c r="D751">
        <v>0</v>
      </c>
      <c r="E751">
        <v>5</v>
      </c>
      <c r="F751" s="6">
        <v>141499.209</v>
      </c>
      <c r="G751" s="6">
        <v>176103.641</v>
      </c>
      <c r="H751" s="6">
        <f>IF(OR(F751&lt;=0,G751&lt;=0),"",ROUND(G751+F751*Uso!$B$5,Uso!$B$6))</f>
        <v>180348.617</v>
      </c>
      <c r="I751" s="6">
        <f t="shared" si="11"/>
        <v>180348.617</v>
      </c>
      <c r="J751" t="str">
        <f>IF(COUNTIF(Cruce!$A$5:$A$14,A751)&gt;0,"SKU de muestra","Regla extrapolada")</f>
        <v>Regla extrapolada</v>
      </c>
    </row>
    <row r="752" spans="1:10" ht="30" customHeight="1">
      <c r="A752" t="s">
        <v>1540</v>
      </c>
      <c r="B752" s="5" t="s">
        <v>1541</v>
      </c>
      <c r="C752">
        <v>1</v>
      </c>
      <c r="D752">
        <v>0</v>
      </c>
      <c r="E752">
        <v>5</v>
      </c>
      <c r="F752" s="6">
        <v>46705.656999999999</v>
      </c>
      <c r="G752" s="6">
        <v>62223.669000000002</v>
      </c>
      <c r="H752" s="6">
        <f>IF(OR(F752&lt;=0,G752&lt;=0),"",ROUND(G752+F752*Uso!$B$5,Uso!$B$6))</f>
        <v>63624.839</v>
      </c>
      <c r="I752" s="6">
        <f t="shared" si="11"/>
        <v>63624.839</v>
      </c>
      <c r="J752" t="str">
        <f>IF(COUNTIF(Cruce!$A$5:$A$14,A752)&gt;0,"SKU de muestra","Regla extrapolada")</f>
        <v>Regla extrapolada</v>
      </c>
    </row>
    <row r="753" spans="1:10" ht="30" customHeight="1">
      <c r="A753" t="s">
        <v>1542</v>
      </c>
      <c r="B753" s="5" t="s">
        <v>1543</v>
      </c>
      <c r="C753">
        <v>1</v>
      </c>
      <c r="D753">
        <v>0</v>
      </c>
      <c r="E753">
        <v>5</v>
      </c>
      <c r="F753" s="6">
        <v>648886.68000000005</v>
      </c>
      <c r="G753" s="6">
        <v>822277.79</v>
      </c>
      <c r="H753" s="6">
        <f>IF(OR(F753&lt;=0,G753&lt;=0),"",ROUND(G753+F753*Uso!$B$5,Uso!$B$6))</f>
        <v>841744.39</v>
      </c>
      <c r="I753" s="6">
        <f t="shared" si="11"/>
        <v>841744.39</v>
      </c>
      <c r="J753" t="str">
        <f>IF(COUNTIF(Cruce!$A$5:$A$14,A753)&gt;0,"SKU de muestra","Regla extrapolada")</f>
        <v>Regla extrapolada</v>
      </c>
    </row>
    <row r="754" spans="1:10" ht="30" customHeight="1">
      <c r="A754" t="s">
        <v>1544</v>
      </c>
      <c r="B754" s="5" t="s">
        <v>1545</v>
      </c>
      <c r="C754">
        <v>1</v>
      </c>
      <c r="D754">
        <v>0</v>
      </c>
      <c r="E754">
        <v>5</v>
      </c>
      <c r="F754" s="6">
        <v>21212.843000000001</v>
      </c>
      <c r="G754" s="6">
        <v>25667.54</v>
      </c>
      <c r="H754" s="6">
        <f>IF(OR(F754&lt;=0,G754&lt;=0),"",ROUND(G754+F754*Uso!$B$5,Uso!$B$6))</f>
        <v>26303.924999999999</v>
      </c>
      <c r="I754" s="6">
        <f t="shared" si="11"/>
        <v>26303.924999999999</v>
      </c>
      <c r="J754" t="str">
        <f>IF(COUNTIF(Cruce!$A$5:$A$14,A754)&gt;0,"SKU de muestra","Regla extrapolada")</f>
        <v>Regla extrapolada</v>
      </c>
    </row>
    <row r="755" spans="1:10" ht="30" customHeight="1">
      <c r="A755" t="s">
        <v>1546</v>
      </c>
      <c r="B755" s="5" t="s">
        <v>1547</v>
      </c>
      <c r="C755">
        <v>1</v>
      </c>
      <c r="D755">
        <v>0</v>
      </c>
      <c r="E755">
        <v>5</v>
      </c>
      <c r="F755" s="6">
        <v>11753.315000000001</v>
      </c>
      <c r="G755" s="6">
        <v>14580.396000000001</v>
      </c>
      <c r="H755" s="6">
        <f>IF(OR(F755&lt;=0,G755&lt;=0),"",ROUND(G755+F755*Uso!$B$5,Uso!$B$6))</f>
        <v>14932.995000000001</v>
      </c>
      <c r="I755" s="6">
        <f t="shared" si="11"/>
        <v>14932.995000000001</v>
      </c>
      <c r="J755" t="str">
        <f>IF(COUNTIF(Cruce!$A$5:$A$14,A755)&gt;0,"SKU de muestra","Regla extrapolada")</f>
        <v>Regla extrapolada</v>
      </c>
    </row>
    <row r="756" spans="1:10" ht="30" customHeight="1">
      <c r="A756" t="s">
        <v>1548</v>
      </c>
      <c r="B756" s="5" t="s">
        <v>1549</v>
      </c>
      <c r="C756">
        <v>1</v>
      </c>
      <c r="D756">
        <v>0</v>
      </c>
      <c r="E756">
        <v>5</v>
      </c>
      <c r="F756" s="6">
        <v>29909.167000000001</v>
      </c>
      <c r="G756" s="6">
        <v>36747.409</v>
      </c>
      <c r="H756" s="6">
        <f>IF(OR(F756&lt;=0,G756&lt;=0),"",ROUND(G756+F756*Uso!$B$5,Uso!$B$6))</f>
        <v>37644.684000000001</v>
      </c>
      <c r="I756" s="6">
        <f t="shared" si="11"/>
        <v>37644.684000000001</v>
      </c>
      <c r="J756" t="str">
        <f>IF(COUNTIF(Cruce!$A$5:$A$14,A756)&gt;0,"SKU de muestra","Regla extrapolada")</f>
        <v>Regla extrapolada</v>
      </c>
    </row>
    <row r="757" spans="1:10" ht="30" customHeight="1">
      <c r="A757" t="s">
        <v>1550</v>
      </c>
      <c r="B757" s="5" t="s">
        <v>1551</v>
      </c>
      <c r="C757">
        <v>1</v>
      </c>
      <c r="D757">
        <v>0</v>
      </c>
      <c r="E757">
        <v>5</v>
      </c>
      <c r="F757" s="6">
        <v>123915.054</v>
      </c>
      <c r="G757" s="6">
        <v>149937.21599999999</v>
      </c>
      <c r="H757" s="6">
        <f>IF(OR(F757&lt;=0,G757&lt;=0),"",ROUND(G757+F757*Uso!$B$5,Uso!$B$6))</f>
        <v>153654.66800000001</v>
      </c>
      <c r="I757" s="6">
        <f t="shared" si="11"/>
        <v>153654.66800000001</v>
      </c>
      <c r="J757" t="str">
        <f>IF(COUNTIF(Cruce!$A$5:$A$14,A757)&gt;0,"SKU de muestra","Regla extrapolada")</f>
        <v>Regla extrapolada</v>
      </c>
    </row>
    <row r="758" spans="1:10" ht="30" customHeight="1">
      <c r="A758" t="s">
        <v>1552</v>
      </c>
      <c r="B758" s="5" t="s">
        <v>1553</v>
      </c>
      <c r="C758">
        <v>1</v>
      </c>
      <c r="D758">
        <v>0</v>
      </c>
      <c r="E758">
        <v>5</v>
      </c>
      <c r="F758" s="6">
        <v>36294.262000000002</v>
      </c>
      <c r="G758" s="6">
        <v>45782.214</v>
      </c>
      <c r="H758" s="6">
        <f>IF(OR(F758&lt;=0,G758&lt;=0),"",ROUND(G758+F758*Uso!$B$5,Uso!$B$6))</f>
        <v>46871.042000000001</v>
      </c>
      <c r="I758" s="6">
        <f t="shared" si="11"/>
        <v>46871.042000000001</v>
      </c>
      <c r="J758" t="str">
        <f>IF(COUNTIF(Cruce!$A$5:$A$14,A758)&gt;0,"SKU de muestra","Regla extrapolada")</f>
        <v>Regla extrapolada</v>
      </c>
    </row>
    <row r="759" spans="1:10" ht="30" customHeight="1">
      <c r="A759" t="s">
        <v>1554</v>
      </c>
      <c r="B759" s="5" t="s">
        <v>1555</v>
      </c>
      <c r="C759">
        <v>1</v>
      </c>
      <c r="D759">
        <v>0</v>
      </c>
      <c r="E759">
        <v>5</v>
      </c>
      <c r="F759" s="6">
        <v>29528.232</v>
      </c>
      <c r="G759" s="6">
        <v>35729.161</v>
      </c>
      <c r="H759" s="6">
        <f>IF(OR(F759&lt;=0,G759&lt;=0),"",ROUND(G759+F759*Uso!$B$5,Uso!$B$6))</f>
        <v>36615.008000000002</v>
      </c>
      <c r="I759" s="6">
        <f t="shared" si="11"/>
        <v>36615.008000000002</v>
      </c>
      <c r="J759" t="str">
        <f>IF(COUNTIF(Cruce!$A$5:$A$14,A759)&gt;0,"SKU de muestra","Regla extrapolada")</f>
        <v>Regla extrapolada</v>
      </c>
    </row>
    <row r="760" spans="1:10" ht="30" customHeight="1">
      <c r="A760" t="s">
        <v>1556</v>
      </c>
      <c r="B760" s="5" t="s">
        <v>1557</v>
      </c>
      <c r="C760">
        <v>1</v>
      </c>
      <c r="D760">
        <v>0</v>
      </c>
      <c r="E760">
        <v>5</v>
      </c>
      <c r="F760" s="6">
        <v>404679.17300000001</v>
      </c>
      <c r="G760" s="6">
        <v>538985.924</v>
      </c>
      <c r="H760" s="6">
        <f>IF(OR(F760&lt;=0,G760&lt;=0),"",ROUND(G760+F760*Uso!$B$5,Uso!$B$6))</f>
        <v>551126.299</v>
      </c>
      <c r="I760" s="6">
        <f t="shared" si="11"/>
        <v>551126.299</v>
      </c>
      <c r="J760" t="str">
        <f>IF(COUNTIF(Cruce!$A$5:$A$14,A760)&gt;0,"SKU de muestra","Regla extrapolada")</f>
        <v>Regla extrapolada</v>
      </c>
    </row>
    <row r="761" spans="1:10" ht="30" customHeight="1">
      <c r="A761" t="s">
        <v>1558</v>
      </c>
      <c r="B761" s="5" t="s">
        <v>1559</v>
      </c>
      <c r="C761">
        <v>1</v>
      </c>
      <c r="D761">
        <v>0</v>
      </c>
      <c r="E761">
        <v>5</v>
      </c>
      <c r="F761" s="6">
        <v>126593.133</v>
      </c>
      <c r="G761" s="6">
        <v>159434.93299999999</v>
      </c>
      <c r="H761" s="6">
        <f>IF(OR(F761&lt;=0,G761&lt;=0),"",ROUND(G761+F761*Uso!$B$5,Uso!$B$6))</f>
        <v>163232.72700000001</v>
      </c>
      <c r="I761" s="6">
        <f t="shared" si="11"/>
        <v>163232.72700000001</v>
      </c>
      <c r="J761" t="str">
        <f>IF(COUNTIF(Cruce!$A$5:$A$14,A761)&gt;0,"SKU de muestra","Regla extrapolada")</f>
        <v>Regla extrapolada</v>
      </c>
    </row>
    <row r="762" spans="1:10" ht="30" customHeight="1">
      <c r="A762" t="s">
        <v>1560</v>
      </c>
      <c r="B762" s="5" t="s">
        <v>1383</v>
      </c>
      <c r="C762">
        <v>1</v>
      </c>
      <c r="D762">
        <v>0</v>
      </c>
      <c r="E762">
        <v>5</v>
      </c>
      <c r="F762" s="6">
        <v>25020.669000000002</v>
      </c>
      <c r="G762" s="6">
        <v>31646.83</v>
      </c>
      <c r="H762" s="6">
        <f>IF(OR(F762&lt;=0,G762&lt;=0),"",ROUND(G762+F762*Uso!$B$5,Uso!$B$6))</f>
        <v>32397.45</v>
      </c>
      <c r="I762" s="6">
        <f t="shared" si="11"/>
        <v>32397.45</v>
      </c>
      <c r="J762" t="str">
        <f>IF(COUNTIF(Cruce!$A$5:$A$14,A762)&gt;0,"SKU de muestra","Regla extrapolada")</f>
        <v>Regla extrapolada</v>
      </c>
    </row>
    <row r="763" spans="1:10" ht="30" customHeight="1">
      <c r="A763" t="s">
        <v>1561</v>
      </c>
      <c r="B763" s="5" t="s">
        <v>1562</v>
      </c>
      <c r="C763">
        <v>1</v>
      </c>
      <c r="D763">
        <v>0</v>
      </c>
      <c r="E763">
        <v>5</v>
      </c>
      <c r="F763" s="6">
        <v>48600.525999999998</v>
      </c>
      <c r="G763" s="6">
        <v>64848.500999999997</v>
      </c>
      <c r="H763" s="6">
        <f>IF(OR(F763&lt;=0,G763&lt;=0),"",ROUND(G763+F763*Uso!$B$5,Uso!$B$6))</f>
        <v>66306.517000000007</v>
      </c>
      <c r="I763" s="6">
        <f t="shared" si="11"/>
        <v>66306.517000000007</v>
      </c>
      <c r="J763" t="str">
        <f>IF(COUNTIF(Cruce!$A$5:$A$14,A763)&gt;0,"SKU de muestra","Regla extrapolada")</f>
        <v>Regla extrapolada</v>
      </c>
    </row>
    <row r="764" spans="1:10" ht="30" customHeight="1">
      <c r="A764" t="s">
        <v>1563</v>
      </c>
      <c r="B764" s="5" t="s">
        <v>1564</v>
      </c>
      <c r="C764">
        <v>1</v>
      </c>
      <c r="D764">
        <v>0</v>
      </c>
      <c r="E764">
        <v>5</v>
      </c>
      <c r="F764" s="6">
        <v>512241.54700000002</v>
      </c>
      <c r="G764" s="6">
        <v>683533.65599999996</v>
      </c>
      <c r="H764" s="6">
        <f>IF(OR(F764&lt;=0,G764&lt;=0),"",ROUND(G764+F764*Uso!$B$5,Uso!$B$6))</f>
        <v>698900.902</v>
      </c>
      <c r="I764" s="6">
        <f t="shared" si="11"/>
        <v>698900.902</v>
      </c>
      <c r="J764" t="str">
        <f>IF(COUNTIF(Cruce!$A$5:$A$14,A764)&gt;0,"SKU de muestra","Regla extrapolada")</f>
        <v>Regla extrapolada</v>
      </c>
    </row>
    <row r="765" spans="1:10" ht="30" customHeight="1">
      <c r="A765" t="s">
        <v>1565</v>
      </c>
      <c r="B765" s="5" t="s">
        <v>1566</v>
      </c>
      <c r="C765">
        <v>1</v>
      </c>
      <c r="D765">
        <v>0</v>
      </c>
      <c r="E765">
        <v>5</v>
      </c>
      <c r="F765" s="6">
        <v>32895.925000000003</v>
      </c>
      <c r="G765" s="6">
        <v>41532.906000000003</v>
      </c>
      <c r="H765" s="6">
        <f>IF(OR(F765&lt;=0,G765&lt;=0),"",ROUND(G765+F765*Uso!$B$5,Uso!$B$6))</f>
        <v>42519.784</v>
      </c>
      <c r="I765" s="6">
        <f t="shared" si="11"/>
        <v>42519.784</v>
      </c>
      <c r="J765" t="str">
        <f>IF(COUNTIF(Cruce!$A$5:$A$14,A765)&gt;0,"SKU de muestra","Regla extrapolada")</f>
        <v>Regla extrapolada</v>
      </c>
    </row>
    <row r="766" spans="1:10" ht="30" customHeight="1">
      <c r="A766" t="s">
        <v>1567</v>
      </c>
      <c r="B766" s="5" t="s">
        <v>1568</v>
      </c>
      <c r="C766">
        <v>1</v>
      </c>
      <c r="D766">
        <v>0</v>
      </c>
      <c r="E766">
        <v>5</v>
      </c>
      <c r="F766" s="6">
        <v>21222.644</v>
      </c>
      <c r="G766" s="6">
        <v>27175.469000000001</v>
      </c>
      <c r="H766" s="6">
        <f>IF(OR(F766&lt;=0,G766&lt;=0),"",ROUND(G766+F766*Uso!$B$5,Uso!$B$6))</f>
        <v>27812.148000000001</v>
      </c>
      <c r="I766" s="6">
        <f t="shared" si="11"/>
        <v>27812.148000000001</v>
      </c>
      <c r="J766" t="str">
        <f>IF(COUNTIF(Cruce!$A$5:$A$14,A766)&gt;0,"SKU de muestra","Regla extrapolada")</f>
        <v>Regla extrapolada</v>
      </c>
    </row>
    <row r="767" spans="1:10" ht="30" customHeight="1">
      <c r="A767" t="s">
        <v>1569</v>
      </c>
      <c r="B767" s="5" t="s">
        <v>1570</v>
      </c>
      <c r="C767">
        <v>1</v>
      </c>
      <c r="D767">
        <v>0</v>
      </c>
      <c r="E767">
        <v>5</v>
      </c>
      <c r="F767" s="6">
        <v>26400.79</v>
      </c>
      <c r="G767" s="6">
        <v>31944.955999999998</v>
      </c>
      <c r="H767" s="6">
        <f>IF(OR(F767&lt;=0,G767&lt;=0),"",ROUND(G767+F767*Uso!$B$5,Uso!$B$6))</f>
        <v>32736.98</v>
      </c>
      <c r="I767" s="6">
        <f t="shared" si="11"/>
        <v>32736.98</v>
      </c>
      <c r="J767" t="str">
        <f>IF(COUNTIF(Cruce!$A$5:$A$14,A767)&gt;0,"SKU de muestra","Regla extrapolada")</f>
        <v>Regla extrapolada</v>
      </c>
    </row>
    <row r="768" spans="1:10" ht="30" customHeight="1">
      <c r="A768" t="s">
        <v>1571</v>
      </c>
      <c r="B768" s="5" t="s">
        <v>1572</v>
      </c>
      <c r="C768">
        <v>1</v>
      </c>
      <c r="D768">
        <v>0</v>
      </c>
      <c r="E768">
        <v>5</v>
      </c>
      <c r="F768" s="6">
        <v>29353.01</v>
      </c>
      <c r="G768" s="6">
        <v>36702.589</v>
      </c>
      <c r="H768" s="6">
        <f>IF(OR(F768&lt;=0,G768&lt;=0),"",ROUND(G768+F768*Uso!$B$5,Uso!$B$6))</f>
        <v>37583.178999999996</v>
      </c>
      <c r="I768" s="6">
        <f t="shared" si="11"/>
        <v>37583.178999999996</v>
      </c>
      <c r="J768" t="str">
        <f>IF(COUNTIF(Cruce!$A$5:$A$14,A768)&gt;0,"SKU de muestra","Regla extrapolada")</f>
        <v>Regla extrapolada</v>
      </c>
    </row>
    <row r="769" spans="1:10" ht="30" customHeight="1">
      <c r="A769" t="s">
        <v>1573</v>
      </c>
      <c r="B769" s="5" t="s">
        <v>1574</v>
      </c>
      <c r="C769">
        <v>1</v>
      </c>
      <c r="D769">
        <v>0</v>
      </c>
      <c r="E769">
        <v>5</v>
      </c>
      <c r="F769" s="6">
        <v>245343.989</v>
      </c>
      <c r="G769" s="6">
        <v>326635.91100000002</v>
      </c>
      <c r="H769" s="6">
        <f>IF(OR(F769&lt;=0,G769&lt;=0),"",ROUND(G769+F769*Uso!$B$5,Uso!$B$6))</f>
        <v>333996.23100000003</v>
      </c>
      <c r="I769" s="6">
        <f t="shared" si="11"/>
        <v>333996.23100000003</v>
      </c>
      <c r="J769" t="str">
        <f>IF(COUNTIF(Cruce!$A$5:$A$14,A769)&gt;0,"SKU de muestra","Regla extrapolada")</f>
        <v>Regla extrapolada</v>
      </c>
    </row>
    <row r="770" spans="1:10" ht="30" customHeight="1">
      <c r="A770" t="s">
        <v>1575</v>
      </c>
      <c r="B770" s="5" t="s">
        <v>1576</v>
      </c>
      <c r="C770">
        <v>1</v>
      </c>
      <c r="D770">
        <v>0</v>
      </c>
      <c r="E770">
        <v>5</v>
      </c>
      <c r="F770" s="6">
        <v>52879.396000000001</v>
      </c>
      <c r="G770" s="6">
        <v>69982.422000000006</v>
      </c>
      <c r="H770" s="6">
        <f>IF(OR(F770&lt;=0,G770&lt;=0),"",ROUND(G770+F770*Uso!$B$5,Uso!$B$6))</f>
        <v>71568.804000000004</v>
      </c>
      <c r="I770" s="6">
        <f t="shared" si="11"/>
        <v>71568.804000000004</v>
      </c>
      <c r="J770" t="str">
        <f>IF(COUNTIF(Cruce!$A$5:$A$14,A770)&gt;0,"SKU de muestra","Regla extrapolada")</f>
        <v>Regla extrapolada</v>
      </c>
    </row>
    <row r="771" spans="1:10" ht="30" customHeight="1">
      <c r="A771" t="s">
        <v>1577</v>
      </c>
      <c r="B771" s="5" t="s">
        <v>1578</v>
      </c>
      <c r="C771">
        <v>1</v>
      </c>
      <c r="D771">
        <v>0</v>
      </c>
      <c r="E771">
        <v>5</v>
      </c>
      <c r="F771" s="6">
        <v>66502.762000000002</v>
      </c>
      <c r="G771" s="6">
        <v>88228.697</v>
      </c>
      <c r="H771" s="6">
        <f>IF(OR(F771&lt;=0,G771&lt;=0),"",ROUND(G771+F771*Uso!$B$5,Uso!$B$6))</f>
        <v>90223.78</v>
      </c>
      <c r="I771" s="6">
        <f t="shared" si="11"/>
        <v>90223.78</v>
      </c>
      <c r="J771" t="str">
        <f>IF(COUNTIF(Cruce!$A$5:$A$14,A771)&gt;0,"SKU de muestra","Regla extrapolada")</f>
        <v>Regla extrapolada</v>
      </c>
    </row>
    <row r="772" spans="1:10" ht="30" customHeight="1">
      <c r="A772" t="s">
        <v>1579</v>
      </c>
      <c r="B772" s="5" t="s">
        <v>1580</v>
      </c>
      <c r="C772">
        <v>1</v>
      </c>
      <c r="D772">
        <v>0</v>
      </c>
      <c r="E772">
        <v>5</v>
      </c>
      <c r="F772" s="6">
        <v>175901.47899999999</v>
      </c>
      <c r="G772" s="6">
        <v>234227.52</v>
      </c>
      <c r="H772" s="6">
        <f>IF(OR(F772&lt;=0,G772&lt;=0),"",ROUND(G772+F772*Uso!$B$5,Uso!$B$6))</f>
        <v>239504.56400000001</v>
      </c>
      <c r="I772" s="6">
        <f t="shared" si="11"/>
        <v>239504.56400000001</v>
      </c>
      <c r="J772" t="str">
        <f>IF(COUNTIF(Cruce!$A$5:$A$14,A772)&gt;0,"SKU de muestra","Regla extrapolada")</f>
        <v>Regla extrapolada</v>
      </c>
    </row>
    <row r="773" spans="1:10" ht="30" customHeight="1">
      <c r="A773" t="s">
        <v>1581</v>
      </c>
      <c r="B773" s="5" t="s">
        <v>1582</v>
      </c>
      <c r="C773">
        <v>1</v>
      </c>
      <c r="D773">
        <v>0</v>
      </c>
      <c r="E773">
        <v>5</v>
      </c>
      <c r="F773" s="6">
        <v>109821.761</v>
      </c>
      <c r="G773" s="6">
        <v>146234.353</v>
      </c>
      <c r="H773" s="6">
        <f>IF(OR(F773&lt;=0,G773&lt;=0),"",ROUND(G773+F773*Uso!$B$5,Uso!$B$6))</f>
        <v>149529.00599999999</v>
      </c>
      <c r="I773" s="6">
        <f t="shared" ref="I773:I836" si="12">IF(OR(H773="",C773&lt;=0),"",H773/C773)</f>
        <v>149529.00599999999</v>
      </c>
      <c r="J773" t="str">
        <f>IF(COUNTIF(Cruce!$A$5:$A$14,A773)&gt;0,"SKU de muestra","Regla extrapolada")</f>
        <v>Regla extrapolada</v>
      </c>
    </row>
    <row r="774" spans="1:10" ht="30" customHeight="1">
      <c r="A774" t="s">
        <v>1583</v>
      </c>
      <c r="B774" s="5" t="s">
        <v>1584</v>
      </c>
      <c r="C774">
        <v>1</v>
      </c>
      <c r="D774">
        <v>0</v>
      </c>
      <c r="E774">
        <v>5</v>
      </c>
      <c r="F774" s="6">
        <v>27298.493999999999</v>
      </c>
      <c r="G774" s="6">
        <v>33389.082000000002</v>
      </c>
      <c r="H774" s="6">
        <f>IF(OR(F774&lt;=0,G774&lt;=0),"",ROUND(G774+F774*Uso!$B$5,Uso!$B$6))</f>
        <v>34208.036999999997</v>
      </c>
      <c r="I774" s="6">
        <f t="shared" si="12"/>
        <v>34208.036999999997</v>
      </c>
      <c r="J774" t="str">
        <f>IF(COUNTIF(Cruce!$A$5:$A$14,A774)&gt;0,"SKU de muestra","Regla extrapolada")</f>
        <v>Regla extrapolada</v>
      </c>
    </row>
    <row r="775" spans="1:10" ht="30" customHeight="1">
      <c r="A775" t="s">
        <v>1585</v>
      </c>
      <c r="B775" s="5" t="s">
        <v>1586</v>
      </c>
      <c r="C775">
        <v>1</v>
      </c>
      <c r="D775">
        <v>0</v>
      </c>
      <c r="E775">
        <v>5</v>
      </c>
      <c r="F775" s="6">
        <v>35453.591999999997</v>
      </c>
      <c r="G775" s="6">
        <v>42898.845999999998</v>
      </c>
      <c r="H775" s="6">
        <f>IF(OR(F775&lt;=0,G775&lt;=0),"",ROUND(G775+F775*Uso!$B$5,Uso!$B$6))</f>
        <v>43962.453999999998</v>
      </c>
      <c r="I775" s="6">
        <f t="shared" si="12"/>
        <v>43962.453999999998</v>
      </c>
      <c r="J775" t="str">
        <f>IF(COUNTIF(Cruce!$A$5:$A$14,A775)&gt;0,"SKU de muestra","Regla extrapolada")</f>
        <v>Regla extrapolada</v>
      </c>
    </row>
    <row r="776" spans="1:10" ht="30" customHeight="1">
      <c r="A776" t="s">
        <v>1587</v>
      </c>
      <c r="B776" s="5" t="s">
        <v>1588</v>
      </c>
      <c r="C776">
        <v>1</v>
      </c>
      <c r="D776">
        <v>0</v>
      </c>
      <c r="E776">
        <v>5</v>
      </c>
      <c r="F776" s="6">
        <v>27053.644</v>
      </c>
      <c r="G776" s="6">
        <v>32734.909</v>
      </c>
      <c r="H776" s="6">
        <f>IF(OR(F776&lt;=0,G776&lt;=0),"",ROUND(G776+F776*Uso!$B$5,Uso!$B$6))</f>
        <v>33546.517999999996</v>
      </c>
      <c r="I776" s="6">
        <f t="shared" si="12"/>
        <v>33546.517999999996</v>
      </c>
      <c r="J776" t="str">
        <f>IF(COUNTIF(Cruce!$A$5:$A$14,A776)&gt;0,"SKU de muestra","Regla extrapolada")</f>
        <v>Regla extrapolada</v>
      </c>
    </row>
    <row r="777" spans="1:10" ht="30" customHeight="1">
      <c r="A777" t="s">
        <v>1589</v>
      </c>
      <c r="B777" s="5" t="s">
        <v>1590</v>
      </c>
      <c r="C777">
        <v>1</v>
      </c>
      <c r="D777">
        <v>0</v>
      </c>
      <c r="E777">
        <v>5</v>
      </c>
      <c r="F777" s="6">
        <v>44474.978999999999</v>
      </c>
      <c r="G777" s="6">
        <v>59241.031999999999</v>
      </c>
      <c r="H777" s="6">
        <f>IF(OR(F777&lt;=0,G777&lt;=0),"",ROUND(G777+F777*Uso!$B$5,Uso!$B$6))</f>
        <v>60575.281000000003</v>
      </c>
      <c r="I777" s="6">
        <f t="shared" si="12"/>
        <v>60575.281000000003</v>
      </c>
      <c r="J777" t="str">
        <f>IF(COUNTIF(Cruce!$A$5:$A$14,A777)&gt;0,"SKU de muestra","Regla extrapolada")</f>
        <v>Regla extrapolada</v>
      </c>
    </row>
    <row r="778" spans="1:10" ht="30" customHeight="1">
      <c r="A778" t="s">
        <v>1591</v>
      </c>
      <c r="B778" s="5" t="s">
        <v>1592</v>
      </c>
      <c r="C778">
        <v>1</v>
      </c>
      <c r="D778">
        <v>0</v>
      </c>
      <c r="E778">
        <v>5</v>
      </c>
      <c r="F778" s="6">
        <v>24470.83</v>
      </c>
      <c r="G778" s="6">
        <v>29609.704000000002</v>
      </c>
      <c r="H778" s="6">
        <f>IF(OR(F778&lt;=0,G778&lt;=0),"",ROUND(G778+F778*Uso!$B$5,Uso!$B$6))</f>
        <v>30343.829000000002</v>
      </c>
      <c r="I778" s="6">
        <f t="shared" si="12"/>
        <v>30343.829000000002</v>
      </c>
      <c r="J778" t="str">
        <f>IF(COUNTIF(Cruce!$A$5:$A$14,A778)&gt;0,"SKU de muestra","Regla extrapolada")</f>
        <v>Regla extrapolada</v>
      </c>
    </row>
    <row r="779" spans="1:10" ht="30" customHeight="1">
      <c r="A779" t="s">
        <v>1593</v>
      </c>
      <c r="B779" s="5" t="s">
        <v>1594</v>
      </c>
      <c r="C779">
        <v>1</v>
      </c>
      <c r="D779">
        <v>0</v>
      </c>
      <c r="E779">
        <v>5</v>
      </c>
      <c r="F779" s="6">
        <v>25079.63</v>
      </c>
      <c r="G779" s="6">
        <v>30346.352999999999</v>
      </c>
      <c r="H779" s="6">
        <f>IF(OR(F779&lt;=0,G779&lt;=0),"",ROUND(G779+F779*Uso!$B$5,Uso!$B$6))</f>
        <v>31098.741999999998</v>
      </c>
      <c r="I779" s="6">
        <f t="shared" si="12"/>
        <v>31098.741999999998</v>
      </c>
      <c r="J779" t="str">
        <f>IF(COUNTIF(Cruce!$A$5:$A$14,A779)&gt;0,"SKU de muestra","Regla extrapolada")</f>
        <v>Regla extrapolada</v>
      </c>
    </row>
    <row r="780" spans="1:10" ht="30" customHeight="1">
      <c r="A780" t="s">
        <v>1595</v>
      </c>
      <c r="B780" s="5" t="s">
        <v>1590</v>
      </c>
      <c r="C780">
        <v>1</v>
      </c>
      <c r="D780">
        <v>0</v>
      </c>
      <c r="E780">
        <v>5</v>
      </c>
      <c r="F780" s="6">
        <v>45777.607000000004</v>
      </c>
      <c r="G780" s="6">
        <v>60964.997000000003</v>
      </c>
      <c r="H780" s="6">
        <f>IF(OR(F780&lt;=0,G780&lt;=0),"",ROUND(G780+F780*Uso!$B$5,Uso!$B$6))</f>
        <v>62338.324999999997</v>
      </c>
      <c r="I780" s="6">
        <f t="shared" si="12"/>
        <v>62338.324999999997</v>
      </c>
      <c r="J780" t="str">
        <f>IF(COUNTIF(Cruce!$A$5:$A$14,A780)&gt;0,"SKU de muestra","Regla extrapolada")</f>
        <v>Regla extrapolada</v>
      </c>
    </row>
    <row r="781" spans="1:10" ht="30" customHeight="1">
      <c r="A781" t="s">
        <v>1596</v>
      </c>
      <c r="B781" s="5" t="s">
        <v>1597</v>
      </c>
      <c r="C781">
        <v>1</v>
      </c>
      <c r="D781">
        <v>0</v>
      </c>
      <c r="E781">
        <v>5</v>
      </c>
      <c r="F781" s="6">
        <v>45777.607000000004</v>
      </c>
      <c r="G781" s="6">
        <v>60964.997000000003</v>
      </c>
      <c r="H781" s="6">
        <f>IF(OR(F781&lt;=0,G781&lt;=0),"",ROUND(G781+F781*Uso!$B$5,Uso!$B$6))</f>
        <v>62338.324999999997</v>
      </c>
      <c r="I781" s="6">
        <f t="shared" si="12"/>
        <v>62338.324999999997</v>
      </c>
      <c r="J781" t="str">
        <f>IF(COUNTIF(Cruce!$A$5:$A$14,A781)&gt;0,"SKU de muestra","Regla extrapolada")</f>
        <v>Regla extrapolada</v>
      </c>
    </row>
    <row r="782" spans="1:10" ht="30" customHeight="1">
      <c r="A782" t="s">
        <v>1598</v>
      </c>
      <c r="B782" s="5" t="s">
        <v>1599</v>
      </c>
      <c r="C782">
        <v>1</v>
      </c>
      <c r="D782">
        <v>0</v>
      </c>
      <c r="E782">
        <v>5</v>
      </c>
      <c r="F782" s="6">
        <v>78350.297999999995</v>
      </c>
      <c r="G782" s="6">
        <v>99690.078999999998</v>
      </c>
      <c r="H782" s="6">
        <f>IF(OR(F782&lt;=0,G782&lt;=0),"",ROUND(G782+F782*Uso!$B$5,Uso!$B$6))</f>
        <v>102040.588</v>
      </c>
      <c r="I782" s="6">
        <f t="shared" si="12"/>
        <v>102040.588</v>
      </c>
      <c r="J782" t="str">
        <f>IF(COUNTIF(Cruce!$A$5:$A$14,A782)&gt;0,"SKU de muestra","Regla extrapolada")</f>
        <v>Regla extrapolada</v>
      </c>
    </row>
    <row r="783" spans="1:10" ht="30" customHeight="1">
      <c r="A783" t="s">
        <v>1600</v>
      </c>
      <c r="B783" s="5" t="s">
        <v>1601</v>
      </c>
      <c r="C783">
        <v>1</v>
      </c>
      <c r="D783">
        <v>0</v>
      </c>
      <c r="E783">
        <v>5</v>
      </c>
      <c r="F783" s="6">
        <v>24558.952000000001</v>
      </c>
      <c r="G783" s="6">
        <v>30425.294999999998</v>
      </c>
      <c r="H783" s="6">
        <f>IF(OR(F783&lt;=0,G783&lt;=0),"",ROUND(G783+F783*Uso!$B$5,Uso!$B$6))</f>
        <v>31162.063999999998</v>
      </c>
      <c r="I783" s="6">
        <f t="shared" si="12"/>
        <v>31162.063999999998</v>
      </c>
      <c r="J783" t="str">
        <f>IF(COUNTIF(Cruce!$A$5:$A$14,A783)&gt;0,"SKU de muestra","Regla extrapolada")</f>
        <v>Regla extrapolada</v>
      </c>
    </row>
    <row r="784" spans="1:10" ht="30" customHeight="1">
      <c r="A784" t="s">
        <v>1602</v>
      </c>
      <c r="B784" s="5" t="s">
        <v>1603</v>
      </c>
      <c r="C784">
        <v>1</v>
      </c>
      <c r="D784">
        <v>0</v>
      </c>
      <c r="E784">
        <v>5</v>
      </c>
      <c r="F784" s="6">
        <v>35742.608</v>
      </c>
      <c r="G784" s="6">
        <v>43248.555999999997</v>
      </c>
      <c r="H784" s="6">
        <f>IF(OR(F784&lt;=0,G784&lt;=0),"",ROUND(G784+F784*Uso!$B$5,Uso!$B$6))</f>
        <v>44320.834000000003</v>
      </c>
      <c r="I784" s="6">
        <f t="shared" si="12"/>
        <v>44320.834000000003</v>
      </c>
      <c r="J784" t="str">
        <f>IF(COUNTIF(Cruce!$A$5:$A$14,A784)&gt;0,"SKU de muestra","Regla extrapolada")</f>
        <v>Regla extrapolada</v>
      </c>
    </row>
    <row r="785" spans="1:10" ht="30" customHeight="1">
      <c r="A785" t="s">
        <v>1604</v>
      </c>
      <c r="B785" s="5" t="s">
        <v>1605</v>
      </c>
      <c r="C785">
        <v>1</v>
      </c>
      <c r="D785">
        <v>0</v>
      </c>
      <c r="E785">
        <v>5</v>
      </c>
      <c r="F785" s="6">
        <v>66355.467000000004</v>
      </c>
      <c r="G785" s="6">
        <v>80290.115000000005</v>
      </c>
      <c r="H785" s="6">
        <f>IF(OR(F785&lt;=0,G785&lt;=0),"",ROUND(G785+F785*Uso!$B$5,Uso!$B$6))</f>
        <v>82280.778999999995</v>
      </c>
      <c r="I785" s="6">
        <f t="shared" si="12"/>
        <v>82280.778999999995</v>
      </c>
      <c r="J785" t="str">
        <f>IF(COUNTIF(Cruce!$A$5:$A$14,A785)&gt;0,"SKU de muestra","Regla extrapolada")</f>
        <v>Regla extrapolada</v>
      </c>
    </row>
    <row r="786" spans="1:10" ht="30" customHeight="1">
      <c r="A786" t="s">
        <v>1606</v>
      </c>
      <c r="B786" s="5" t="s">
        <v>1607</v>
      </c>
      <c r="C786">
        <v>1</v>
      </c>
      <c r="D786">
        <v>0</v>
      </c>
      <c r="E786">
        <v>5</v>
      </c>
      <c r="F786" s="6">
        <v>44827.171999999999</v>
      </c>
      <c r="G786" s="6">
        <v>56367.212</v>
      </c>
      <c r="H786" s="6">
        <f>IF(OR(F786&lt;=0,G786&lt;=0),"",ROUND(G786+F786*Uso!$B$5,Uso!$B$6))</f>
        <v>57712.027000000002</v>
      </c>
      <c r="I786" s="6">
        <f t="shared" si="12"/>
        <v>57712.027000000002</v>
      </c>
      <c r="J786" t="str">
        <f>IF(COUNTIF(Cruce!$A$5:$A$14,A786)&gt;0,"SKU de muestra","Regla extrapolada")</f>
        <v>Regla extrapolada</v>
      </c>
    </row>
    <row r="787" spans="1:10" ht="30" customHeight="1">
      <c r="A787" t="s">
        <v>1608</v>
      </c>
      <c r="B787" s="5" t="s">
        <v>1609</v>
      </c>
      <c r="C787">
        <v>1</v>
      </c>
      <c r="D787">
        <v>0</v>
      </c>
      <c r="E787">
        <v>5</v>
      </c>
      <c r="F787" s="6">
        <v>114092.546</v>
      </c>
      <c r="G787" s="6">
        <v>144256.49600000001</v>
      </c>
      <c r="H787" s="6">
        <f>IF(OR(F787&lt;=0,G787&lt;=0),"",ROUND(G787+F787*Uso!$B$5,Uso!$B$6))</f>
        <v>147679.272</v>
      </c>
      <c r="I787" s="6">
        <f t="shared" si="12"/>
        <v>147679.272</v>
      </c>
      <c r="J787" t="str">
        <f>IF(COUNTIF(Cruce!$A$5:$A$14,A787)&gt;0,"SKU de muestra","Regla extrapolada")</f>
        <v>Regla extrapolada</v>
      </c>
    </row>
    <row r="788" spans="1:10" ht="30" customHeight="1">
      <c r="A788" t="s">
        <v>1610</v>
      </c>
      <c r="B788" s="5" t="s">
        <v>1611</v>
      </c>
      <c r="C788">
        <v>1</v>
      </c>
      <c r="D788">
        <v>0</v>
      </c>
      <c r="E788">
        <v>5</v>
      </c>
      <c r="F788" s="6">
        <v>48526.385000000002</v>
      </c>
      <c r="G788" s="6">
        <v>61406.625</v>
      </c>
      <c r="H788" s="6">
        <f>IF(OR(F788&lt;=0,G788&lt;=0),"",ROUND(G788+F788*Uso!$B$5,Uso!$B$6))</f>
        <v>62862.417000000001</v>
      </c>
      <c r="I788" s="6">
        <f t="shared" si="12"/>
        <v>62862.417000000001</v>
      </c>
      <c r="J788" t="str">
        <f>IF(COUNTIF(Cruce!$A$5:$A$14,A788)&gt;0,"SKU de muestra","Regla extrapolada")</f>
        <v>Regla extrapolada</v>
      </c>
    </row>
    <row r="789" spans="1:10" ht="30" customHeight="1">
      <c r="A789" t="s">
        <v>1612</v>
      </c>
      <c r="B789" s="5" t="s">
        <v>1611</v>
      </c>
      <c r="C789">
        <v>1</v>
      </c>
      <c r="D789">
        <v>0</v>
      </c>
      <c r="E789">
        <v>5</v>
      </c>
      <c r="F789" s="6">
        <v>36569.233</v>
      </c>
      <c r="G789" s="6">
        <v>46174.483</v>
      </c>
      <c r="H789" s="6">
        <f>IF(OR(F789&lt;=0,G789&lt;=0),"",ROUND(G789+F789*Uso!$B$5,Uso!$B$6))</f>
        <v>47271.56</v>
      </c>
      <c r="I789" s="6">
        <f t="shared" si="12"/>
        <v>47271.56</v>
      </c>
      <c r="J789" t="str">
        <f>IF(COUNTIF(Cruce!$A$5:$A$14,A789)&gt;0,"SKU de muestra","Regla extrapolada")</f>
        <v>Regla extrapolada</v>
      </c>
    </row>
    <row r="790" spans="1:10" ht="30" customHeight="1">
      <c r="A790" t="s">
        <v>1613</v>
      </c>
      <c r="B790" s="5" t="s">
        <v>1609</v>
      </c>
      <c r="C790">
        <v>1</v>
      </c>
      <c r="D790">
        <v>0</v>
      </c>
      <c r="E790">
        <v>5</v>
      </c>
      <c r="F790" s="6">
        <v>94162.206999999995</v>
      </c>
      <c r="G790" s="6">
        <v>118547.75599999999</v>
      </c>
      <c r="H790" s="6">
        <f>IF(OR(F790&lt;=0,G790&lt;=0),"",ROUND(G790+F790*Uso!$B$5,Uso!$B$6))</f>
        <v>121372.622</v>
      </c>
      <c r="I790" s="6">
        <f t="shared" si="12"/>
        <v>121372.622</v>
      </c>
      <c r="J790" t="str">
        <f>IF(COUNTIF(Cruce!$A$5:$A$14,A790)&gt;0,"SKU de muestra","Regla extrapolada")</f>
        <v>Regla extrapolada</v>
      </c>
    </row>
    <row r="791" spans="1:10" ht="30" customHeight="1">
      <c r="A791" t="s">
        <v>1614</v>
      </c>
      <c r="B791" s="5" t="s">
        <v>1615</v>
      </c>
      <c r="C791">
        <v>1</v>
      </c>
      <c r="D791">
        <v>0</v>
      </c>
      <c r="E791">
        <v>5</v>
      </c>
      <c r="F791" s="6">
        <v>175901.47899999999</v>
      </c>
      <c r="G791" s="6">
        <v>234227.52</v>
      </c>
      <c r="H791" s="6">
        <f>IF(OR(F791&lt;=0,G791&lt;=0),"",ROUND(G791+F791*Uso!$B$5,Uso!$B$6))</f>
        <v>239504.56400000001</v>
      </c>
      <c r="I791" s="6">
        <f t="shared" si="12"/>
        <v>239504.56400000001</v>
      </c>
      <c r="J791" t="str">
        <f>IF(COUNTIF(Cruce!$A$5:$A$14,A791)&gt;0,"SKU de muestra","Regla extrapolada")</f>
        <v>Regla extrapolada</v>
      </c>
    </row>
    <row r="792" spans="1:10" ht="30" customHeight="1">
      <c r="A792" t="s">
        <v>1616</v>
      </c>
      <c r="B792" s="5" t="s">
        <v>1617</v>
      </c>
      <c r="C792">
        <v>1</v>
      </c>
      <c r="D792">
        <v>0</v>
      </c>
      <c r="E792">
        <v>5</v>
      </c>
      <c r="F792" s="6">
        <v>11302.034</v>
      </c>
      <c r="G792" s="6">
        <v>14407.04</v>
      </c>
      <c r="H792" s="6">
        <f>IF(OR(F792&lt;=0,G792&lt;=0),"",ROUND(G792+F792*Uso!$B$5,Uso!$B$6))</f>
        <v>14746.101000000001</v>
      </c>
      <c r="I792" s="6">
        <f t="shared" si="12"/>
        <v>14746.101000000001</v>
      </c>
      <c r="J792" t="str">
        <f>IF(COUNTIF(Cruce!$A$5:$A$14,A792)&gt;0,"SKU de muestra","Regla extrapolada")</f>
        <v>Regla extrapolada</v>
      </c>
    </row>
    <row r="793" spans="1:10" ht="30" customHeight="1">
      <c r="A793" t="s">
        <v>1618</v>
      </c>
      <c r="B793" s="5" t="s">
        <v>1609</v>
      </c>
      <c r="C793">
        <v>1</v>
      </c>
      <c r="D793">
        <v>0</v>
      </c>
      <c r="E793">
        <v>5</v>
      </c>
      <c r="F793" s="6">
        <v>28386.345000000001</v>
      </c>
      <c r="G793" s="6">
        <v>35836.864000000001</v>
      </c>
      <c r="H793" s="6">
        <f>IF(OR(F793&lt;=0,G793&lt;=0),"",ROUND(G793+F793*Uso!$B$5,Uso!$B$6))</f>
        <v>36688.453999999998</v>
      </c>
      <c r="I793" s="6">
        <f t="shared" si="12"/>
        <v>36688.453999999998</v>
      </c>
      <c r="J793" t="str">
        <f>IF(COUNTIF(Cruce!$A$5:$A$14,A793)&gt;0,"SKU de muestra","Regla extrapolada")</f>
        <v>Regla extrapolada</v>
      </c>
    </row>
    <row r="794" spans="1:10" ht="30" customHeight="1">
      <c r="A794" t="s">
        <v>1619</v>
      </c>
      <c r="B794" s="5" t="s">
        <v>1620</v>
      </c>
      <c r="C794">
        <v>1</v>
      </c>
      <c r="D794">
        <v>0</v>
      </c>
      <c r="E794">
        <v>5</v>
      </c>
      <c r="F794" s="6">
        <v>17871.304</v>
      </c>
      <c r="G794" s="6">
        <v>21624.277999999998</v>
      </c>
      <c r="H794" s="6">
        <f>IF(OR(F794&lt;=0,G794&lt;=0),"",ROUND(G794+F794*Uso!$B$5,Uso!$B$6))</f>
        <v>22160.417000000001</v>
      </c>
      <c r="I794" s="6">
        <f t="shared" si="12"/>
        <v>22160.417000000001</v>
      </c>
      <c r="J794" t="str">
        <f>IF(COUNTIF(Cruce!$A$5:$A$14,A794)&gt;0,"SKU de muestra","Regla extrapolada")</f>
        <v>Regla extrapolada</v>
      </c>
    </row>
    <row r="795" spans="1:10" ht="30" customHeight="1">
      <c r="A795" t="s">
        <v>1621</v>
      </c>
      <c r="B795" s="5" t="s">
        <v>1620</v>
      </c>
      <c r="C795">
        <v>1</v>
      </c>
      <c r="D795">
        <v>0</v>
      </c>
      <c r="E795">
        <v>5</v>
      </c>
      <c r="F795" s="6">
        <v>35742.608</v>
      </c>
      <c r="G795" s="6">
        <v>43248.555999999997</v>
      </c>
      <c r="H795" s="6">
        <f>IF(OR(F795&lt;=0,G795&lt;=0),"",ROUND(G795+F795*Uso!$B$5,Uso!$B$6))</f>
        <v>44320.834000000003</v>
      </c>
      <c r="I795" s="6">
        <f t="shared" si="12"/>
        <v>44320.834000000003</v>
      </c>
      <c r="J795" t="str">
        <f>IF(COUNTIF(Cruce!$A$5:$A$14,A795)&gt;0,"SKU de muestra","Regla extrapolada")</f>
        <v>Regla extrapolada</v>
      </c>
    </row>
    <row r="796" spans="1:10" ht="30" customHeight="1">
      <c r="A796" t="s">
        <v>1622</v>
      </c>
      <c r="B796" s="5" t="s">
        <v>1623</v>
      </c>
      <c r="C796">
        <v>1</v>
      </c>
      <c r="D796">
        <v>0</v>
      </c>
      <c r="E796">
        <v>5</v>
      </c>
      <c r="F796" s="6">
        <v>246368.226</v>
      </c>
      <c r="G796" s="6">
        <v>304481.93</v>
      </c>
      <c r="H796" s="6">
        <f>IF(OR(F796&lt;=0,G796&lt;=0),"",ROUND(G796+F796*Uso!$B$5,Uso!$B$6))</f>
        <v>311872.97700000001</v>
      </c>
      <c r="I796" s="6">
        <f t="shared" si="12"/>
        <v>311872.97700000001</v>
      </c>
      <c r="J796" t="str">
        <f>IF(COUNTIF(Cruce!$A$5:$A$14,A796)&gt;0,"SKU de muestra","Regla extrapolada")</f>
        <v>Regla extrapolada</v>
      </c>
    </row>
    <row r="797" spans="1:10" ht="30" customHeight="1">
      <c r="A797" t="s">
        <v>1624</v>
      </c>
      <c r="B797" s="5" t="s">
        <v>1625</v>
      </c>
      <c r="C797">
        <v>1</v>
      </c>
      <c r="D797">
        <v>0</v>
      </c>
      <c r="E797">
        <v>5</v>
      </c>
      <c r="F797" s="6">
        <v>82324.365000000005</v>
      </c>
      <c r="G797" s="6">
        <v>104321.629</v>
      </c>
      <c r="H797" s="6">
        <f>IF(OR(F797&lt;=0,G797&lt;=0),"",ROUND(G797+F797*Uso!$B$5,Uso!$B$6))</f>
        <v>106791.36</v>
      </c>
      <c r="I797" s="6">
        <f t="shared" si="12"/>
        <v>106791.36</v>
      </c>
      <c r="J797" t="str">
        <f>IF(COUNTIF(Cruce!$A$5:$A$14,A797)&gt;0,"SKU de muestra","Regla extrapolada")</f>
        <v>Regla extrapolada</v>
      </c>
    </row>
    <row r="798" spans="1:10" ht="30" customHeight="1">
      <c r="A798" t="s">
        <v>1626</v>
      </c>
      <c r="B798" s="5" t="s">
        <v>1620</v>
      </c>
      <c r="C798">
        <v>1</v>
      </c>
      <c r="D798">
        <v>0</v>
      </c>
      <c r="E798">
        <v>5</v>
      </c>
      <c r="F798" s="6">
        <v>38179.603999999999</v>
      </c>
      <c r="G798" s="6">
        <v>46197.321000000004</v>
      </c>
      <c r="H798" s="6">
        <f>IF(OR(F798&lt;=0,G798&lt;=0),"",ROUND(G798+F798*Uso!$B$5,Uso!$B$6))</f>
        <v>47342.709000000003</v>
      </c>
      <c r="I798" s="6">
        <f t="shared" si="12"/>
        <v>47342.709000000003</v>
      </c>
      <c r="J798" t="str">
        <f>IF(COUNTIF(Cruce!$A$5:$A$14,A798)&gt;0,"SKU de muestra","Regla extrapolada")</f>
        <v>Regla extrapolada</v>
      </c>
    </row>
    <row r="799" spans="1:10" ht="30" customHeight="1">
      <c r="A799" t="s">
        <v>1627</v>
      </c>
      <c r="B799" s="5" t="s">
        <v>1605</v>
      </c>
      <c r="C799">
        <v>1</v>
      </c>
      <c r="D799">
        <v>0</v>
      </c>
      <c r="E799">
        <v>5</v>
      </c>
      <c r="F799" s="6">
        <v>66355.467000000004</v>
      </c>
      <c r="G799" s="6">
        <v>80290.115000000005</v>
      </c>
      <c r="H799" s="6">
        <f>IF(OR(F799&lt;=0,G799&lt;=0),"",ROUND(G799+F799*Uso!$B$5,Uso!$B$6))</f>
        <v>82280.778999999995</v>
      </c>
      <c r="I799" s="6">
        <f t="shared" si="12"/>
        <v>82280.778999999995</v>
      </c>
      <c r="J799" t="str">
        <f>IF(COUNTIF(Cruce!$A$5:$A$14,A799)&gt;0,"SKU de muestra","Regla extrapolada")</f>
        <v>Regla extrapolada</v>
      </c>
    </row>
    <row r="800" spans="1:10" ht="30" customHeight="1">
      <c r="A800" t="s">
        <v>1628</v>
      </c>
      <c r="B800" s="5" t="s">
        <v>1629</v>
      </c>
      <c r="C800">
        <v>1</v>
      </c>
      <c r="D800">
        <v>0</v>
      </c>
      <c r="E800">
        <v>5</v>
      </c>
      <c r="F800" s="6">
        <v>48524.661</v>
      </c>
      <c r="G800" s="6">
        <v>60841.728999999999</v>
      </c>
      <c r="H800" s="6">
        <f>IF(OR(F800&lt;=0,G800&lt;=0),"",ROUND(G800+F800*Uso!$B$5,Uso!$B$6))</f>
        <v>62297.468999999997</v>
      </c>
      <c r="I800" s="6">
        <f t="shared" si="12"/>
        <v>62297.468999999997</v>
      </c>
      <c r="J800" t="str">
        <f>IF(COUNTIF(Cruce!$A$5:$A$14,A800)&gt;0,"SKU de muestra","Regla extrapolada")</f>
        <v>Regla extrapolada</v>
      </c>
    </row>
    <row r="801" spans="1:10" ht="30" customHeight="1">
      <c r="A801" t="s">
        <v>1630</v>
      </c>
      <c r="B801" s="5" t="s">
        <v>1607</v>
      </c>
      <c r="C801">
        <v>1</v>
      </c>
      <c r="D801">
        <v>0</v>
      </c>
      <c r="E801">
        <v>5</v>
      </c>
      <c r="F801" s="6">
        <v>41104.866000000002</v>
      </c>
      <c r="G801" s="6">
        <v>51608.180999999997</v>
      </c>
      <c r="H801" s="6">
        <f>IF(OR(F801&lt;=0,G801&lt;=0),"",ROUND(G801+F801*Uso!$B$5,Uso!$B$6))</f>
        <v>52841.326999999997</v>
      </c>
      <c r="I801" s="6">
        <f t="shared" si="12"/>
        <v>52841.326999999997</v>
      </c>
      <c r="J801" t="str">
        <f>IF(COUNTIF(Cruce!$A$5:$A$14,A801)&gt;0,"SKU de muestra","Regla extrapolada")</f>
        <v>Regla extrapolada</v>
      </c>
    </row>
    <row r="802" spans="1:10" ht="30" customHeight="1">
      <c r="A802" t="s">
        <v>1631</v>
      </c>
      <c r="B802" s="5" t="s">
        <v>1632</v>
      </c>
      <c r="C802">
        <v>1</v>
      </c>
      <c r="D802">
        <v>0</v>
      </c>
      <c r="E802">
        <v>5</v>
      </c>
      <c r="F802" s="6">
        <v>31461.993999999999</v>
      </c>
      <c r="G802" s="6">
        <v>39475.74</v>
      </c>
      <c r="H802" s="6">
        <f>IF(OR(F802&lt;=0,G802&lt;=0),"",ROUND(G802+F802*Uso!$B$5,Uso!$B$6))</f>
        <v>40419.599999999999</v>
      </c>
      <c r="I802" s="6">
        <f t="shared" si="12"/>
        <v>40419.599999999999</v>
      </c>
      <c r="J802" t="str">
        <f>IF(COUNTIF(Cruce!$A$5:$A$14,A802)&gt;0,"SKU de muestra","Regla extrapolada")</f>
        <v>Regla extrapolada</v>
      </c>
    </row>
    <row r="803" spans="1:10" ht="30" customHeight="1">
      <c r="A803" t="s">
        <v>1633</v>
      </c>
      <c r="B803" s="5" t="s">
        <v>1632</v>
      </c>
      <c r="C803">
        <v>1</v>
      </c>
      <c r="D803">
        <v>0</v>
      </c>
      <c r="E803">
        <v>5</v>
      </c>
      <c r="F803" s="6">
        <v>65991.183000000005</v>
      </c>
      <c r="G803" s="6">
        <v>83083.682000000001</v>
      </c>
      <c r="H803" s="6">
        <f>IF(OR(F803&lt;=0,G803&lt;=0),"",ROUND(G803+F803*Uso!$B$5,Uso!$B$6))</f>
        <v>85063.417000000001</v>
      </c>
      <c r="I803" s="6">
        <f t="shared" si="12"/>
        <v>85063.417000000001</v>
      </c>
      <c r="J803" t="str">
        <f>IF(COUNTIF(Cruce!$A$5:$A$14,A803)&gt;0,"SKU de muestra","Regla extrapolada")</f>
        <v>Regla extrapolada</v>
      </c>
    </row>
    <row r="804" spans="1:10" ht="30" customHeight="1">
      <c r="A804" t="s">
        <v>1634</v>
      </c>
      <c r="B804" s="5" t="s">
        <v>1632</v>
      </c>
      <c r="C804">
        <v>1</v>
      </c>
      <c r="D804">
        <v>0</v>
      </c>
      <c r="E804">
        <v>5</v>
      </c>
      <c r="F804" s="6">
        <v>61993.364000000001</v>
      </c>
      <c r="G804" s="6">
        <v>78023.595000000001</v>
      </c>
      <c r="H804" s="6">
        <f>IF(OR(F804&lt;=0,G804&lt;=0),"",ROUND(G804+F804*Uso!$B$5,Uso!$B$6))</f>
        <v>79883.395999999993</v>
      </c>
      <c r="I804" s="6">
        <f t="shared" si="12"/>
        <v>79883.395999999993</v>
      </c>
      <c r="J804" t="str">
        <f>IF(COUNTIF(Cruce!$A$5:$A$14,A804)&gt;0,"SKU de muestra","Regla extrapolada")</f>
        <v>Regla extrapolada</v>
      </c>
    </row>
    <row r="805" spans="1:10" ht="30" customHeight="1">
      <c r="A805" t="s">
        <v>1635</v>
      </c>
      <c r="B805" s="5" t="s">
        <v>1609</v>
      </c>
      <c r="C805">
        <v>1</v>
      </c>
      <c r="D805">
        <v>0</v>
      </c>
      <c r="E805">
        <v>5</v>
      </c>
      <c r="F805" s="6">
        <v>125422.333</v>
      </c>
      <c r="G805" s="6">
        <v>158281.53700000001</v>
      </c>
      <c r="H805" s="6">
        <f>IF(OR(F805&lt;=0,G805&lt;=0),"",ROUND(G805+F805*Uso!$B$5,Uso!$B$6))</f>
        <v>162044.20699999999</v>
      </c>
      <c r="I805" s="6">
        <f t="shared" si="12"/>
        <v>162044.20699999999</v>
      </c>
      <c r="J805" t="str">
        <f>IF(COUNTIF(Cruce!$A$5:$A$14,A805)&gt;0,"SKU de muestra","Regla extrapolada")</f>
        <v>Regla extrapolada</v>
      </c>
    </row>
    <row r="806" spans="1:10" ht="30" customHeight="1">
      <c r="A806" t="s">
        <v>1636</v>
      </c>
      <c r="B806" s="5" t="s">
        <v>1609</v>
      </c>
      <c r="C806">
        <v>1</v>
      </c>
      <c r="D806">
        <v>0</v>
      </c>
      <c r="E806">
        <v>5</v>
      </c>
      <c r="F806" s="6">
        <v>140232.31200000001</v>
      </c>
      <c r="G806" s="6">
        <v>176963.85200000001</v>
      </c>
      <c r="H806" s="6">
        <f>IF(OR(F806&lt;=0,G806&lt;=0),"",ROUND(G806+F806*Uso!$B$5,Uso!$B$6))</f>
        <v>181170.821</v>
      </c>
      <c r="I806" s="6">
        <f t="shared" si="12"/>
        <v>181170.821</v>
      </c>
      <c r="J806" t="str">
        <f>IF(COUNTIF(Cruce!$A$5:$A$14,A806)&gt;0,"SKU de muestra","Regla extrapolada")</f>
        <v>Regla extrapolada</v>
      </c>
    </row>
    <row r="807" spans="1:10" ht="30" customHeight="1">
      <c r="A807" t="s">
        <v>1637</v>
      </c>
      <c r="B807" s="5" t="s">
        <v>1638</v>
      </c>
      <c r="C807">
        <v>1</v>
      </c>
      <c r="D807">
        <v>0</v>
      </c>
      <c r="E807">
        <v>5</v>
      </c>
      <c r="F807" s="6">
        <v>53070.485999999997</v>
      </c>
      <c r="G807" s="6">
        <v>66715.077000000005</v>
      </c>
      <c r="H807" s="6">
        <f>IF(OR(F807&lt;=0,G807&lt;=0),"",ROUND(G807+F807*Uso!$B$5,Uso!$B$6))</f>
        <v>68307.191999999995</v>
      </c>
      <c r="I807" s="6">
        <f t="shared" si="12"/>
        <v>68307.191999999995</v>
      </c>
      <c r="J807" t="str">
        <f>IF(COUNTIF(Cruce!$A$5:$A$14,A807)&gt;0,"SKU de muestra","Regla extrapolada")</f>
        <v>Regla extrapolada</v>
      </c>
    </row>
    <row r="808" spans="1:10" ht="30" customHeight="1">
      <c r="A808" t="s">
        <v>1639</v>
      </c>
      <c r="B808" s="5" t="s">
        <v>1640</v>
      </c>
      <c r="C808">
        <v>1</v>
      </c>
      <c r="D808">
        <v>0</v>
      </c>
      <c r="E808">
        <v>5</v>
      </c>
      <c r="F808" s="6">
        <v>15121.592000000001</v>
      </c>
      <c r="G808" s="6">
        <v>20126.496999999999</v>
      </c>
      <c r="H808" s="6">
        <f>IF(OR(F808&lt;=0,G808&lt;=0),"",ROUND(G808+F808*Uso!$B$5,Uso!$B$6))</f>
        <v>20580.145</v>
      </c>
      <c r="I808" s="6">
        <f t="shared" si="12"/>
        <v>20580.145</v>
      </c>
      <c r="J808" t="str">
        <f>IF(COUNTIF(Cruce!$A$5:$A$14,A808)&gt;0,"SKU de muestra","Regla extrapolada")</f>
        <v>Regla extrapolada</v>
      </c>
    </row>
    <row r="809" spans="1:10" ht="30" customHeight="1">
      <c r="A809" t="s">
        <v>1641</v>
      </c>
      <c r="B809" s="5" t="s">
        <v>1642</v>
      </c>
      <c r="C809">
        <v>1</v>
      </c>
      <c r="D809">
        <v>0</v>
      </c>
      <c r="E809">
        <v>5</v>
      </c>
      <c r="F809" s="6">
        <v>34254.142999999996</v>
      </c>
      <c r="G809" s="6">
        <v>43594.247000000003</v>
      </c>
      <c r="H809" s="6">
        <f>IF(OR(F809&lt;=0,G809&lt;=0),"",ROUND(G809+F809*Uso!$B$5,Uso!$B$6))</f>
        <v>44621.870999999999</v>
      </c>
      <c r="I809" s="6">
        <f t="shared" si="12"/>
        <v>44621.870999999999</v>
      </c>
      <c r="J809" t="str">
        <f>IF(COUNTIF(Cruce!$A$5:$A$14,A809)&gt;0,"SKU de muestra","Regla extrapolada")</f>
        <v>Regla extrapolada</v>
      </c>
    </row>
    <row r="810" spans="1:10" ht="30" customHeight="1">
      <c r="A810" t="s">
        <v>1643</v>
      </c>
      <c r="B810" s="5" t="s">
        <v>1642</v>
      </c>
      <c r="C810">
        <v>1</v>
      </c>
      <c r="D810">
        <v>0</v>
      </c>
      <c r="E810">
        <v>5</v>
      </c>
      <c r="F810" s="6">
        <v>66568.494999999995</v>
      </c>
      <c r="G810" s="6">
        <v>84179.638999999996</v>
      </c>
      <c r="H810" s="6">
        <f>IF(OR(F810&lt;=0,G810&lt;=0),"",ROUND(G810+F810*Uso!$B$5,Uso!$B$6))</f>
        <v>86176.694000000003</v>
      </c>
      <c r="I810" s="6">
        <f t="shared" si="12"/>
        <v>86176.694000000003</v>
      </c>
      <c r="J810" t="str">
        <f>IF(COUNTIF(Cruce!$A$5:$A$14,A810)&gt;0,"SKU de muestra","Regla extrapolada")</f>
        <v>Regla extrapolada</v>
      </c>
    </row>
    <row r="811" spans="1:10" ht="30" customHeight="1">
      <c r="A811" t="s">
        <v>1644</v>
      </c>
      <c r="B811" s="5" t="s">
        <v>1375</v>
      </c>
      <c r="C811">
        <v>1</v>
      </c>
      <c r="D811">
        <v>0</v>
      </c>
      <c r="E811">
        <v>5</v>
      </c>
      <c r="F811" s="6">
        <v>35742.608</v>
      </c>
      <c r="G811" s="6">
        <v>43248.555999999997</v>
      </c>
      <c r="H811" s="6">
        <f>IF(OR(F811&lt;=0,G811&lt;=0),"",ROUND(G811+F811*Uso!$B$5,Uso!$B$6))</f>
        <v>44320.834000000003</v>
      </c>
      <c r="I811" s="6">
        <f t="shared" si="12"/>
        <v>44320.834000000003</v>
      </c>
      <c r="J811" t="str">
        <f>IF(COUNTIF(Cruce!$A$5:$A$14,A811)&gt;0,"SKU de muestra","Regla extrapolada")</f>
        <v>Regla extrapolada</v>
      </c>
    </row>
    <row r="812" spans="1:10" ht="30" customHeight="1">
      <c r="A812" t="s">
        <v>1645</v>
      </c>
      <c r="B812" s="5" t="s">
        <v>1456</v>
      </c>
      <c r="C812">
        <v>1</v>
      </c>
      <c r="D812">
        <v>0</v>
      </c>
      <c r="E812">
        <v>5</v>
      </c>
      <c r="F812" s="6">
        <v>66010.417000000001</v>
      </c>
      <c r="G812" s="6">
        <v>83199.176000000007</v>
      </c>
      <c r="H812" s="6">
        <f>IF(OR(F812&lt;=0,G812&lt;=0),"",ROUND(G812+F812*Uso!$B$5,Uso!$B$6))</f>
        <v>85179.489000000001</v>
      </c>
      <c r="I812" s="6">
        <f t="shared" si="12"/>
        <v>85179.489000000001</v>
      </c>
      <c r="J812" t="str">
        <f>IF(COUNTIF(Cruce!$A$5:$A$14,A812)&gt;0,"SKU de muestra","Regla extrapolada")</f>
        <v>Regla extrapolada</v>
      </c>
    </row>
    <row r="813" spans="1:10" ht="30" customHeight="1">
      <c r="A813" t="s">
        <v>1646</v>
      </c>
      <c r="B813" s="5" t="s">
        <v>1629</v>
      </c>
      <c r="C813">
        <v>1</v>
      </c>
      <c r="D813">
        <v>0</v>
      </c>
      <c r="E813">
        <v>5</v>
      </c>
      <c r="F813" s="6">
        <v>43708.675000000003</v>
      </c>
      <c r="G813" s="6">
        <v>55574.288999999997</v>
      </c>
      <c r="H813" s="6">
        <f>IF(OR(F813&lt;=0,G813&lt;=0),"",ROUND(G813+F813*Uso!$B$5,Uso!$B$6))</f>
        <v>56885.548999999999</v>
      </c>
      <c r="I813" s="6">
        <f t="shared" si="12"/>
        <v>56885.548999999999</v>
      </c>
      <c r="J813" t="str">
        <f>IF(COUNTIF(Cruce!$A$5:$A$14,A813)&gt;0,"SKU de muestra","Regla extrapolada")</f>
        <v>Regla extrapolada</v>
      </c>
    </row>
    <row r="814" spans="1:10" ht="30" customHeight="1">
      <c r="A814" t="s">
        <v>1647</v>
      </c>
      <c r="B814" s="5" t="s">
        <v>1629</v>
      </c>
      <c r="C814">
        <v>1</v>
      </c>
      <c r="D814">
        <v>0</v>
      </c>
      <c r="E814">
        <v>5</v>
      </c>
      <c r="F814" s="6">
        <v>116150.49800000001</v>
      </c>
      <c r="G814" s="6">
        <v>145938.85</v>
      </c>
      <c r="H814" s="6">
        <f>IF(OR(F814&lt;=0,G814&lt;=0),"",ROUND(G814+F814*Uso!$B$5,Uso!$B$6))</f>
        <v>149423.36499999999</v>
      </c>
      <c r="I814" s="6">
        <f t="shared" si="12"/>
        <v>149423.36499999999</v>
      </c>
      <c r="J814" t="str">
        <f>IF(COUNTIF(Cruce!$A$5:$A$14,A814)&gt;0,"SKU de muestra","Regla extrapolada")</f>
        <v>Regla extrapolada</v>
      </c>
    </row>
    <row r="815" spans="1:10" ht="30" customHeight="1">
      <c r="A815" t="s">
        <v>1648</v>
      </c>
      <c r="B815" s="5" t="s">
        <v>1649</v>
      </c>
      <c r="C815">
        <v>1</v>
      </c>
      <c r="D815">
        <v>0</v>
      </c>
      <c r="E815">
        <v>5</v>
      </c>
      <c r="F815" s="6">
        <v>32504.764999999999</v>
      </c>
      <c r="G815" s="6">
        <v>43325.411999999997</v>
      </c>
      <c r="H815" s="6">
        <f>IF(OR(F815&lt;=0,G815&lt;=0),"",ROUND(G815+F815*Uso!$B$5,Uso!$B$6))</f>
        <v>44300.555</v>
      </c>
      <c r="I815" s="6">
        <f t="shared" si="12"/>
        <v>44300.555</v>
      </c>
      <c r="J815" t="str">
        <f>IF(COUNTIF(Cruce!$A$5:$A$14,A815)&gt;0,"SKU de muestra","Regla extrapolada")</f>
        <v>Regla extrapolada</v>
      </c>
    </row>
    <row r="816" spans="1:10" ht="30" customHeight="1">
      <c r="A816" t="s">
        <v>1650</v>
      </c>
      <c r="B816" s="5" t="s">
        <v>1651</v>
      </c>
      <c r="C816">
        <v>1</v>
      </c>
      <c r="D816">
        <v>0</v>
      </c>
      <c r="E816">
        <v>5</v>
      </c>
      <c r="F816" s="6">
        <v>150227.73800000001</v>
      </c>
      <c r="G816" s="6">
        <v>189789.28700000001</v>
      </c>
      <c r="H816" s="6">
        <f>IF(OR(F816&lt;=0,G816&lt;=0),"",ROUND(G816+F816*Uso!$B$5,Uso!$B$6))</f>
        <v>194296.11900000001</v>
      </c>
      <c r="I816" s="6">
        <f t="shared" si="12"/>
        <v>194296.11900000001</v>
      </c>
      <c r="J816" t="str">
        <f>IF(COUNTIF(Cruce!$A$5:$A$14,A816)&gt;0,"SKU de muestra","Regla extrapolada")</f>
        <v>Regla extrapolada</v>
      </c>
    </row>
    <row r="817" spans="1:10" ht="30" customHeight="1">
      <c r="A817" t="s">
        <v>1652</v>
      </c>
      <c r="B817" s="5" t="s">
        <v>1653</v>
      </c>
      <c r="C817">
        <v>1</v>
      </c>
      <c r="D817">
        <v>0</v>
      </c>
      <c r="E817">
        <v>5</v>
      </c>
      <c r="F817" s="6">
        <v>118811.00900000001</v>
      </c>
      <c r="G817" s="6">
        <v>143761.321</v>
      </c>
      <c r="H817" s="6">
        <f>IF(OR(F817&lt;=0,G817&lt;=0),"",ROUND(G817+F817*Uso!$B$5,Uso!$B$6))</f>
        <v>147325.65100000001</v>
      </c>
      <c r="I817" s="6">
        <f t="shared" si="12"/>
        <v>147325.65100000001</v>
      </c>
      <c r="J817" t="str">
        <f>IF(COUNTIF(Cruce!$A$5:$A$14,A817)&gt;0,"SKU de muestra","Regla extrapolada")</f>
        <v>Regla extrapolada</v>
      </c>
    </row>
    <row r="818" spans="1:10" ht="30" customHeight="1">
      <c r="A818" t="s">
        <v>1654</v>
      </c>
      <c r="B818" s="5" t="s">
        <v>1655</v>
      </c>
      <c r="C818">
        <v>1</v>
      </c>
      <c r="D818">
        <v>0</v>
      </c>
      <c r="E818">
        <v>5</v>
      </c>
      <c r="F818" s="6">
        <v>19915.297999999999</v>
      </c>
      <c r="G818" s="6">
        <v>24097.51</v>
      </c>
      <c r="H818" s="6">
        <f>IF(OR(F818&lt;=0,G818&lt;=0),"",ROUND(G818+F818*Uso!$B$5,Uso!$B$6))</f>
        <v>24694.969000000001</v>
      </c>
      <c r="I818" s="6">
        <f t="shared" si="12"/>
        <v>24694.969000000001</v>
      </c>
      <c r="J818" t="str">
        <f>IF(COUNTIF(Cruce!$A$5:$A$14,A818)&gt;0,"SKU de muestra","Regla extrapolada")</f>
        <v>Regla extrapolada</v>
      </c>
    </row>
    <row r="819" spans="1:10" ht="30" customHeight="1">
      <c r="A819" t="s">
        <v>1656</v>
      </c>
      <c r="B819" s="5" t="s">
        <v>1657</v>
      </c>
      <c r="C819">
        <v>1</v>
      </c>
      <c r="D819">
        <v>0</v>
      </c>
      <c r="E819">
        <v>5</v>
      </c>
      <c r="F819" s="6">
        <v>33246.1</v>
      </c>
      <c r="G819" s="6">
        <v>42268.906000000003</v>
      </c>
      <c r="H819" s="6">
        <f>IF(OR(F819&lt;=0,G819&lt;=0),"",ROUND(G819+F819*Uso!$B$5,Uso!$B$6))</f>
        <v>43266.288999999997</v>
      </c>
      <c r="I819" s="6">
        <f t="shared" si="12"/>
        <v>43266.288999999997</v>
      </c>
      <c r="J819" t="str">
        <f>IF(COUNTIF(Cruce!$A$5:$A$14,A819)&gt;0,"SKU de muestra","Regla extrapolada")</f>
        <v>Regla extrapolada</v>
      </c>
    </row>
    <row r="820" spans="1:10" ht="30" customHeight="1">
      <c r="A820" t="s">
        <v>1658</v>
      </c>
      <c r="B820" s="5" t="s">
        <v>1659</v>
      </c>
      <c r="C820">
        <v>1</v>
      </c>
      <c r="D820">
        <v>0</v>
      </c>
      <c r="E820">
        <v>5</v>
      </c>
      <c r="F820" s="6">
        <v>20770.280999999999</v>
      </c>
      <c r="G820" s="6">
        <v>25132.04</v>
      </c>
      <c r="H820" s="6">
        <f>IF(OR(F820&lt;=0,G820&lt;=0),"",ROUND(G820+F820*Uso!$B$5,Uso!$B$6))</f>
        <v>25755.148000000001</v>
      </c>
      <c r="I820" s="6">
        <f t="shared" si="12"/>
        <v>25755.148000000001</v>
      </c>
      <c r="J820" t="str">
        <f>IF(COUNTIF(Cruce!$A$5:$A$14,A820)&gt;0,"SKU de muestra","Regla extrapolada")</f>
        <v>Regla extrapolada</v>
      </c>
    </row>
    <row r="821" spans="1:10" ht="30" customHeight="1">
      <c r="A821" t="s">
        <v>1660</v>
      </c>
      <c r="B821" s="5" t="s">
        <v>1659</v>
      </c>
      <c r="C821">
        <v>1</v>
      </c>
      <c r="D821">
        <v>0</v>
      </c>
      <c r="E821">
        <v>5</v>
      </c>
      <c r="F821" s="6">
        <v>20770.280999999999</v>
      </c>
      <c r="G821" s="6">
        <v>25132.04</v>
      </c>
      <c r="H821" s="6">
        <f>IF(OR(F821&lt;=0,G821&lt;=0),"",ROUND(G821+F821*Uso!$B$5,Uso!$B$6))</f>
        <v>25755.148000000001</v>
      </c>
      <c r="I821" s="6">
        <f t="shared" si="12"/>
        <v>25755.148000000001</v>
      </c>
      <c r="J821" t="str">
        <f>IF(COUNTIF(Cruce!$A$5:$A$14,A821)&gt;0,"SKU de muestra","Regla extrapolada")</f>
        <v>Regla extrapolada</v>
      </c>
    </row>
    <row r="822" spans="1:10" ht="30" customHeight="1">
      <c r="A822" t="s">
        <v>1661</v>
      </c>
      <c r="B822" s="5" t="s">
        <v>1659</v>
      </c>
      <c r="C822">
        <v>1</v>
      </c>
      <c r="D822">
        <v>0</v>
      </c>
      <c r="E822">
        <v>5</v>
      </c>
      <c r="F822" s="6">
        <v>20770.280999999999</v>
      </c>
      <c r="G822" s="6">
        <v>25132.04</v>
      </c>
      <c r="H822" s="6">
        <f>IF(OR(F822&lt;=0,G822&lt;=0),"",ROUND(G822+F822*Uso!$B$5,Uso!$B$6))</f>
        <v>25755.148000000001</v>
      </c>
      <c r="I822" s="6">
        <f t="shared" si="12"/>
        <v>25755.148000000001</v>
      </c>
      <c r="J822" t="str">
        <f>IF(COUNTIF(Cruce!$A$5:$A$14,A822)&gt;0,"SKU de muestra","Regla extrapolada")</f>
        <v>Regla extrapolada</v>
      </c>
    </row>
    <row r="823" spans="1:10" ht="30" customHeight="1">
      <c r="A823" t="s">
        <v>1662</v>
      </c>
      <c r="B823" s="5" t="s">
        <v>1659</v>
      </c>
      <c r="C823">
        <v>1</v>
      </c>
      <c r="D823">
        <v>0</v>
      </c>
      <c r="E823">
        <v>5</v>
      </c>
      <c r="F823" s="6">
        <v>20770.280999999999</v>
      </c>
      <c r="G823" s="6">
        <v>25132.04</v>
      </c>
      <c r="H823" s="6">
        <f>IF(OR(F823&lt;=0,G823&lt;=0),"",ROUND(G823+F823*Uso!$B$5,Uso!$B$6))</f>
        <v>25755.148000000001</v>
      </c>
      <c r="I823" s="6">
        <f t="shared" si="12"/>
        <v>25755.148000000001</v>
      </c>
      <c r="J823" t="str">
        <f>IF(COUNTIF(Cruce!$A$5:$A$14,A823)&gt;0,"SKU de muestra","Regla extrapolada")</f>
        <v>Regla extrapolada</v>
      </c>
    </row>
    <row r="824" spans="1:10" ht="30" customHeight="1">
      <c r="A824" t="s">
        <v>1663</v>
      </c>
      <c r="B824" s="5" t="s">
        <v>1664</v>
      </c>
      <c r="C824">
        <v>1</v>
      </c>
      <c r="D824">
        <v>0</v>
      </c>
      <c r="E824">
        <v>5</v>
      </c>
      <c r="F824" s="6">
        <v>18015.745999999999</v>
      </c>
      <c r="G824" s="6">
        <v>22606.216</v>
      </c>
      <c r="H824" s="6">
        <f>IF(OR(F824&lt;=0,G824&lt;=0),"",ROUND(G824+F824*Uso!$B$5,Uso!$B$6))</f>
        <v>23146.687999999998</v>
      </c>
      <c r="I824" s="6">
        <f t="shared" si="12"/>
        <v>23146.687999999998</v>
      </c>
      <c r="J824" t="str">
        <f>IF(COUNTIF(Cruce!$A$5:$A$14,A824)&gt;0,"SKU de muestra","Regla extrapolada")</f>
        <v>Regla extrapolada</v>
      </c>
    </row>
    <row r="825" spans="1:10" ht="30" customHeight="1">
      <c r="A825" t="s">
        <v>1665</v>
      </c>
      <c r="B825" s="5" t="s">
        <v>1666</v>
      </c>
      <c r="C825">
        <v>1</v>
      </c>
      <c r="D825">
        <v>0</v>
      </c>
      <c r="E825">
        <v>5</v>
      </c>
      <c r="F825" s="6">
        <v>16961242.620000001</v>
      </c>
      <c r="G825" s="6">
        <v>20523103.57</v>
      </c>
      <c r="H825" s="6">
        <f>IF(OR(F825&lt;=0,G825&lt;=0),"",ROUND(G825+F825*Uso!$B$5,Uso!$B$6))</f>
        <v>21031940.848999999</v>
      </c>
      <c r="I825" s="6">
        <f t="shared" si="12"/>
        <v>21031940.848999999</v>
      </c>
      <c r="J825" t="str">
        <f>IF(COUNTIF(Cruce!$A$5:$A$14,A825)&gt;0,"SKU de muestra","Regla extrapolada")</f>
        <v>Regla extrapolada</v>
      </c>
    </row>
    <row r="826" spans="1:10" ht="30" customHeight="1">
      <c r="A826" t="s">
        <v>1667</v>
      </c>
      <c r="B826" s="5" t="s">
        <v>1668</v>
      </c>
      <c r="C826">
        <v>1</v>
      </c>
      <c r="D826">
        <v>0</v>
      </c>
      <c r="E826">
        <v>5</v>
      </c>
      <c r="F826" s="6">
        <v>12246157.140000001</v>
      </c>
      <c r="G826" s="6">
        <v>14817850.139</v>
      </c>
      <c r="H826" s="6">
        <f>IF(OR(F826&lt;=0,G826&lt;=0),"",ROUND(G826+F826*Uso!$B$5,Uso!$B$6))</f>
        <v>15185234.853</v>
      </c>
      <c r="I826" s="6">
        <f t="shared" si="12"/>
        <v>15185234.853</v>
      </c>
      <c r="J826" t="str">
        <f>IF(COUNTIF(Cruce!$A$5:$A$14,A826)&gt;0,"SKU de muestra","Regla extrapolada")</f>
        <v>Regla extrapolada</v>
      </c>
    </row>
    <row r="827" spans="1:10" ht="30" customHeight="1">
      <c r="A827" t="s">
        <v>1669</v>
      </c>
      <c r="B827" s="5" t="s">
        <v>1666</v>
      </c>
      <c r="C827">
        <v>1</v>
      </c>
      <c r="D827">
        <v>0</v>
      </c>
      <c r="E827">
        <v>5</v>
      </c>
      <c r="F827" s="6">
        <v>12246157.140000001</v>
      </c>
      <c r="G827" s="6">
        <v>14817850.139</v>
      </c>
      <c r="H827" s="6">
        <f>IF(OR(F827&lt;=0,G827&lt;=0),"",ROUND(G827+F827*Uso!$B$5,Uso!$B$6))</f>
        <v>15185234.853</v>
      </c>
      <c r="I827" s="6">
        <f t="shared" si="12"/>
        <v>15185234.853</v>
      </c>
      <c r="J827" t="str">
        <f>IF(COUNTIF(Cruce!$A$5:$A$14,A827)&gt;0,"SKU de muestra","Regla extrapolada")</f>
        <v>Regla extrapolada</v>
      </c>
    </row>
    <row r="828" spans="1:10" ht="30" customHeight="1">
      <c r="A828" t="s">
        <v>1670</v>
      </c>
      <c r="B828" s="5" t="s">
        <v>1671</v>
      </c>
      <c r="C828">
        <v>1</v>
      </c>
      <c r="D828">
        <v>0</v>
      </c>
      <c r="E828">
        <v>5</v>
      </c>
      <c r="F828" s="6">
        <v>21503.963</v>
      </c>
      <c r="G828" s="6">
        <v>27461.665000000001</v>
      </c>
      <c r="H828" s="6">
        <f>IF(OR(F828&lt;=0,G828&lt;=0),"",ROUND(G828+F828*Uso!$B$5,Uso!$B$6))</f>
        <v>28106.784</v>
      </c>
      <c r="I828" s="6">
        <f t="shared" si="12"/>
        <v>28106.784</v>
      </c>
      <c r="J828" t="str">
        <f>IF(COUNTIF(Cruce!$A$5:$A$14,A828)&gt;0,"SKU de muestra","Regla extrapolada")</f>
        <v>Regla extrapolada</v>
      </c>
    </row>
    <row r="829" spans="1:10" ht="30" customHeight="1">
      <c r="A829" t="s">
        <v>1672</v>
      </c>
      <c r="B829" s="5" t="s">
        <v>1673</v>
      </c>
      <c r="C829">
        <v>1</v>
      </c>
      <c r="D829">
        <v>0</v>
      </c>
      <c r="E829">
        <v>5</v>
      </c>
      <c r="F829" s="6">
        <v>24065.335999999999</v>
      </c>
      <c r="G829" s="6">
        <v>29119.056</v>
      </c>
      <c r="H829" s="6">
        <f>IF(OR(F829&lt;=0,G829&lt;=0),"",ROUND(G829+F829*Uso!$B$5,Uso!$B$6))</f>
        <v>29841.016</v>
      </c>
      <c r="I829" s="6">
        <f t="shared" si="12"/>
        <v>29841.016</v>
      </c>
      <c r="J829" t="str">
        <f>IF(COUNTIF(Cruce!$A$5:$A$14,A829)&gt;0,"SKU de muestra","Regla extrapolada")</f>
        <v>Regla extrapolada</v>
      </c>
    </row>
    <row r="830" spans="1:10" ht="30" customHeight="1">
      <c r="A830" t="s">
        <v>1674</v>
      </c>
      <c r="B830" s="5" t="s">
        <v>1675</v>
      </c>
      <c r="C830">
        <v>1</v>
      </c>
      <c r="D830">
        <v>0</v>
      </c>
      <c r="E830">
        <v>5</v>
      </c>
      <c r="F830" s="6">
        <v>33577.252</v>
      </c>
      <c r="G830" s="6">
        <v>41611.067999999999</v>
      </c>
      <c r="H830" s="6">
        <f>IF(OR(F830&lt;=0,G830&lt;=0),"",ROUND(G830+F830*Uso!$B$5,Uso!$B$6))</f>
        <v>42618.385999999999</v>
      </c>
      <c r="I830" s="6">
        <f t="shared" si="12"/>
        <v>42618.385999999999</v>
      </c>
      <c r="J830" t="str">
        <f>IF(COUNTIF(Cruce!$A$5:$A$14,A830)&gt;0,"SKU de muestra","Regla extrapolada")</f>
        <v>Regla extrapolada</v>
      </c>
    </row>
    <row r="831" spans="1:10" ht="30" customHeight="1">
      <c r="A831" t="s">
        <v>1676</v>
      </c>
      <c r="B831" s="5" t="s">
        <v>1677</v>
      </c>
      <c r="C831">
        <v>1</v>
      </c>
      <c r="D831">
        <v>0</v>
      </c>
      <c r="E831">
        <v>5</v>
      </c>
      <c r="F831" s="6">
        <v>32105.304</v>
      </c>
      <c r="G831" s="6">
        <v>40820.322</v>
      </c>
      <c r="H831" s="6">
        <f>IF(OR(F831&lt;=0,G831&lt;=0),"",ROUND(G831+F831*Uso!$B$5,Uso!$B$6))</f>
        <v>41783.481</v>
      </c>
      <c r="I831" s="6">
        <f t="shared" si="12"/>
        <v>41783.481</v>
      </c>
      <c r="J831" t="str">
        <f>IF(COUNTIF(Cruce!$A$5:$A$14,A831)&gt;0,"SKU de muestra","Regla extrapolada")</f>
        <v>Regla extrapolada</v>
      </c>
    </row>
    <row r="832" spans="1:10" ht="30" customHeight="1">
      <c r="A832" t="s">
        <v>1678</v>
      </c>
      <c r="B832" s="5" t="s">
        <v>1679</v>
      </c>
      <c r="C832">
        <v>1</v>
      </c>
      <c r="D832">
        <v>0</v>
      </c>
      <c r="E832">
        <v>5</v>
      </c>
      <c r="F832" s="6">
        <v>23714.384999999998</v>
      </c>
      <c r="G832" s="6">
        <v>28694.405999999999</v>
      </c>
      <c r="H832" s="6">
        <f>IF(OR(F832&lt;=0,G832&lt;=0),"",ROUND(G832+F832*Uso!$B$5,Uso!$B$6))</f>
        <v>29405.838</v>
      </c>
      <c r="I832" s="6">
        <f t="shared" si="12"/>
        <v>29405.838</v>
      </c>
      <c r="J832" t="str">
        <f>IF(COUNTIF(Cruce!$A$5:$A$14,A832)&gt;0,"SKU de muestra","Regla extrapolada")</f>
        <v>Regla extrapolada</v>
      </c>
    </row>
    <row r="833" spans="1:10" ht="30" customHeight="1">
      <c r="A833" t="s">
        <v>1680</v>
      </c>
      <c r="B833" s="5" t="s">
        <v>1681</v>
      </c>
      <c r="C833">
        <v>1</v>
      </c>
      <c r="D833">
        <v>0</v>
      </c>
      <c r="E833">
        <v>5</v>
      </c>
      <c r="F833" s="6">
        <v>40459.248</v>
      </c>
      <c r="G833" s="6">
        <v>48955.69</v>
      </c>
      <c r="H833" s="6">
        <f>IF(OR(F833&lt;=0,G833&lt;=0),"",ROUND(G833+F833*Uso!$B$5,Uso!$B$6))</f>
        <v>50169.466999999997</v>
      </c>
      <c r="I833" s="6">
        <f t="shared" si="12"/>
        <v>50169.466999999997</v>
      </c>
      <c r="J833" t="str">
        <f>IF(COUNTIF(Cruce!$A$5:$A$14,A833)&gt;0,"SKU de muestra","Regla extrapolada")</f>
        <v>Regla extrapolada</v>
      </c>
    </row>
    <row r="834" spans="1:10" ht="30" customHeight="1">
      <c r="A834" t="s">
        <v>1682</v>
      </c>
      <c r="B834" s="5" t="s">
        <v>1679</v>
      </c>
      <c r="C834">
        <v>1</v>
      </c>
      <c r="D834">
        <v>0</v>
      </c>
      <c r="E834">
        <v>5</v>
      </c>
      <c r="F834" s="6">
        <v>21242.984</v>
      </c>
      <c r="G834" s="6">
        <v>25704.010999999999</v>
      </c>
      <c r="H834" s="6">
        <f>IF(OR(F834&lt;=0,G834&lt;=0),"",ROUND(G834+F834*Uso!$B$5,Uso!$B$6))</f>
        <v>26341.300999999999</v>
      </c>
      <c r="I834" s="6">
        <f t="shared" si="12"/>
        <v>26341.300999999999</v>
      </c>
      <c r="J834" t="str">
        <f>IF(COUNTIF(Cruce!$A$5:$A$14,A834)&gt;0,"SKU de muestra","Regla extrapolada")</f>
        <v>Regla extrapolada</v>
      </c>
    </row>
    <row r="835" spans="1:10" ht="30" customHeight="1">
      <c r="A835" t="s">
        <v>1683</v>
      </c>
      <c r="B835" s="5" t="s">
        <v>1684</v>
      </c>
      <c r="C835">
        <v>1</v>
      </c>
      <c r="D835">
        <v>0</v>
      </c>
      <c r="E835">
        <v>5</v>
      </c>
      <c r="F835" s="6">
        <v>16913.57</v>
      </c>
      <c r="G835" s="6">
        <v>20953.796999999999</v>
      </c>
      <c r="H835" s="6">
        <f>IF(OR(F835&lt;=0,G835&lt;=0),"",ROUND(G835+F835*Uso!$B$5,Uso!$B$6))</f>
        <v>21461.204000000002</v>
      </c>
      <c r="I835" s="6">
        <f t="shared" si="12"/>
        <v>21461.204000000002</v>
      </c>
      <c r="J835" t="str">
        <f>IF(COUNTIF(Cruce!$A$5:$A$14,A835)&gt;0,"SKU de muestra","Regla extrapolada")</f>
        <v>Regla extrapolada</v>
      </c>
    </row>
    <row r="836" spans="1:10" ht="30" customHeight="1">
      <c r="A836" t="s">
        <v>1685</v>
      </c>
      <c r="B836" s="5" t="s">
        <v>1686</v>
      </c>
      <c r="C836">
        <v>1</v>
      </c>
      <c r="D836">
        <v>0</v>
      </c>
      <c r="E836">
        <v>5</v>
      </c>
      <c r="F836" s="6">
        <v>8529.4920000000002</v>
      </c>
      <c r="G836" s="6">
        <v>10320.684999999999</v>
      </c>
      <c r="H836" s="6">
        <f>IF(OR(F836&lt;=0,G836&lt;=0),"",ROUND(G836+F836*Uso!$B$5,Uso!$B$6))</f>
        <v>10576.57</v>
      </c>
      <c r="I836" s="6">
        <f t="shared" si="12"/>
        <v>10576.57</v>
      </c>
      <c r="J836" t="str">
        <f>IF(COUNTIF(Cruce!$A$5:$A$14,A836)&gt;0,"SKU de muestra","Regla extrapolada")</f>
        <v>Regla extrapolada</v>
      </c>
    </row>
    <row r="837" spans="1:10" ht="30" customHeight="1">
      <c r="A837" t="s">
        <v>1687</v>
      </c>
      <c r="B837" s="5" t="s">
        <v>1688</v>
      </c>
      <c r="C837">
        <v>1</v>
      </c>
      <c r="D837">
        <v>0</v>
      </c>
      <c r="E837">
        <v>5</v>
      </c>
      <c r="F837" s="6">
        <v>21220.233</v>
      </c>
      <c r="G837" s="6">
        <v>26176.977999999999</v>
      </c>
      <c r="H837" s="6">
        <f>IF(OR(F837&lt;=0,G837&lt;=0),"",ROUND(G837+F837*Uso!$B$5,Uso!$B$6))</f>
        <v>26813.584999999999</v>
      </c>
      <c r="I837" s="6">
        <f t="shared" ref="I837:I900" si="13">IF(OR(H837="",C837&lt;=0),"",H837/C837)</f>
        <v>26813.584999999999</v>
      </c>
      <c r="J837" t="str">
        <f>IF(COUNTIF(Cruce!$A$5:$A$14,A837)&gt;0,"SKU de muestra","Regla extrapolada")</f>
        <v>Regla extrapolada</v>
      </c>
    </row>
    <row r="838" spans="1:10" ht="30" customHeight="1">
      <c r="A838" t="s">
        <v>1689</v>
      </c>
      <c r="B838" s="5" t="s">
        <v>1690</v>
      </c>
      <c r="C838">
        <v>1</v>
      </c>
      <c r="D838">
        <v>0</v>
      </c>
      <c r="E838">
        <v>5</v>
      </c>
      <c r="F838" s="6">
        <v>40130.553999999996</v>
      </c>
      <c r="G838" s="6">
        <v>50230.976999999999</v>
      </c>
      <c r="H838" s="6">
        <f>IF(OR(F838&lt;=0,G838&lt;=0),"",ROUND(G838+F838*Uso!$B$5,Uso!$B$6))</f>
        <v>51434.894</v>
      </c>
      <c r="I838" s="6">
        <f t="shared" si="13"/>
        <v>51434.894</v>
      </c>
      <c r="J838" t="str">
        <f>IF(COUNTIF(Cruce!$A$5:$A$14,A838)&gt;0,"SKU de muestra","Regla extrapolada")</f>
        <v>Regla extrapolada</v>
      </c>
    </row>
    <row r="839" spans="1:10" ht="30" customHeight="1">
      <c r="A839" t="s">
        <v>1691</v>
      </c>
      <c r="B839" s="5" t="s">
        <v>1692</v>
      </c>
      <c r="C839">
        <v>1</v>
      </c>
      <c r="D839">
        <v>0</v>
      </c>
      <c r="E839">
        <v>5</v>
      </c>
      <c r="F839" s="6">
        <v>29489.631000000001</v>
      </c>
      <c r="G839" s="6">
        <v>36559.889000000003</v>
      </c>
      <c r="H839" s="6">
        <f>IF(OR(F839&lt;=0,G839&lt;=0),"",ROUND(G839+F839*Uso!$B$5,Uso!$B$6))</f>
        <v>37444.578000000001</v>
      </c>
      <c r="I839" s="6">
        <f t="shared" si="13"/>
        <v>37444.578000000001</v>
      </c>
      <c r="J839" t="str">
        <f>IF(COUNTIF(Cruce!$A$5:$A$14,A839)&gt;0,"SKU de muestra","Regla extrapolada")</f>
        <v>Regla extrapolada</v>
      </c>
    </row>
    <row r="840" spans="1:10" ht="30" customHeight="1">
      <c r="A840" t="s">
        <v>1693</v>
      </c>
      <c r="B840" s="5" t="s">
        <v>1694</v>
      </c>
      <c r="C840">
        <v>1</v>
      </c>
      <c r="D840">
        <v>0</v>
      </c>
      <c r="E840">
        <v>5</v>
      </c>
      <c r="F840" s="6">
        <v>45045.235999999997</v>
      </c>
      <c r="G840" s="6">
        <v>57304.421000000002</v>
      </c>
      <c r="H840" s="6">
        <f>IF(OR(F840&lt;=0,G840&lt;=0),"",ROUND(G840+F840*Uso!$B$5,Uso!$B$6))</f>
        <v>58655.777999999998</v>
      </c>
      <c r="I840" s="6">
        <f t="shared" si="13"/>
        <v>58655.777999999998</v>
      </c>
      <c r="J840" t="str">
        <f>IF(COUNTIF(Cruce!$A$5:$A$14,A840)&gt;0,"SKU de muestra","Regla extrapolada")</f>
        <v>Regla extrapolada</v>
      </c>
    </row>
    <row r="841" spans="1:10" ht="30" customHeight="1">
      <c r="A841" t="s">
        <v>1695</v>
      </c>
      <c r="B841" s="5" t="s">
        <v>1696</v>
      </c>
      <c r="C841">
        <v>1</v>
      </c>
      <c r="D841">
        <v>0</v>
      </c>
      <c r="E841">
        <v>5</v>
      </c>
      <c r="F841" s="6">
        <v>98315.22</v>
      </c>
      <c r="G841" s="6">
        <v>124275.514</v>
      </c>
      <c r="H841" s="6">
        <f>IF(OR(F841&lt;=0,G841&lt;=0),"",ROUND(G841+F841*Uso!$B$5,Uso!$B$6))</f>
        <v>127224.97100000001</v>
      </c>
      <c r="I841" s="6">
        <f t="shared" si="13"/>
        <v>127224.97100000001</v>
      </c>
      <c r="J841" t="str">
        <f>IF(COUNTIF(Cruce!$A$5:$A$14,A841)&gt;0,"SKU de muestra","Regla extrapolada")</f>
        <v>Regla extrapolada</v>
      </c>
    </row>
    <row r="842" spans="1:10" ht="30" customHeight="1">
      <c r="A842" t="s">
        <v>1697</v>
      </c>
      <c r="B842" s="5" t="s">
        <v>1698</v>
      </c>
      <c r="C842">
        <v>1</v>
      </c>
      <c r="D842">
        <v>0</v>
      </c>
      <c r="E842">
        <v>5</v>
      </c>
      <c r="F842" s="6">
        <v>23262.288</v>
      </c>
      <c r="G842" s="6">
        <v>29111.552</v>
      </c>
      <c r="H842" s="6">
        <f>IF(OR(F842&lt;=0,G842&lt;=0),"",ROUND(G842+F842*Uso!$B$5,Uso!$B$6))</f>
        <v>29809.420999999998</v>
      </c>
      <c r="I842" s="6">
        <f t="shared" si="13"/>
        <v>29809.420999999998</v>
      </c>
      <c r="J842" t="str">
        <f>IF(COUNTIF(Cruce!$A$5:$A$14,A842)&gt;0,"SKU de muestra","Regla extrapolada")</f>
        <v>Regla extrapolada</v>
      </c>
    </row>
    <row r="843" spans="1:10" ht="30" customHeight="1">
      <c r="A843" t="s">
        <v>1699</v>
      </c>
      <c r="B843" s="5" t="s">
        <v>1700</v>
      </c>
      <c r="C843">
        <v>1</v>
      </c>
      <c r="D843">
        <v>0</v>
      </c>
      <c r="E843">
        <v>5</v>
      </c>
      <c r="F843" s="6">
        <v>38179.603999999999</v>
      </c>
      <c r="G843" s="6">
        <v>46197.321000000004</v>
      </c>
      <c r="H843" s="6">
        <f>IF(OR(F843&lt;=0,G843&lt;=0),"",ROUND(G843+F843*Uso!$B$5,Uso!$B$6))</f>
        <v>47342.709000000003</v>
      </c>
      <c r="I843" s="6">
        <f t="shared" si="13"/>
        <v>47342.709000000003</v>
      </c>
      <c r="J843" t="str">
        <f>IF(COUNTIF(Cruce!$A$5:$A$14,A843)&gt;0,"SKU de muestra","Regla extrapolada")</f>
        <v>Regla extrapolada</v>
      </c>
    </row>
    <row r="844" spans="1:10" ht="30" customHeight="1">
      <c r="A844" t="s">
        <v>1701</v>
      </c>
      <c r="B844" s="5" t="s">
        <v>1702</v>
      </c>
      <c r="C844">
        <v>1</v>
      </c>
      <c r="D844">
        <v>0</v>
      </c>
      <c r="E844">
        <v>5</v>
      </c>
      <c r="F844" s="6">
        <v>12072.627</v>
      </c>
      <c r="G844" s="6">
        <v>15389.338</v>
      </c>
      <c r="H844" s="6">
        <f>IF(OR(F844&lt;=0,G844&lt;=0),"",ROUND(G844+F844*Uso!$B$5,Uso!$B$6))</f>
        <v>15751.517</v>
      </c>
      <c r="I844" s="6">
        <f t="shared" si="13"/>
        <v>15751.517</v>
      </c>
      <c r="J844" t="str">
        <f>IF(COUNTIF(Cruce!$A$5:$A$14,A844)&gt;0,"SKU de muestra","Regla extrapolada")</f>
        <v>Regla extrapolada</v>
      </c>
    </row>
    <row r="845" spans="1:10" ht="30" customHeight="1">
      <c r="A845" t="s">
        <v>1703</v>
      </c>
      <c r="B845" s="5" t="s">
        <v>1704</v>
      </c>
      <c r="C845">
        <v>1</v>
      </c>
      <c r="D845">
        <v>0</v>
      </c>
      <c r="E845">
        <v>5</v>
      </c>
      <c r="F845" s="6">
        <v>27163.057000000001</v>
      </c>
      <c r="G845" s="6">
        <v>32867.298000000003</v>
      </c>
      <c r="H845" s="6">
        <f>IF(OR(F845&lt;=0,G845&lt;=0),"",ROUND(G845+F845*Uso!$B$5,Uso!$B$6))</f>
        <v>33682.19</v>
      </c>
      <c r="I845" s="6">
        <f t="shared" si="13"/>
        <v>33682.19</v>
      </c>
      <c r="J845" t="str">
        <f>IF(COUNTIF(Cruce!$A$5:$A$14,A845)&gt;0,"SKU de muestra","Regla extrapolada")</f>
        <v>Regla extrapolada</v>
      </c>
    </row>
    <row r="846" spans="1:10" ht="30" customHeight="1">
      <c r="A846" t="s">
        <v>1705</v>
      </c>
      <c r="B846" s="5" t="s">
        <v>1394</v>
      </c>
      <c r="C846">
        <v>1</v>
      </c>
      <c r="D846">
        <v>0</v>
      </c>
      <c r="E846">
        <v>5</v>
      </c>
      <c r="F846" s="6">
        <v>21242.984</v>
      </c>
      <c r="G846" s="6">
        <v>25704.010999999999</v>
      </c>
      <c r="H846" s="6">
        <f>IF(OR(F846&lt;=0,G846&lt;=0),"",ROUND(G846+F846*Uso!$B$5,Uso!$B$6))</f>
        <v>26341.300999999999</v>
      </c>
      <c r="I846" s="6">
        <f t="shared" si="13"/>
        <v>26341.300999999999</v>
      </c>
      <c r="J846" t="str">
        <f>IF(COUNTIF(Cruce!$A$5:$A$14,A846)&gt;0,"SKU de muestra","Regla extrapolada")</f>
        <v>Regla extrapolada</v>
      </c>
    </row>
    <row r="847" spans="1:10" ht="30" customHeight="1">
      <c r="A847" t="s">
        <v>1706</v>
      </c>
      <c r="B847" s="5" t="s">
        <v>1707</v>
      </c>
      <c r="C847">
        <v>1</v>
      </c>
      <c r="D847">
        <v>0</v>
      </c>
      <c r="E847">
        <v>5</v>
      </c>
      <c r="F847" s="6">
        <v>43933.731</v>
      </c>
      <c r="G847" s="6">
        <v>55890.349000000002</v>
      </c>
      <c r="H847" s="6">
        <f>IF(OR(F847&lt;=0,G847&lt;=0),"",ROUND(G847+F847*Uso!$B$5,Uso!$B$6))</f>
        <v>57208.360999999997</v>
      </c>
      <c r="I847" s="6">
        <f t="shared" si="13"/>
        <v>57208.360999999997</v>
      </c>
      <c r="J847" t="str">
        <f>IF(COUNTIF(Cruce!$A$5:$A$14,A847)&gt;0,"SKU de muestra","Regla extrapolada")</f>
        <v>Regla extrapolada</v>
      </c>
    </row>
    <row r="848" spans="1:10" ht="30" customHeight="1">
      <c r="A848" t="s">
        <v>1708</v>
      </c>
      <c r="B848" s="5" t="s">
        <v>1709</v>
      </c>
      <c r="C848">
        <v>1</v>
      </c>
      <c r="D848">
        <v>0</v>
      </c>
      <c r="E848">
        <v>5</v>
      </c>
      <c r="F848" s="6">
        <v>38151.065999999999</v>
      </c>
      <c r="G848" s="6">
        <v>48113.442999999999</v>
      </c>
      <c r="H848" s="6">
        <f>IF(OR(F848&lt;=0,G848&lt;=0),"",ROUND(G848+F848*Uso!$B$5,Uso!$B$6))</f>
        <v>49257.974999999999</v>
      </c>
      <c r="I848" s="6">
        <f t="shared" si="13"/>
        <v>49257.974999999999</v>
      </c>
      <c r="J848" t="str">
        <f>IF(COUNTIF(Cruce!$A$5:$A$14,A848)&gt;0,"SKU de muestra","Regla extrapolada")</f>
        <v>Regla extrapolada</v>
      </c>
    </row>
    <row r="849" spans="1:10" ht="30" customHeight="1">
      <c r="A849" t="s">
        <v>1710</v>
      </c>
      <c r="B849" s="5" t="s">
        <v>1711</v>
      </c>
      <c r="C849">
        <v>1</v>
      </c>
      <c r="D849">
        <v>0</v>
      </c>
      <c r="E849">
        <v>5</v>
      </c>
      <c r="F849" s="6">
        <v>82084.797000000006</v>
      </c>
      <c r="G849" s="6">
        <v>104003.792</v>
      </c>
      <c r="H849" s="6">
        <f>IF(OR(F849&lt;=0,G849&lt;=0),"",ROUND(G849+F849*Uso!$B$5,Uso!$B$6))</f>
        <v>106466.336</v>
      </c>
      <c r="I849" s="6">
        <f t="shared" si="13"/>
        <v>106466.336</v>
      </c>
      <c r="J849" t="str">
        <f>IF(COUNTIF(Cruce!$A$5:$A$14,A849)&gt;0,"SKU de muestra","Regla extrapolada")</f>
        <v>Regla extrapolada</v>
      </c>
    </row>
    <row r="850" spans="1:10" ht="30" customHeight="1">
      <c r="A850" t="s">
        <v>1712</v>
      </c>
      <c r="B850" s="5" t="s">
        <v>1713</v>
      </c>
      <c r="C850">
        <v>1</v>
      </c>
      <c r="D850">
        <v>0</v>
      </c>
      <c r="E850">
        <v>5</v>
      </c>
      <c r="F850" s="6">
        <v>23633.401000000002</v>
      </c>
      <c r="G850" s="6">
        <v>29746.313999999998</v>
      </c>
      <c r="H850" s="6">
        <f>IF(OR(F850&lt;=0,G850&lt;=0),"",ROUND(G850+F850*Uso!$B$5,Uso!$B$6))</f>
        <v>30455.315999999999</v>
      </c>
      <c r="I850" s="6">
        <f t="shared" si="13"/>
        <v>30455.315999999999</v>
      </c>
      <c r="J850" t="str">
        <f>IF(COUNTIF(Cruce!$A$5:$A$14,A850)&gt;0,"SKU de muestra","Regla extrapolada")</f>
        <v>Regla extrapolada</v>
      </c>
    </row>
    <row r="851" spans="1:10" ht="30" customHeight="1">
      <c r="A851" t="s">
        <v>1714</v>
      </c>
      <c r="B851" s="5" t="s">
        <v>1715</v>
      </c>
      <c r="C851">
        <v>1</v>
      </c>
      <c r="D851">
        <v>0</v>
      </c>
      <c r="E851">
        <v>5</v>
      </c>
      <c r="F851" s="6">
        <v>22542.213</v>
      </c>
      <c r="G851" s="6">
        <v>27276.078000000001</v>
      </c>
      <c r="H851" s="6">
        <f>IF(OR(F851&lt;=0,G851&lt;=0),"",ROUND(G851+F851*Uso!$B$5,Uso!$B$6))</f>
        <v>27952.344000000001</v>
      </c>
      <c r="I851" s="6">
        <f t="shared" si="13"/>
        <v>27952.344000000001</v>
      </c>
      <c r="J851" t="str">
        <f>IF(COUNTIF(Cruce!$A$5:$A$14,A851)&gt;0,"SKU de muestra","Regla extrapolada")</f>
        <v>Regla extrapolada</v>
      </c>
    </row>
    <row r="852" spans="1:10" ht="30" customHeight="1">
      <c r="A852" t="s">
        <v>1716</v>
      </c>
      <c r="B852" s="5" t="s">
        <v>1717</v>
      </c>
      <c r="C852">
        <v>1</v>
      </c>
      <c r="D852">
        <v>0</v>
      </c>
      <c r="E852">
        <v>5</v>
      </c>
      <c r="F852" s="6">
        <v>30056.284</v>
      </c>
      <c r="G852" s="6">
        <v>36368.103999999999</v>
      </c>
      <c r="H852" s="6">
        <f>IF(OR(F852&lt;=0,G852&lt;=0),"",ROUND(G852+F852*Uso!$B$5,Uso!$B$6))</f>
        <v>37269.792999999998</v>
      </c>
      <c r="I852" s="6">
        <f t="shared" si="13"/>
        <v>37269.792999999998</v>
      </c>
      <c r="J852" t="str">
        <f>IF(COUNTIF(Cruce!$A$5:$A$14,A852)&gt;0,"SKU de muestra","Regla extrapolada")</f>
        <v>Regla extrapolada</v>
      </c>
    </row>
    <row r="853" spans="1:10" ht="30" customHeight="1">
      <c r="A853" t="s">
        <v>1718</v>
      </c>
      <c r="B853" s="5" t="s">
        <v>1719</v>
      </c>
      <c r="C853">
        <v>1</v>
      </c>
      <c r="D853">
        <v>0</v>
      </c>
      <c r="E853">
        <v>5</v>
      </c>
      <c r="F853" s="6">
        <v>45542.453000000001</v>
      </c>
      <c r="G853" s="6">
        <v>57914.817999999999</v>
      </c>
      <c r="H853" s="6">
        <f>IF(OR(F853&lt;=0,G853&lt;=0),"",ROUND(G853+F853*Uso!$B$5,Uso!$B$6))</f>
        <v>59281.091999999997</v>
      </c>
      <c r="I853" s="6">
        <f t="shared" si="13"/>
        <v>59281.091999999997</v>
      </c>
      <c r="J853" t="str">
        <f>IF(COUNTIF(Cruce!$A$5:$A$14,A853)&gt;0,"SKU de muestra","Regla extrapolada")</f>
        <v>Regla extrapolada</v>
      </c>
    </row>
    <row r="854" spans="1:10" ht="30" customHeight="1">
      <c r="A854" t="s">
        <v>1720</v>
      </c>
      <c r="B854" s="5" t="s">
        <v>1721</v>
      </c>
      <c r="C854">
        <v>1</v>
      </c>
      <c r="D854">
        <v>0</v>
      </c>
      <c r="E854">
        <v>5</v>
      </c>
      <c r="F854" s="6">
        <v>148969.05300000001</v>
      </c>
      <c r="G854" s="6">
        <v>182628.774</v>
      </c>
      <c r="H854" s="6">
        <f>IF(OR(F854&lt;=0,G854&lt;=0),"",ROUND(G854+F854*Uso!$B$5,Uso!$B$6))</f>
        <v>187097.84599999999</v>
      </c>
      <c r="I854" s="6">
        <f t="shared" si="13"/>
        <v>187097.84599999999</v>
      </c>
      <c r="J854" t="str">
        <f>IF(COUNTIF(Cruce!$A$5:$A$14,A854)&gt;0,"SKU de muestra","Regla extrapolada")</f>
        <v>Regla extrapolada</v>
      </c>
    </row>
    <row r="855" spans="1:10" ht="30" customHeight="1">
      <c r="A855" t="s">
        <v>1722</v>
      </c>
      <c r="B855" s="5" t="s">
        <v>1723</v>
      </c>
      <c r="C855">
        <v>1</v>
      </c>
      <c r="D855">
        <v>0</v>
      </c>
      <c r="E855">
        <v>5</v>
      </c>
      <c r="F855" s="6">
        <v>21774.059000000001</v>
      </c>
      <c r="G855" s="6">
        <v>26346.611000000001</v>
      </c>
      <c r="H855" s="6">
        <f>IF(OR(F855&lt;=0,G855&lt;=0),"",ROUND(G855+F855*Uso!$B$5,Uso!$B$6))</f>
        <v>26999.832999999999</v>
      </c>
      <c r="I855" s="6">
        <f t="shared" si="13"/>
        <v>26999.832999999999</v>
      </c>
      <c r="J855" t="str">
        <f>IF(COUNTIF(Cruce!$A$5:$A$14,A855)&gt;0,"SKU de muestra","Regla extrapolada")</f>
        <v>Regla extrapolada</v>
      </c>
    </row>
    <row r="856" spans="1:10" ht="30" customHeight="1">
      <c r="A856" t="s">
        <v>1724</v>
      </c>
      <c r="B856" s="5" t="s">
        <v>1725</v>
      </c>
      <c r="C856">
        <v>1</v>
      </c>
      <c r="D856">
        <v>0</v>
      </c>
      <c r="E856">
        <v>5</v>
      </c>
      <c r="F856" s="6">
        <v>7960.8590000000004</v>
      </c>
      <c r="G856" s="6">
        <v>9632.64</v>
      </c>
      <c r="H856" s="6">
        <f>IF(OR(F856&lt;=0,G856&lt;=0),"",ROUND(G856+F856*Uso!$B$5,Uso!$B$6))</f>
        <v>9871.4660000000003</v>
      </c>
      <c r="I856" s="6">
        <f t="shared" si="13"/>
        <v>9871.4660000000003</v>
      </c>
      <c r="J856" t="str">
        <f>IF(COUNTIF(Cruce!$A$5:$A$14,A856)&gt;0,"SKU de muestra","Regla extrapolada")</f>
        <v>Regla extrapolada</v>
      </c>
    </row>
    <row r="857" spans="1:10" ht="30" customHeight="1">
      <c r="A857" t="s">
        <v>1726</v>
      </c>
      <c r="B857" s="5" t="s">
        <v>1727</v>
      </c>
      <c r="C857">
        <v>1</v>
      </c>
      <c r="D857">
        <v>0</v>
      </c>
      <c r="E857">
        <v>5</v>
      </c>
      <c r="F857" s="6">
        <v>32716.608</v>
      </c>
      <c r="G857" s="6">
        <v>40150.946000000004</v>
      </c>
      <c r="H857" s="6">
        <f>IF(OR(F857&lt;=0,G857&lt;=0),"",ROUND(G857+F857*Uso!$B$5,Uso!$B$6))</f>
        <v>41132.444000000003</v>
      </c>
      <c r="I857" s="6">
        <f t="shared" si="13"/>
        <v>41132.444000000003</v>
      </c>
      <c r="J857" t="str">
        <f>IF(COUNTIF(Cruce!$A$5:$A$14,A857)&gt;0,"SKU de muestra","Regla extrapolada")</f>
        <v>Regla extrapolada</v>
      </c>
    </row>
    <row r="858" spans="1:10" ht="30" customHeight="1">
      <c r="A858" t="s">
        <v>1728</v>
      </c>
      <c r="B858" s="5" t="s">
        <v>1729</v>
      </c>
      <c r="C858">
        <v>1</v>
      </c>
      <c r="D858">
        <v>0</v>
      </c>
      <c r="E858">
        <v>5</v>
      </c>
      <c r="F858" s="6">
        <v>18485.353999999999</v>
      </c>
      <c r="G858" s="6">
        <v>23472.178</v>
      </c>
      <c r="H858" s="6">
        <f>IF(OR(F858&lt;=0,G858&lt;=0),"",ROUND(G858+F858*Uso!$B$5,Uso!$B$6))</f>
        <v>24026.739000000001</v>
      </c>
      <c r="I858" s="6">
        <f t="shared" si="13"/>
        <v>24026.739000000001</v>
      </c>
      <c r="J858" t="str">
        <f>IF(COUNTIF(Cruce!$A$5:$A$14,A858)&gt;0,"SKU de muestra","Regla extrapolada")</f>
        <v>Regla extrapolada</v>
      </c>
    </row>
    <row r="859" spans="1:10" ht="30" customHeight="1">
      <c r="A859" t="s">
        <v>1730</v>
      </c>
      <c r="B859" s="5" t="s">
        <v>1731</v>
      </c>
      <c r="C859">
        <v>1</v>
      </c>
      <c r="D859">
        <v>0</v>
      </c>
      <c r="E859">
        <v>5</v>
      </c>
      <c r="F859" s="6">
        <v>17514.495999999999</v>
      </c>
      <c r="G859" s="6">
        <v>22158.275000000001</v>
      </c>
      <c r="H859" s="6">
        <f>IF(OR(F859&lt;=0,G859&lt;=0),"",ROUND(G859+F859*Uso!$B$5,Uso!$B$6))</f>
        <v>22683.71</v>
      </c>
      <c r="I859" s="6">
        <f t="shared" si="13"/>
        <v>22683.71</v>
      </c>
      <c r="J859" t="str">
        <f>IF(COUNTIF(Cruce!$A$5:$A$14,A859)&gt;0,"SKU de muestra","Regla extrapolada")</f>
        <v>Regla extrapolada</v>
      </c>
    </row>
    <row r="860" spans="1:10" ht="30" customHeight="1">
      <c r="A860" t="s">
        <v>1732</v>
      </c>
      <c r="B860" s="5" t="s">
        <v>1733</v>
      </c>
      <c r="C860">
        <v>1</v>
      </c>
      <c r="D860">
        <v>0</v>
      </c>
      <c r="E860">
        <v>5</v>
      </c>
      <c r="F860" s="6">
        <v>41955.673000000003</v>
      </c>
      <c r="G860" s="6">
        <v>52279.025999999998</v>
      </c>
      <c r="H860" s="6">
        <f>IF(OR(F860&lt;=0,G860&lt;=0),"",ROUND(G860+F860*Uso!$B$5,Uso!$B$6))</f>
        <v>53537.696000000004</v>
      </c>
      <c r="I860" s="6">
        <f t="shared" si="13"/>
        <v>53537.696000000004</v>
      </c>
      <c r="J860" t="str">
        <f>IF(COUNTIF(Cruce!$A$5:$A$14,A860)&gt;0,"SKU de muestra","Regla extrapolada")</f>
        <v>Regla extrapolada</v>
      </c>
    </row>
    <row r="861" spans="1:10" ht="30" customHeight="1">
      <c r="A861" t="s">
        <v>1734</v>
      </c>
      <c r="B861" s="5" t="s">
        <v>1735</v>
      </c>
      <c r="C861">
        <v>1</v>
      </c>
      <c r="D861">
        <v>0</v>
      </c>
      <c r="E861">
        <v>5</v>
      </c>
      <c r="F861" s="6">
        <v>31321.393</v>
      </c>
      <c r="G861" s="6">
        <v>39823.569000000003</v>
      </c>
      <c r="H861" s="6">
        <f>IF(OR(F861&lt;=0,G861&lt;=0),"",ROUND(G861+F861*Uso!$B$5,Uso!$B$6))</f>
        <v>40763.211000000003</v>
      </c>
      <c r="I861" s="6">
        <f t="shared" si="13"/>
        <v>40763.211000000003</v>
      </c>
      <c r="J861" t="str">
        <f>IF(COUNTIF(Cruce!$A$5:$A$14,A861)&gt;0,"SKU de muestra","Regla extrapolada")</f>
        <v>Regla extrapolada</v>
      </c>
    </row>
    <row r="862" spans="1:10" ht="30" customHeight="1">
      <c r="A862" t="s">
        <v>1736</v>
      </c>
      <c r="B862" s="5" t="s">
        <v>1737</v>
      </c>
      <c r="C862">
        <v>1</v>
      </c>
      <c r="D862">
        <v>0</v>
      </c>
      <c r="E862">
        <v>5</v>
      </c>
      <c r="F862" s="6">
        <v>32277.665000000001</v>
      </c>
      <c r="G862" s="6">
        <v>40747.75</v>
      </c>
      <c r="H862" s="6">
        <f>IF(OR(F862&lt;=0,G862&lt;=0),"",ROUND(G862+F862*Uso!$B$5,Uso!$B$6))</f>
        <v>41716.080000000002</v>
      </c>
      <c r="I862" s="6">
        <f t="shared" si="13"/>
        <v>41716.080000000002</v>
      </c>
      <c r="J862" t="str">
        <f>IF(COUNTIF(Cruce!$A$5:$A$14,A862)&gt;0,"SKU de muestra","Regla extrapolada")</f>
        <v>Regla extrapolada</v>
      </c>
    </row>
    <row r="863" spans="1:10" ht="30" customHeight="1">
      <c r="A863" t="s">
        <v>1738</v>
      </c>
      <c r="B863" s="5" t="s">
        <v>1739</v>
      </c>
      <c r="C863">
        <v>1</v>
      </c>
      <c r="D863">
        <v>0</v>
      </c>
      <c r="E863">
        <v>5</v>
      </c>
      <c r="F863" s="6">
        <v>30473.718000000001</v>
      </c>
      <c r="G863" s="6">
        <v>36873.199000000001</v>
      </c>
      <c r="H863" s="6">
        <f>IF(OR(F863&lt;=0,G863&lt;=0),"",ROUND(G863+F863*Uso!$B$5,Uso!$B$6))</f>
        <v>37787.411</v>
      </c>
      <c r="I863" s="6">
        <f t="shared" si="13"/>
        <v>37787.411</v>
      </c>
      <c r="J863" t="str">
        <f>IF(COUNTIF(Cruce!$A$5:$A$14,A863)&gt;0,"SKU de muestra","Regla extrapolada")</f>
        <v>Regla extrapolada</v>
      </c>
    </row>
    <row r="864" spans="1:10" ht="30" customHeight="1">
      <c r="A864" t="s">
        <v>1740</v>
      </c>
      <c r="B864" s="5" t="s">
        <v>1741</v>
      </c>
      <c r="C864">
        <v>1</v>
      </c>
      <c r="D864">
        <v>0</v>
      </c>
      <c r="E864">
        <v>5</v>
      </c>
      <c r="F864" s="6">
        <v>22555.896000000001</v>
      </c>
      <c r="G864" s="6">
        <v>27292.633999999998</v>
      </c>
      <c r="H864" s="6">
        <f>IF(OR(F864&lt;=0,G864&lt;=0),"",ROUND(G864+F864*Uso!$B$5,Uso!$B$6))</f>
        <v>27969.311000000002</v>
      </c>
      <c r="I864" s="6">
        <f t="shared" si="13"/>
        <v>27969.311000000002</v>
      </c>
      <c r="J864" t="str">
        <f>IF(COUNTIF(Cruce!$A$5:$A$14,A864)&gt;0,"SKU de muestra","Regla extrapolada")</f>
        <v>Regla extrapolada</v>
      </c>
    </row>
    <row r="865" spans="1:10" ht="30" customHeight="1">
      <c r="A865" t="s">
        <v>1742</v>
      </c>
      <c r="B865" s="5" t="s">
        <v>1743</v>
      </c>
      <c r="C865">
        <v>1</v>
      </c>
      <c r="D865">
        <v>0</v>
      </c>
      <c r="E865">
        <v>5</v>
      </c>
      <c r="F865" s="6">
        <v>18685.954000000002</v>
      </c>
      <c r="G865" s="6">
        <v>22953.938999999998</v>
      </c>
      <c r="H865" s="6">
        <f>IF(OR(F865&lt;=0,G865&lt;=0),"",ROUND(G865+F865*Uso!$B$5,Uso!$B$6))</f>
        <v>23514.518</v>
      </c>
      <c r="I865" s="6">
        <f t="shared" si="13"/>
        <v>23514.518</v>
      </c>
      <c r="J865" t="str">
        <f>IF(COUNTIF(Cruce!$A$5:$A$14,A865)&gt;0,"SKU de muestra","Regla extrapolada")</f>
        <v>Regla extrapolada</v>
      </c>
    </row>
    <row r="866" spans="1:10" ht="30" customHeight="1">
      <c r="A866" t="s">
        <v>1744</v>
      </c>
      <c r="B866" s="5" t="s">
        <v>1745</v>
      </c>
      <c r="C866">
        <v>1</v>
      </c>
      <c r="D866">
        <v>0</v>
      </c>
      <c r="E866">
        <v>5</v>
      </c>
      <c r="F866" s="6">
        <v>26603.625</v>
      </c>
      <c r="G866" s="6">
        <v>33529.53</v>
      </c>
      <c r="H866" s="6">
        <f>IF(OR(F866&lt;=0,G866&lt;=0),"",ROUND(G866+F866*Uso!$B$5,Uso!$B$6))</f>
        <v>34327.639000000003</v>
      </c>
      <c r="I866" s="6">
        <f t="shared" si="13"/>
        <v>34327.639000000003</v>
      </c>
      <c r="J866" t="str">
        <f>IF(COUNTIF(Cruce!$A$5:$A$14,A866)&gt;0,"SKU de muestra","Regla extrapolada")</f>
        <v>Regla extrapolada</v>
      </c>
    </row>
    <row r="867" spans="1:10" ht="30" customHeight="1">
      <c r="A867" t="s">
        <v>1746</v>
      </c>
      <c r="B867" s="5" t="s">
        <v>1747</v>
      </c>
      <c r="C867">
        <v>1</v>
      </c>
      <c r="D867">
        <v>0</v>
      </c>
      <c r="E867">
        <v>5</v>
      </c>
      <c r="F867" s="6">
        <v>19929.832999999999</v>
      </c>
      <c r="G867" s="6">
        <v>25272.526999999998</v>
      </c>
      <c r="H867" s="6">
        <f>IF(OR(F867&lt;=0,G867&lt;=0),"",ROUND(G867+F867*Uso!$B$5,Uso!$B$6))</f>
        <v>25870.421999999999</v>
      </c>
      <c r="I867" s="6">
        <f t="shared" si="13"/>
        <v>25870.421999999999</v>
      </c>
      <c r="J867" t="str">
        <f>IF(COUNTIF(Cruce!$A$5:$A$14,A867)&gt;0,"SKU de muestra","Regla extrapolada")</f>
        <v>Regla extrapolada</v>
      </c>
    </row>
    <row r="868" spans="1:10" ht="30" customHeight="1">
      <c r="A868" t="s">
        <v>1748</v>
      </c>
      <c r="B868" s="5" t="s">
        <v>1749</v>
      </c>
      <c r="C868">
        <v>1</v>
      </c>
      <c r="D868">
        <v>0</v>
      </c>
      <c r="E868">
        <v>5</v>
      </c>
      <c r="F868" s="6">
        <v>26523.79</v>
      </c>
      <c r="G868" s="6">
        <v>33618.713000000003</v>
      </c>
      <c r="H868" s="6">
        <f>IF(OR(F868&lt;=0,G868&lt;=0),"",ROUND(G868+F868*Uso!$B$5,Uso!$B$6))</f>
        <v>34414.427000000003</v>
      </c>
      <c r="I868" s="6">
        <f t="shared" si="13"/>
        <v>34414.427000000003</v>
      </c>
      <c r="J868" t="str">
        <f>IF(COUNTIF(Cruce!$A$5:$A$14,A868)&gt;0,"SKU de muestra","Regla extrapolada")</f>
        <v>Regla extrapolada</v>
      </c>
    </row>
    <row r="869" spans="1:10" ht="30" customHeight="1">
      <c r="A869" t="s">
        <v>1750</v>
      </c>
      <c r="B869" s="5" t="s">
        <v>1751</v>
      </c>
      <c r="C869">
        <v>1</v>
      </c>
      <c r="D869">
        <v>0</v>
      </c>
      <c r="E869">
        <v>5</v>
      </c>
      <c r="F869" s="6">
        <v>23202.187999999998</v>
      </c>
      <c r="G869" s="6">
        <v>28074.648000000001</v>
      </c>
      <c r="H869" s="6">
        <f>IF(OR(F869&lt;=0,G869&lt;=0),"",ROUND(G869+F869*Uso!$B$5,Uso!$B$6))</f>
        <v>28770.714</v>
      </c>
      <c r="I869" s="6">
        <f t="shared" si="13"/>
        <v>28770.714</v>
      </c>
      <c r="J869" t="str">
        <f>IF(COUNTIF(Cruce!$A$5:$A$14,A869)&gt;0,"SKU de muestra","Regla extrapolada")</f>
        <v>Regla extrapolada</v>
      </c>
    </row>
    <row r="870" spans="1:10" ht="30" customHeight="1">
      <c r="A870" t="s">
        <v>1752</v>
      </c>
      <c r="B870" s="5" t="s">
        <v>1753</v>
      </c>
      <c r="C870">
        <v>1</v>
      </c>
      <c r="D870">
        <v>0</v>
      </c>
      <c r="E870">
        <v>5</v>
      </c>
      <c r="F870" s="6">
        <v>20559.675999999999</v>
      </c>
      <c r="G870" s="6">
        <v>24877.207999999999</v>
      </c>
      <c r="H870" s="6">
        <f>IF(OR(F870&lt;=0,G870&lt;=0),"",ROUND(G870+F870*Uso!$B$5,Uso!$B$6))</f>
        <v>25493.998</v>
      </c>
      <c r="I870" s="6">
        <f t="shared" si="13"/>
        <v>25493.998</v>
      </c>
      <c r="J870" t="str">
        <f>IF(COUNTIF(Cruce!$A$5:$A$14,A870)&gt;0,"SKU de muestra","Regla extrapolada")</f>
        <v>Regla extrapolada</v>
      </c>
    </row>
    <row r="871" spans="1:10" ht="30" customHeight="1">
      <c r="A871" t="s">
        <v>1754</v>
      </c>
      <c r="B871" s="5" t="s">
        <v>1755</v>
      </c>
      <c r="C871">
        <v>1</v>
      </c>
      <c r="D871">
        <v>0</v>
      </c>
      <c r="E871">
        <v>5</v>
      </c>
      <c r="F871" s="6">
        <v>24270.27</v>
      </c>
      <c r="G871" s="6">
        <v>33786.423999999999</v>
      </c>
      <c r="H871" s="6">
        <f>IF(OR(F871&lt;=0,G871&lt;=0),"",ROUND(G871+F871*Uso!$B$5,Uso!$B$6))</f>
        <v>34514.531999999999</v>
      </c>
      <c r="I871" s="6">
        <f t="shared" si="13"/>
        <v>34514.531999999999</v>
      </c>
      <c r="J871" t="str">
        <f>IF(COUNTIF(Cruce!$A$5:$A$14,A871)&gt;0,"SKU de muestra","Regla extrapolada")</f>
        <v>Regla extrapolada</v>
      </c>
    </row>
    <row r="872" spans="1:10" ht="30" customHeight="1">
      <c r="A872" t="s">
        <v>1756</v>
      </c>
      <c r="B872" s="5" t="s">
        <v>1629</v>
      </c>
      <c r="C872">
        <v>1</v>
      </c>
      <c r="D872">
        <v>0</v>
      </c>
      <c r="E872">
        <v>5</v>
      </c>
      <c r="F872" s="6">
        <v>17793.25</v>
      </c>
      <c r="G872" s="6">
        <v>22611.87</v>
      </c>
      <c r="H872" s="6">
        <f>IF(OR(F872&lt;=0,G872&lt;=0),"",ROUND(G872+F872*Uso!$B$5,Uso!$B$6))</f>
        <v>23145.668000000001</v>
      </c>
      <c r="I872" s="6">
        <f t="shared" si="13"/>
        <v>23145.668000000001</v>
      </c>
      <c r="J872" t="str">
        <f>IF(COUNTIF(Cruce!$A$5:$A$14,A872)&gt;0,"SKU de muestra","Regla extrapolada")</f>
        <v>Regla extrapolada</v>
      </c>
    </row>
    <row r="873" spans="1:10" ht="30" customHeight="1">
      <c r="A873" t="s">
        <v>1757</v>
      </c>
      <c r="B873" s="5" t="s">
        <v>1758</v>
      </c>
      <c r="C873">
        <v>1</v>
      </c>
      <c r="D873">
        <v>0</v>
      </c>
      <c r="E873">
        <v>5</v>
      </c>
      <c r="F873" s="6">
        <v>6421.61</v>
      </c>
      <c r="G873" s="6">
        <v>8185.8180000000002</v>
      </c>
      <c r="H873" s="6">
        <f>IF(OR(F873&lt;=0,G873&lt;=0),"",ROUND(G873+F873*Uso!$B$5,Uso!$B$6))</f>
        <v>8378.4660000000003</v>
      </c>
      <c r="I873" s="6">
        <f t="shared" si="13"/>
        <v>8378.4660000000003</v>
      </c>
      <c r="J873" t="str">
        <f>IF(COUNTIF(Cruce!$A$5:$A$14,A873)&gt;0,"SKU de muestra","Regla extrapolada")</f>
        <v>Regla extrapolada</v>
      </c>
    </row>
    <row r="874" spans="1:10" ht="30" customHeight="1">
      <c r="A874" t="s">
        <v>1759</v>
      </c>
      <c r="B874" s="5" t="s">
        <v>1760</v>
      </c>
      <c r="C874">
        <v>1</v>
      </c>
      <c r="D874">
        <v>0</v>
      </c>
      <c r="E874">
        <v>5</v>
      </c>
      <c r="F874" s="6">
        <v>12109.334999999999</v>
      </c>
      <c r="G874" s="6">
        <v>15435.344999999999</v>
      </c>
      <c r="H874" s="6">
        <f>IF(OR(F874&lt;=0,G874&lt;=0),"",ROUND(G874+F874*Uso!$B$5,Uso!$B$6))</f>
        <v>15798.625</v>
      </c>
      <c r="I874" s="6">
        <f t="shared" si="13"/>
        <v>15798.625</v>
      </c>
      <c r="J874" t="str">
        <f>IF(COUNTIF(Cruce!$A$5:$A$14,A874)&gt;0,"SKU de muestra","Regla extrapolada")</f>
        <v>Regla extrapolada</v>
      </c>
    </row>
    <row r="875" spans="1:10" ht="30" customHeight="1">
      <c r="A875" t="s">
        <v>1761</v>
      </c>
      <c r="B875" s="5" t="s">
        <v>1760</v>
      </c>
      <c r="C875">
        <v>1</v>
      </c>
      <c r="D875">
        <v>0</v>
      </c>
      <c r="E875">
        <v>5</v>
      </c>
      <c r="F875" s="6">
        <v>7641.8109999999997</v>
      </c>
      <c r="G875" s="6">
        <v>9761.402</v>
      </c>
      <c r="H875" s="6">
        <f>IF(OR(F875&lt;=0,G875&lt;=0),"",ROUND(G875+F875*Uso!$B$5,Uso!$B$6))</f>
        <v>9990.6560000000009</v>
      </c>
      <c r="I875" s="6">
        <f t="shared" si="13"/>
        <v>9990.6560000000009</v>
      </c>
      <c r="J875" t="str">
        <f>IF(COUNTIF(Cruce!$A$5:$A$14,A875)&gt;0,"SKU de muestra","Regla extrapolada")</f>
        <v>Regla extrapolada</v>
      </c>
    </row>
    <row r="876" spans="1:10" ht="30" customHeight="1">
      <c r="A876" t="s">
        <v>1762</v>
      </c>
      <c r="B876" s="5" t="s">
        <v>1763</v>
      </c>
      <c r="C876">
        <v>1</v>
      </c>
      <c r="D876">
        <v>0</v>
      </c>
      <c r="E876">
        <v>5</v>
      </c>
      <c r="F876" s="6">
        <v>15474.44</v>
      </c>
      <c r="G876" s="6">
        <v>20607.736000000001</v>
      </c>
      <c r="H876" s="6">
        <f>IF(OR(F876&lt;=0,G876&lt;=0),"",ROUND(G876+F876*Uso!$B$5,Uso!$B$6))</f>
        <v>21071.969000000001</v>
      </c>
      <c r="I876" s="6">
        <f t="shared" si="13"/>
        <v>21071.969000000001</v>
      </c>
      <c r="J876" t="str">
        <f>IF(COUNTIF(Cruce!$A$5:$A$14,A876)&gt;0,"SKU de muestra","Regla extrapolada")</f>
        <v>Regla extrapolada</v>
      </c>
    </row>
    <row r="877" spans="1:10" ht="30" customHeight="1">
      <c r="A877" t="s">
        <v>1764</v>
      </c>
      <c r="B877" s="5" t="s">
        <v>1765</v>
      </c>
      <c r="C877">
        <v>1</v>
      </c>
      <c r="D877">
        <v>0</v>
      </c>
      <c r="E877">
        <v>5</v>
      </c>
      <c r="F877" s="6">
        <v>31321.393</v>
      </c>
      <c r="G877" s="6">
        <v>39823.569000000003</v>
      </c>
      <c r="H877" s="6">
        <f>IF(OR(F877&lt;=0,G877&lt;=0),"",ROUND(G877+F877*Uso!$B$5,Uso!$B$6))</f>
        <v>40763.211000000003</v>
      </c>
      <c r="I877" s="6">
        <f t="shared" si="13"/>
        <v>40763.211000000003</v>
      </c>
      <c r="J877" t="str">
        <f>IF(COUNTIF(Cruce!$A$5:$A$14,A877)&gt;0,"SKU de muestra","Regla extrapolada")</f>
        <v>Regla extrapolada</v>
      </c>
    </row>
    <row r="878" spans="1:10" ht="30" customHeight="1">
      <c r="A878" t="s">
        <v>1766</v>
      </c>
      <c r="B878" s="5" t="s">
        <v>1767</v>
      </c>
      <c r="C878">
        <v>1</v>
      </c>
      <c r="D878">
        <v>0</v>
      </c>
      <c r="E878">
        <v>5</v>
      </c>
      <c r="F878" s="6">
        <v>32637.491999999998</v>
      </c>
      <c r="G878" s="6">
        <v>40446.108999999997</v>
      </c>
      <c r="H878" s="6">
        <f>IF(OR(F878&lt;=0,G878&lt;=0),"",ROUND(G878+F878*Uso!$B$5,Uso!$B$6))</f>
        <v>41425.233999999997</v>
      </c>
      <c r="I878" s="6">
        <f t="shared" si="13"/>
        <v>41425.233999999997</v>
      </c>
      <c r="J878" t="str">
        <f>IF(COUNTIF(Cruce!$A$5:$A$14,A878)&gt;0,"SKU de muestra","Regla extrapolada")</f>
        <v>Regla extrapolada</v>
      </c>
    </row>
    <row r="879" spans="1:10" ht="30" customHeight="1">
      <c r="A879" t="s">
        <v>1768</v>
      </c>
      <c r="B879" s="5" t="s">
        <v>1769</v>
      </c>
      <c r="C879">
        <v>1</v>
      </c>
      <c r="D879">
        <v>0</v>
      </c>
      <c r="E879">
        <v>5</v>
      </c>
      <c r="F879" s="6">
        <v>38235.875</v>
      </c>
      <c r="G879" s="6">
        <v>48280.724000000002</v>
      </c>
      <c r="H879" s="6">
        <f>IF(OR(F879&lt;=0,G879&lt;=0),"",ROUND(G879+F879*Uso!$B$5,Uso!$B$6))</f>
        <v>49427.8</v>
      </c>
      <c r="I879" s="6">
        <f t="shared" si="13"/>
        <v>49427.8</v>
      </c>
      <c r="J879" t="str">
        <f>IF(COUNTIF(Cruce!$A$5:$A$14,A879)&gt;0,"SKU de muestra","Regla extrapolada")</f>
        <v>Regla extrapolada</v>
      </c>
    </row>
    <row r="880" spans="1:10" ht="30" customHeight="1">
      <c r="A880" t="s">
        <v>1770</v>
      </c>
      <c r="B880" s="5" t="s">
        <v>1771</v>
      </c>
      <c r="C880">
        <v>1</v>
      </c>
      <c r="D880">
        <v>0</v>
      </c>
      <c r="E880">
        <v>5</v>
      </c>
      <c r="F880" s="6">
        <v>21621.825000000001</v>
      </c>
      <c r="G880" s="6">
        <v>26162.409</v>
      </c>
      <c r="H880" s="6">
        <f>IF(OR(F880&lt;=0,G880&lt;=0),"",ROUND(G880+F880*Uso!$B$5,Uso!$B$6))</f>
        <v>26811.063999999998</v>
      </c>
      <c r="I880" s="6">
        <f t="shared" si="13"/>
        <v>26811.063999999998</v>
      </c>
      <c r="J880" t="str">
        <f>IF(COUNTIF(Cruce!$A$5:$A$14,A880)&gt;0,"SKU de muestra","Regla extrapolada")</f>
        <v>Regla extrapolada</v>
      </c>
    </row>
    <row r="881" spans="1:10" ht="30" customHeight="1">
      <c r="A881" t="s">
        <v>1772</v>
      </c>
      <c r="B881" s="5" t="s">
        <v>1773</v>
      </c>
      <c r="C881">
        <v>1</v>
      </c>
      <c r="D881">
        <v>0</v>
      </c>
      <c r="E881">
        <v>5</v>
      </c>
      <c r="F881" s="6">
        <v>8280.2150000000001</v>
      </c>
      <c r="G881" s="6">
        <v>10236.053</v>
      </c>
      <c r="H881" s="6">
        <f>IF(OR(F881&lt;=0,G881&lt;=0),"",ROUND(G881+F881*Uso!$B$5,Uso!$B$6))</f>
        <v>10484.459000000001</v>
      </c>
      <c r="I881" s="6">
        <f t="shared" si="13"/>
        <v>10484.459000000001</v>
      </c>
      <c r="J881" t="str">
        <f>IF(COUNTIF(Cruce!$A$5:$A$14,A881)&gt;0,"SKU de muestra","Regla extrapolada")</f>
        <v>Regla extrapolada</v>
      </c>
    </row>
    <row r="882" spans="1:10" ht="30" customHeight="1">
      <c r="A882" t="s">
        <v>1774</v>
      </c>
      <c r="B882" s="5" t="s">
        <v>1775</v>
      </c>
      <c r="C882">
        <v>1</v>
      </c>
      <c r="D882">
        <v>0</v>
      </c>
      <c r="E882">
        <v>5</v>
      </c>
      <c r="F882" s="6">
        <v>21938.18</v>
      </c>
      <c r="G882" s="6">
        <v>27227.413</v>
      </c>
      <c r="H882" s="6">
        <f>IF(OR(F882&lt;=0,G882&lt;=0),"",ROUND(G882+F882*Uso!$B$5,Uso!$B$6))</f>
        <v>27885.558000000001</v>
      </c>
      <c r="I882" s="6">
        <f t="shared" si="13"/>
        <v>27885.558000000001</v>
      </c>
      <c r="J882" t="str">
        <f>IF(COUNTIF(Cruce!$A$5:$A$14,A882)&gt;0,"SKU de muestra","Regla extrapolada")</f>
        <v>Regla extrapolada</v>
      </c>
    </row>
    <row r="883" spans="1:10" ht="30" customHeight="1">
      <c r="A883" t="s">
        <v>1776</v>
      </c>
      <c r="B883" s="5" t="s">
        <v>1777</v>
      </c>
      <c r="C883">
        <v>1</v>
      </c>
      <c r="D883">
        <v>0</v>
      </c>
      <c r="E883">
        <v>5</v>
      </c>
      <c r="F883" s="6">
        <v>61759.53</v>
      </c>
      <c r="G883" s="6">
        <v>81750.731</v>
      </c>
      <c r="H883" s="6">
        <f>IF(OR(F883&lt;=0,G883&lt;=0),"",ROUND(G883+F883*Uso!$B$5,Uso!$B$6))</f>
        <v>83603.517000000007</v>
      </c>
      <c r="I883" s="6">
        <f t="shared" si="13"/>
        <v>83603.517000000007</v>
      </c>
      <c r="J883" t="str">
        <f>IF(COUNTIF(Cruce!$A$5:$A$14,A883)&gt;0,"SKU de muestra","Regla extrapolada")</f>
        <v>Regla extrapolada</v>
      </c>
    </row>
    <row r="884" spans="1:10" ht="30" customHeight="1">
      <c r="A884" t="s">
        <v>1778</v>
      </c>
      <c r="B884" s="5" t="s">
        <v>1779</v>
      </c>
      <c r="C884">
        <v>1</v>
      </c>
      <c r="D884">
        <v>0</v>
      </c>
      <c r="E884">
        <v>5</v>
      </c>
      <c r="F884" s="6">
        <v>61713.3</v>
      </c>
      <c r="G884" s="6">
        <v>81674.913</v>
      </c>
      <c r="H884" s="6">
        <f>IF(OR(F884&lt;=0,G884&lt;=0),"",ROUND(G884+F884*Uso!$B$5,Uso!$B$6))</f>
        <v>83526.312000000005</v>
      </c>
      <c r="I884" s="6">
        <f t="shared" si="13"/>
        <v>83526.312000000005</v>
      </c>
      <c r="J884" t="str">
        <f>IF(COUNTIF(Cruce!$A$5:$A$14,A884)&gt;0,"SKU de muestra","Regla extrapolada")</f>
        <v>Regla extrapolada</v>
      </c>
    </row>
    <row r="885" spans="1:10" ht="30" customHeight="1">
      <c r="A885" t="s">
        <v>1780</v>
      </c>
      <c r="B885" s="5" t="s">
        <v>1781</v>
      </c>
      <c r="C885">
        <v>1</v>
      </c>
      <c r="D885">
        <v>0</v>
      </c>
      <c r="E885">
        <v>5</v>
      </c>
      <c r="F885" s="6">
        <v>65586.350000000006</v>
      </c>
      <c r="G885" s="6">
        <v>87291.784</v>
      </c>
      <c r="H885" s="6">
        <f>IF(OR(F885&lt;=0,G885&lt;=0),"",ROUND(G885+F885*Uso!$B$5,Uso!$B$6))</f>
        <v>89259.375</v>
      </c>
      <c r="I885" s="6">
        <f t="shared" si="13"/>
        <v>89259.375</v>
      </c>
      <c r="J885" t="str">
        <f>IF(COUNTIF(Cruce!$A$5:$A$14,A885)&gt;0,"SKU de muestra","Regla extrapolada")</f>
        <v>Regla extrapolada</v>
      </c>
    </row>
    <row r="886" spans="1:10" ht="30" customHeight="1">
      <c r="A886" t="s">
        <v>1782</v>
      </c>
      <c r="B886" s="5" t="s">
        <v>1783</v>
      </c>
      <c r="C886">
        <v>1</v>
      </c>
      <c r="D886">
        <v>0</v>
      </c>
      <c r="E886">
        <v>5</v>
      </c>
      <c r="F886" s="6">
        <v>32249.91</v>
      </c>
      <c r="G886" s="6">
        <v>42703.076000000001</v>
      </c>
      <c r="H886" s="6">
        <f>IF(OR(F886&lt;=0,G886&lt;=0),"",ROUND(G886+F886*Uso!$B$5,Uso!$B$6))</f>
        <v>43670.572999999997</v>
      </c>
      <c r="I886" s="6">
        <f t="shared" si="13"/>
        <v>43670.572999999997</v>
      </c>
      <c r="J886" t="str">
        <f>IF(COUNTIF(Cruce!$A$5:$A$14,A886)&gt;0,"SKU de muestra","Regla extrapolada")</f>
        <v>Regla extrapolada</v>
      </c>
    </row>
    <row r="887" spans="1:10" ht="30" customHeight="1">
      <c r="A887" t="s">
        <v>1784</v>
      </c>
      <c r="B887" s="5" t="s">
        <v>1785</v>
      </c>
      <c r="C887">
        <v>1</v>
      </c>
      <c r="D887">
        <v>0</v>
      </c>
      <c r="E887">
        <v>5</v>
      </c>
      <c r="F887" s="6">
        <v>23553.901999999998</v>
      </c>
      <c r="G887" s="6">
        <v>29158.705999999998</v>
      </c>
      <c r="H887" s="6">
        <f>IF(OR(F887&lt;=0,G887&lt;=0),"",ROUND(G887+F887*Uso!$B$5,Uso!$B$6))</f>
        <v>29865.323</v>
      </c>
      <c r="I887" s="6">
        <f t="shared" si="13"/>
        <v>29865.323</v>
      </c>
      <c r="J887" t="str">
        <f>IF(COUNTIF(Cruce!$A$5:$A$14,A887)&gt;0,"SKU de muestra","Regla extrapolada")</f>
        <v>Regla extrapolada</v>
      </c>
    </row>
    <row r="888" spans="1:10" ht="30" customHeight="1">
      <c r="A888" t="s">
        <v>1786</v>
      </c>
      <c r="B888" s="5" t="s">
        <v>1787</v>
      </c>
      <c r="C888">
        <v>1</v>
      </c>
      <c r="D888">
        <v>0</v>
      </c>
      <c r="E888">
        <v>5</v>
      </c>
      <c r="F888" s="6">
        <v>105292.533</v>
      </c>
      <c r="G888" s="6">
        <v>129234.077</v>
      </c>
      <c r="H888" s="6">
        <f>IF(OR(F888&lt;=0,G888&lt;=0),"",ROUND(G888+F888*Uso!$B$5,Uso!$B$6))</f>
        <v>132392.853</v>
      </c>
      <c r="I888" s="6">
        <f t="shared" si="13"/>
        <v>132392.853</v>
      </c>
      <c r="J888" t="str">
        <f>IF(COUNTIF(Cruce!$A$5:$A$14,A888)&gt;0,"SKU de muestra","Regla extrapolada")</f>
        <v>Regla extrapolada</v>
      </c>
    </row>
    <row r="889" spans="1:10" ht="30" customHeight="1">
      <c r="A889" t="s">
        <v>1788</v>
      </c>
      <c r="B889" s="5" t="s">
        <v>1789</v>
      </c>
      <c r="C889">
        <v>1</v>
      </c>
      <c r="D889">
        <v>0</v>
      </c>
      <c r="E889">
        <v>5</v>
      </c>
      <c r="F889" s="6">
        <v>12997.263999999999</v>
      </c>
      <c r="G889" s="6">
        <v>16127.703</v>
      </c>
      <c r="H889" s="6">
        <f>IF(OR(F889&lt;=0,G889&lt;=0),"",ROUND(G889+F889*Uso!$B$5,Uso!$B$6))</f>
        <v>16517.620999999999</v>
      </c>
      <c r="I889" s="6">
        <f t="shared" si="13"/>
        <v>16517.620999999999</v>
      </c>
      <c r="J889" t="str">
        <f>IF(COUNTIF(Cruce!$A$5:$A$14,A889)&gt;0,"SKU de muestra","Regla extrapolada")</f>
        <v>Regla extrapolada</v>
      </c>
    </row>
    <row r="890" spans="1:10" ht="30" customHeight="1">
      <c r="A890" t="s">
        <v>1790</v>
      </c>
      <c r="B890" s="5" t="s">
        <v>1791</v>
      </c>
      <c r="C890">
        <v>1</v>
      </c>
      <c r="D890">
        <v>0</v>
      </c>
      <c r="E890">
        <v>5</v>
      </c>
      <c r="F890" s="6">
        <v>44957.368999999999</v>
      </c>
      <c r="G890" s="6">
        <v>54398.417000000001</v>
      </c>
      <c r="H890" s="6">
        <f>IF(OR(F890&lt;=0,G890&lt;=0),"",ROUND(G890+F890*Uso!$B$5,Uso!$B$6))</f>
        <v>55747.137999999999</v>
      </c>
      <c r="I890" s="6">
        <f t="shared" si="13"/>
        <v>55747.137999999999</v>
      </c>
      <c r="J890" t="str">
        <f>IF(COUNTIF(Cruce!$A$5:$A$14,A890)&gt;0,"SKU de muestra","Regla extrapolada")</f>
        <v>Regla extrapolada</v>
      </c>
    </row>
    <row r="891" spans="1:10" ht="30" customHeight="1">
      <c r="A891" t="s">
        <v>1792</v>
      </c>
      <c r="B891" s="5" t="s">
        <v>1793</v>
      </c>
      <c r="C891">
        <v>1</v>
      </c>
      <c r="D891">
        <v>0</v>
      </c>
      <c r="E891">
        <v>5</v>
      </c>
      <c r="F891" s="6">
        <v>23898.357</v>
      </c>
      <c r="G891" s="6">
        <v>28917.011999999999</v>
      </c>
      <c r="H891" s="6">
        <f>IF(OR(F891&lt;=0,G891&lt;=0),"",ROUND(G891+F891*Uso!$B$5,Uso!$B$6))</f>
        <v>29633.963</v>
      </c>
      <c r="I891" s="6">
        <f t="shared" si="13"/>
        <v>29633.963</v>
      </c>
      <c r="J891" t="str">
        <f>IF(COUNTIF(Cruce!$A$5:$A$14,A891)&gt;0,"SKU de muestra","Regla extrapolada")</f>
        <v>Regla extrapolada</v>
      </c>
    </row>
    <row r="892" spans="1:10" ht="30" customHeight="1">
      <c r="A892" t="s">
        <v>1794</v>
      </c>
      <c r="B892" s="5" t="s">
        <v>1795</v>
      </c>
      <c r="C892">
        <v>1</v>
      </c>
      <c r="D892">
        <v>0</v>
      </c>
      <c r="E892">
        <v>5</v>
      </c>
      <c r="F892" s="6">
        <v>21481.112000000001</v>
      </c>
      <c r="G892" s="6">
        <v>26686.503000000001</v>
      </c>
      <c r="H892" s="6">
        <f>IF(OR(F892&lt;=0,G892&lt;=0),"",ROUND(G892+F892*Uso!$B$5,Uso!$B$6))</f>
        <v>27330.936000000002</v>
      </c>
      <c r="I892" s="6">
        <f t="shared" si="13"/>
        <v>27330.936000000002</v>
      </c>
      <c r="J892" t="str">
        <f>IF(COUNTIF(Cruce!$A$5:$A$14,A892)&gt;0,"SKU de muestra","Regla extrapolada")</f>
        <v>Regla extrapolada</v>
      </c>
    </row>
    <row r="893" spans="1:10" ht="30" customHeight="1">
      <c r="A893" t="s">
        <v>1796</v>
      </c>
      <c r="B893" s="5" t="s">
        <v>1797</v>
      </c>
      <c r="C893">
        <v>1</v>
      </c>
      <c r="D893">
        <v>0</v>
      </c>
      <c r="E893">
        <v>5</v>
      </c>
      <c r="F893" s="6">
        <v>117031.58900000001</v>
      </c>
      <c r="G893" s="6">
        <v>144712.67800000001</v>
      </c>
      <c r="H893" s="6">
        <f>IF(OR(F893&lt;=0,G893&lt;=0),"",ROUND(G893+F893*Uso!$B$5,Uso!$B$6))</f>
        <v>148223.62599999999</v>
      </c>
      <c r="I893" s="6">
        <f t="shared" si="13"/>
        <v>148223.62599999999</v>
      </c>
      <c r="J893" t="str">
        <f>IF(COUNTIF(Cruce!$A$5:$A$14,A893)&gt;0,"SKU de muestra","Regla extrapolada")</f>
        <v>Regla extrapolada</v>
      </c>
    </row>
    <row r="894" spans="1:10" ht="30" customHeight="1">
      <c r="A894" t="s">
        <v>1798</v>
      </c>
      <c r="B894" s="5" t="s">
        <v>1799</v>
      </c>
      <c r="C894">
        <v>1</v>
      </c>
      <c r="D894">
        <v>0</v>
      </c>
      <c r="E894">
        <v>5</v>
      </c>
      <c r="F894" s="6">
        <v>15818.065000000001</v>
      </c>
      <c r="G894" s="6">
        <v>19554.718000000001</v>
      </c>
      <c r="H894" s="6">
        <f>IF(OR(F894&lt;=0,G894&lt;=0),"",ROUND(G894+F894*Uso!$B$5,Uso!$B$6))</f>
        <v>20029.259999999998</v>
      </c>
      <c r="I894" s="6">
        <f t="shared" si="13"/>
        <v>20029.259999999998</v>
      </c>
      <c r="J894" t="str">
        <f>IF(COUNTIF(Cruce!$A$5:$A$14,A894)&gt;0,"SKU de muestra","Regla extrapolada")</f>
        <v>Regla extrapolada</v>
      </c>
    </row>
    <row r="895" spans="1:10" ht="30" customHeight="1">
      <c r="A895" t="s">
        <v>1800</v>
      </c>
      <c r="B895" s="5" t="s">
        <v>1801</v>
      </c>
      <c r="C895">
        <v>1</v>
      </c>
      <c r="D895">
        <v>0</v>
      </c>
      <c r="E895">
        <v>5</v>
      </c>
      <c r="F895" s="6">
        <v>37552.284</v>
      </c>
      <c r="G895" s="6">
        <v>50019.631999999998</v>
      </c>
      <c r="H895" s="6">
        <f>IF(OR(F895&lt;=0,G895&lt;=0),"",ROUND(G895+F895*Uso!$B$5,Uso!$B$6))</f>
        <v>51146.201000000001</v>
      </c>
      <c r="I895" s="6">
        <f t="shared" si="13"/>
        <v>51146.201000000001</v>
      </c>
      <c r="J895" t="str">
        <f>IF(COUNTIF(Cruce!$A$5:$A$14,A895)&gt;0,"SKU de muestra","Regla extrapolada")</f>
        <v>Regla extrapolada</v>
      </c>
    </row>
    <row r="896" spans="1:10" ht="30" customHeight="1">
      <c r="A896" t="s">
        <v>1802</v>
      </c>
      <c r="B896" s="5" t="s">
        <v>1803</v>
      </c>
      <c r="C896">
        <v>1</v>
      </c>
      <c r="D896">
        <v>0</v>
      </c>
      <c r="E896">
        <v>5</v>
      </c>
      <c r="F896" s="6">
        <v>22503.298999999999</v>
      </c>
      <c r="G896" s="6">
        <v>29994.516</v>
      </c>
      <c r="H896" s="6">
        <f>IF(OR(F896&lt;=0,G896&lt;=0),"",ROUND(G896+F896*Uso!$B$5,Uso!$B$6))</f>
        <v>30669.615000000002</v>
      </c>
      <c r="I896" s="6">
        <f t="shared" si="13"/>
        <v>30669.615000000002</v>
      </c>
      <c r="J896" t="str">
        <f>IF(COUNTIF(Cruce!$A$5:$A$14,A896)&gt;0,"SKU de muestra","Regla extrapolada")</f>
        <v>Regla extrapolada</v>
      </c>
    </row>
    <row r="897" spans="1:10" ht="30" customHeight="1">
      <c r="A897" t="s">
        <v>1804</v>
      </c>
      <c r="B897" s="5" t="s">
        <v>1805</v>
      </c>
      <c r="C897">
        <v>1</v>
      </c>
      <c r="D897">
        <v>0</v>
      </c>
      <c r="E897">
        <v>5</v>
      </c>
      <c r="F897" s="6">
        <v>23746.577000000001</v>
      </c>
      <c r="G897" s="6">
        <v>31692.184000000001</v>
      </c>
      <c r="H897" s="6">
        <f>IF(OR(F897&lt;=0,G897&lt;=0),"",ROUND(G897+F897*Uso!$B$5,Uso!$B$6))</f>
        <v>32404.580999999998</v>
      </c>
      <c r="I897" s="6">
        <f t="shared" si="13"/>
        <v>32404.580999999998</v>
      </c>
      <c r="J897" t="str">
        <f>IF(COUNTIF(Cruce!$A$5:$A$14,A897)&gt;0,"SKU de muestra","Regla extrapolada")</f>
        <v>Regla extrapolada</v>
      </c>
    </row>
    <row r="898" spans="1:10" ht="30" customHeight="1">
      <c r="A898" t="s">
        <v>1806</v>
      </c>
      <c r="B898" s="5" t="s">
        <v>1807</v>
      </c>
      <c r="C898">
        <v>1</v>
      </c>
      <c r="D898">
        <v>0</v>
      </c>
      <c r="E898">
        <v>5</v>
      </c>
      <c r="F898" s="6">
        <v>846702.33900000004</v>
      </c>
      <c r="G898" s="6">
        <v>1042400.827</v>
      </c>
      <c r="H898" s="6">
        <f>IF(OR(F898&lt;=0,G898&lt;=0),"",ROUND(G898+F898*Uso!$B$5,Uso!$B$6))</f>
        <v>1067801.8970000001</v>
      </c>
      <c r="I898" s="6">
        <f t="shared" si="13"/>
        <v>1067801.8970000001</v>
      </c>
      <c r="J898" t="str">
        <f>IF(COUNTIF(Cruce!$A$5:$A$14,A898)&gt;0,"SKU de muestra","Regla extrapolada")</f>
        <v>Regla extrapolada</v>
      </c>
    </row>
    <row r="899" spans="1:10" ht="30" customHeight="1">
      <c r="A899" t="s">
        <v>1808</v>
      </c>
      <c r="B899" s="5" t="s">
        <v>1809</v>
      </c>
      <c r="C899">
        <v>1</v>
      </c>
      <c r="D899">
        <v>0</v>
      </c>
      <c r="E899">
        <v>5</v>
      </c>
      <c r="F899" s="6">
        <v>760559.48199999996</v>
      </c>
      <c r="G899" s="6">
        <v>933119.76699999999</v>
      </c>
      <c r="H899" s="6">
        <f>IF(OR(F899&lt;=0,G899&lt;=0),"",ROUND(G899+F899*Uso!$B$5,Uso!$B$6))</f>
        <v>955936.55099999998</v>
      </c>
      <c r="I899" s="6">
        <f t="shared" si="13"/>
        <v>955936.55099999998</v>
      </c>
      <c r="J899" t="str">
        <f>IF(COUNTIF(Cruce!$A$5:$A$14,A899)&gt;0,"SKU de muestra","Regla extrapolada")</f>
        <v>Regla extrapolada</v>
      </c>
    </row>
    <row r="900" spans="1:10" ht="30" customHeight="1">
      <c r="A900" t="s">
        <v>1810</v>
      </c>
      <c r="B900" s="5" t="s">
        <v>1811</v>
      </c>
      <c r="C900">
        <v>1</v>
      </c>
      <c r="D900">
        <v>0</v>
      </c>
      <c r="E900">
        <v>5</v>
      </c>
      <c r="F900" s="6">
        <v>588650.86699999997</v>
      </c>
      <c r="G900" s="6">
        <v>731220.59400000004</v>
      </c>
      <c r="H900" s="6">
        <f>IF(OR(F900&lt;=0,G900&lt;=0),"",ROUND(G900+F900*Uso!$B$5,Uso!$B$6))</f>
        <v>748880.12</v>
      </c>
      <c r="I900" s="6">
        <f t="shared" si="13"/>
        <v>748880.12</v>
      </c>
      <c r="J900" t="str">
        <f>IF(COUNTIF(Cruce!$A$5:$A$14,A900)&gt;0,"SKU de muestra","Regla extrapolada")</f>
        <v>Regla extrapolada</v>
      </c>
    </row>
    <row r="901" spans="1:10" ht="30" customHeight="1">
      <c r="A901" t="s">
        <v>1812</v>
      </c>
      <c r="B901" s="5" t="s">
        <v>1813</v>
      </c>
      <c r="C901">
        <v>1</v>
      </c>
      <c r="D901">
        <v>0</v>
      </c>
      <c r="E901">
        <v>5</v>
      </c>
      <c r="F901" s="6">
        <v>528252.81900000002</v>
      </c>
      <c r="G901" s="6">
        <v>655905.52099999995</v>
      </c>
      <c r="H901" s="6">
        <f>IF(OR(F901&lt;=0,G901&lt;=0),"",ROUND(G901+F901*Uso!$B$5,Uso!$B$6))</f>
        <v>671753.10600000003</v>
      </c>
      <c r="I901" s="6">
        <f t="shared" ref="I901:I964" si="14">IF(OR(H901="",C901&lt;=0),"",H901/C901)</f>
        <v>671753.10600000003</v>
      </c>
      <c r="J901" t="str">
        <f>IF(COUNTIF(Cruce!$A$5:$A$14,A901)&gt;0,"SKU de muestra","Regla extrapolada")</f>
        <v>Regla extrapolada</v>
      </c>
    </row>
    <row r="902" spans="1:10" ht="30" customHeight="1">
      <c r="A902" t="s">
        <v>1814</v>
      </c>
      <c r="B902" s="5" t="s">
        <v>1815</v>
      </c>
      <c r="C902">
        <v>1</v>
      </c>
      <c r="D902">
        <v>0</v>
      </c>
      <c r="E902">
        <v>5</v>
      </c>
      <c r="F902" s="6">
        <v>316680.34299999999</v>
      </c>
      <c r="G902" s="6">
        <v>399518.15500000003</v>
      </c>
      <c r="H902" s="6">
        <f>IF(OR(F902&lt;=0,G902&lt;=0),"",ROUND(G902+F902*Uso!$B$5,Uso!$B$6))</f>
        <v>409018.565</v>
      </c>
      <c r="I902" s="6">
        <f t="shared" si="14"/>
        <v>409018.565</v>
      </c>
      <c r="J902" t="str">
        <f>IF(COUNTIF(Cruce!$A$5:$A$14,A902)&gt;0,"SKU de muestra","Regla extrapolada")</f>
        <v>Regla extrapolada</v>
      </c>
    </row>
    <row r="903" spans="1:10" ht="30" customHeight="1">
      <c r="A903" t="s">
        <v>1816</v>
      </c>
      <c r="B903" s="5" t="s">
        <v>1817</v>
      </c>
      <c r="C903">
        <v>1</v>
      </c>
      <c r="D903">
        <v>0</v>
      </c>
      <c r="E903">
        <v>5</v>
      </c>
      <c r="F903" s="6">
        <v>158532.57199999999</v>
      </c>
      <c r="G903" s="6">
        <v>199783.75899999999</v>
      </c>
      <c r="H903" s="6">
        <f>IF(OR(F903&lt;=0,G903&lt;=0),"",ROUND(G903+F903*Uso!$B$5,Uso!$B$6))</f>
        <v>204539.736</v>
      </c>
      <c r="I903" s="6">
        <f t="shared" si="14"/>
        <v>204539.736</v>
      </c>
      <c r="J903" t="str">
        <f>IF(COUNTIF(Cruce!$A$5:$A$14,A903)&gt;0,"SKU de muestra","Regla extrapolada")</f>
        <v>Regla extrapolada</v>
      </c>
    </row>
    <row r="904" spans="1:10" ht="30" customHeight="1">
      <c r="A904" t="s">
        <v>1818</v>
      </c>
      <c r="B904" s="5" t="s">
        <v>1819</v>
      </c>
      <c r="C904">
        <v>1</v>
      </c>
      <c r="D904">
        <v>0</v>
      </c>
      <c r="E904">
        <v>5</v>
      </c>
      <c r="F904" s="6">
        <v>909965.56299999997</v>
      </c>
      <c r="G904" s="6">
        <v>1148760.291</v>
      </c>
      <c r="H904" s="6">
        <f>IF(OR(F904&lt;=0,G904&lt;=0),"",ROUND(G904+F904*Uso!$B$5,Uso!$B$6))</f>
        <v>1176059.2579999999</v>
      </c>
      <c r="I904" s="6">
        <f t="shared" si="14"/>
        <v>1176059.2579999999</v>
      </c>
      <c r="J904" t="str">
        <f>IF(COUNTIF(Cruce!$A$5:$A$14,A904)&gt;0,"SKU de muestra","Regla extrapolada")</f>
        <v>Regla extrapolada</v>
      </c>
    </row>
    <row r="905" spans="1:10" ht="30" customHeight="1">
      <c r="A905" t="s">
        <v>1820</v>
      </c>
      <c r="B905" s="5"/>
      <c r="F905" s="6"/>
      <c r="G905" s="6"/>
      <c r="H905" s="6" t="str">
        <f>IF(OR(F905&lt;=0,G905&lt;=0),"",ROUND(G905+F905*Uso!$B$5,Uso!$B$6))</f>
        <v/>
      </c>
      <c r="I905" s="6" t="str">
        <f t="shared" si="14"/>
        <v/>
      </c>
      <c r="J905" t="str">
        <f>IF(COUNTIF(Cruce!$A$5:$A$14,A905)&gt;0,"SKU de muestra","Regla extrapolada")</f>
        <v>Regla extrapolada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05"/>
  <sheetViews>
    <sheetView showGridLines="0" workbookViewId="0">
      <pane ySplit="4" topLeftCell="A7" activePane="bottomLeft" state="frozen"/>
      <selection pane="bottomLeft"/>
    </sheetView>
  </sheetViews>
  <sheetFormatPr baseColWidth="10" defaultColWidth="8.796875" defaultRowHeight="13.8"/>
  <cols>
    <col min="1" max="1" width="14" customWidth="1"/>
    <col min="2" max="2" width="46" customWidth="1"/>
    <col min="3" max="7" width="19" customWidth="1"/>
    <col min="8" max="8" width="18" customWidth="1"/>
    <col min="9" max="10" width="19" customWidth="1"/>
  </cols>
  <sheetData>
    <row r="1" spans="1:10" ht="21">
      <c r="A1" s="1" t="s">
        <v>1821</v>
      </c>
    </row>
    <row r="2" spans="1:10">
      <c r="A2" t="s">
        <v>1822</v>
      </c>
    </row>
    <row r="4" spans="1:10" ht="42" customHeight="1">
      <c r="A4" s="2" t="s">
        <v>44</v>
      </c>
      <c r="B4" s="2" t="s">
        <v>45</v>
      </c>
      <c r="C4" s="2" t="s">
        <v>1823</v>
      </c>
      <c r="D4" s="2" t="s">
        <v>1824</v>
      </c>
      <c r="E4" s="2" t="s">
        <v>1825</v>
      </c>
      <c r="F4" s="2" t="s">
        <v>1826</v>
      </c>
      <c r="G4" s="2" t="s">
        <v>1827</v>
      </c>
      <c r="H4" s="2" t="s">
        <v>1828</v>
      </c>
      <c r="I4" s="2" t="s">
        <v>1829</v>
      </c>
      <c r="J4" s="2" t="s">
        <v>1830</v>
      </c>
    </row>
    <row r="5" spans="1:10" ht="30" customHeight="1">
      <c r="A5" t="s">
        <v>55</v>
      </c>
      <c r="B5" s="5" t="s">
        <v>97</v>
      </c>
      <c r="C5" s="7">
        <v>35556.58</v>
      </c>
      <c r="D5" s="7">
        <v>48405.919000000002</v>
      </c>
      <c r="E5" s="7">
        <f>INDEX(Catalogo!$F$5:$F$905,MATCH(A5,Catalogo!$A$5:$A$905,0))</f>
        <v>35556.58</v>
      </c>
      <c r="F5" s="7">
        <f>INDEX(Catalogo!$G$5:$G$905,MATCH(A5,Catalogo!$A$5:$A$905,0))</f>
        <v>47339.222000000002</v>
      </c>
      <c r="G5" s="7">
        <f t="shared" ref="G5:G14" si="0">D5-F5</f>
        <v>1066.6970000000001</v>
      </c>
      <c r="H5" s="8">
        <f t="shared" ref="H5:H14" si="1">G5/C5</f>
        <v>2.9999988750324134E-2</v>
      </c>
      <c r="I5" s="7">
        <f>ROUND(F5+E5*Uso!$B$5,Uso!$B$6)</f>
        <v>48405.919000000002</v>
      </c>
      <c r="J5" s="7">
        <f t="shared" ref="J5:J14" si="2">D5-I5</f>
        <v>0</v>
      </c>
    </row>
    <row r="6" spans="1:10" ht="30" customHeight="1">
      <c r="A6" t="s">
        <v>56</v>
      </c>
      <c r="B6" s="5" t="s">
        <v>559</v>
      </c>
      <c r="C6" s="7">
        <v>37779.4</v>
      </c>
      <c r="D6" s="7">
        <v>50984.146000000001</v>
      </c>
      <c r="E6" s="7">
        <f>INDEX(Catalogo!$F$5:$F$905,MATCH(A6,Catalogo!$A$5:$A$905,0))</f>
        <v>37779.4</v>
      </c>
      <c r="F6" s="7">
        <f>INDEX(Catalogo!$G$5:$G$905,MATCH(A6,Catalogo!$A$5:$A$905,0))</f>
        <v>49850.764000000003</v>
      </c>
      <c r="G6" s="7">
        <f t="shared" si="0"/>
        <v>1133.3819999999978</v>
      </c>
      <c r="H6" s="8">
        <f t="shared" si="1"/>
        <v>2.999999999999994E-2</v>
      </c>
      <c r="I6" s="7">
        <f>ROUND(F6+E6*Uso!$B$5,Uso!$B$6)</f>
        <v>50984.146000000001</v>
      </c>
      <c r="J6" s="7">
        <f t="shared" si="2"/>
        <v>0</v>
      </c>
    </row>
    <row r="7" spans="1:10" ht="30" customHeight="1">
      <c r="A7" t="s">
        <v>57</v>
      </c>
      <c r="B7" s="5" t="s">
        <v>842</v>
      </c>
      <c r="C7" s="7">
        <v>22815.919999999998</v>
      </c>
      <c r="D7" s="7">
        <v>29656.170999999998</v>
      </c>
      <c r="E7" s="7">
        <f>INDEX(Catalogo!$F$5:$F$905,MATCH(A7,Catalogo!$A$5:$A$905,0))</f>
        <v>22815.919999999998</v>
      </c>
      <c r="F7" s="7">
        <f>INDEX(Catalogo!$G$5:$G$905,MATCH(A7,Catalogo!$A$5:$A$905,0))</f>
        <v>28971.692999999999</v>
      </c>
      <c r="G7" s="7">
        <f t="shared" si="0"/>
        <v>684.47799999999916</v>
      </c>
      <c r="H7" s="8">
        <f t="shared" si="1"/>
        <v>3.0000017531618239E-2</v>
      </c>
      <c r="I7" s="7">
        <f>ROUND(F7+E7*Uso!$B$5,Uso!$B$6)</f>
        <v>29656.170999999998</v>
      </c>
      <c r="J7" s="7">
        <f t="shared" si="2"/>
        <v>0</v>
      </c>
    </row>
    <row r="8" spans="1:10" ht="30" customHeight="1">
      <c r="A8" t="s">
        <v>58</v>
      </c>
      <c r="B8" s="5" t="s">
        <v>1050</v>
      </c>
      <c r="C8" s="7">
        <v>52770.17</v>
      </c>
      <c r="D8" s="7">
        <v>72010.180999999997</v>
      </c>
      <c r="E8" s="7">
        <f>INDEX(Catalogo!$F$5:$F$905,MATCH(A8,Catalogo!$A$5:$A$905,0))</f>
        <v>52770.17</v>
      </c>
      <c r="F8" s="7">
        <f>INDEX(Catalogo!$G$5:$G$905,MATCH(A8,Catalogo!$A$5:$A$905,0))</f>
        <v>70427.076000000001</v>
      </c>
      <c r="G8" s="7">
        <f t="shared" si="0"/>
        <v>1583.1049999999959</v>
      </c>
      <c r="H8" s="8">
        <f t="shared" si="1"/>
        <v>2.9999998104989919E-2</v>
      </c>
      <c r="I8" s="7">
        <f>ROUND(F8+E8*Uso!$B$5,Uso!$B$6)</f>
        <v>72010.180999999997</v>
      </c>
      <c r="J8" s="7">
        <f t="shared" si="2"/>
        <v>0</v>
      </c>
    </row>
    <row r="9" spans="1:10" ht="30" customHeight="1">
      <c r="A9" t="s">
        <v>59</v>
      </c>
      <c r="B9" s="5" t="s">
        <v>665</v>
      </c>
      <c r="C9" s="7">
        <v>52770.17</v>
      </c>
      <c r="D9" s="7">
        <v>72010.180999999997</v>
      </c>
      <c r="E9" s="7">
        <f>INDEX(Catalogo!$F$5:$F$905,MATCH(A9,Catalogo!$A$5:$A$905,0))</f>
        <v>52770.17</v>
      </c>
      <c r="F9" s="7">
        <f>INDEX(Catalogo!$G$5:$G$905,MATCH(A9,Catalogo!$A$5:$A$905,0))</f>
        <v>70427.076000000001</v>
      </c>
      <c r="G9" s="7">
        <f t="shared" si="0"/>
        <v>1583.1049999999959</v>
      </c>
      <c r="H9" s="8">
        <f t="shared" si="1"/>
        <v>2.9999998104989919E-2</v>
      </c>
      <c r="I9" s="7">
        <f>ROUND(F9+E9*Uso!$B$5,Uso!$B$6)</f>
        <v>72010.180999999997</v>
      </c>
      <c r="J9" s="7">
        <f t="shared" si="2"/>
        <v>0</v>
      </c>
    </row>
    <row r="10" spans="1:10" ht="30" customHeight="1">
      <c r="A10" t="s">
        <v>60</v>
      </c>
      <c r="B10" s="5" t="s">
        <v>911</v>
      </c>
      <c r="C10" s="7">
        <v>32764.35</v>
      </c>
      <c r="D10" s="7">
        <v>44562.413999999997</v>
      </c>
      <c r="E10" s="7">
        <f>INDEX(Catalogo!$F$5:$F$905,MATCH(A10,Catalogo!$A$5:$A$905,0))</f>
        <v>32764.35</v>
      </c>
      <c r="F10" s="7">
        <f>INDEX(Catalogo!$G$5:$G$905,MATCH(A10,Catalogo!$A$5:$A$905,0))</f>
        <v>43579.483999999997</v>
      </c>
      <c r="G10" s="7">
        <f t="shared" si="0"/>
        <v>982.93000000000029</v>
      </c>
      <c r="H10" s="8">
        <f t="shared" si="1"/>
        <v>2.9999984739511095E-2</v>
      </c>
      <c r="I10" s="7">
        <f>ROUND(F10+E10*Uso!$B$5,Uso!$B$6)</f>
        <v>44562.415000000001</v>
      </c>
      <c r="J10" s="7">
        <f t="shared" si="2"/>
        <v>-1.0000000038417056E-3</v>
      </c>
    </row>
    <row r="11" spans="1:10" ht="30" customHeight="1">
      <c r="A11" t="s">
        <v>61</v>
      </c>
      <c r="B11" s="5" t="s">
        <v>77</v>
      </c>
      <c r="C11" s="7">
        <v>14738.66</v>
      </c>
      <c r="D11" s="7">
        <v>19048.437999999998</v>
      </c>
      <c r="E11" s="7">
        <f>INDEX(Catalogo!$F$5:$F$905,MATCH(A11,Catalogo!$A$5:$A$905,0))</f>
        <v>14738.66</v>
      </c>
      <c r="F11" s="7">
        <f>INDEX(Catalogo!$G$5:$G$905,MATCH(A11,Catalogo!$A$5:$A$905,0))</f>
        <v>18606.278999999999</v>
      </c>
      <c r="G11" s="7">
        <f t="shared" si="0"/>
        <v>442.15899999999965</v>
      </c>
      <c r="H11" s="8">
        <f t="shared" si="1"/>
        <v>2.9999945720981396E-2</v>
      </c>
      <c r="I11" s="7">
        <f>ROUND(F11+E11*Uso!$B$5,Uso!$B$6)</f>
        <v>19048.438999999998</v>
      </c>
      <c r="J11" s="7">
        <f t="shared" si="2"/>
        <v>-1.0000000002037268E-3</v>
      </c>
    </row>
    <row r="12" spans="1:10" ht="30" customHeight="1">
      <c r="A12" t="s">
        <v>62</v>
      </c>
      <c r="B12" s="5" t="s">
        <v>474</v>
      </c>
      <c r="C12" s="7">
        <v>53107.46</v>
      </c>
      <c r="D12" s="7">
        <v>65853.25</v>
      </c>
      <c r="E12" s="7">
        <f>INDEX(Catalogo!$F$5:$F$905,MATCH(A12,Catalogo!$A$5:$A$905,0))</f>
        <v>53107.46</v>
      </c>
      <c r="F12" s="7">
        <f>INDEX(Catalogo!$G$5:$G$905,MATCH(A12,Catalogo!$A$5:$A$905,0))</f>
        <v>64260.027000000002</v>
      </c>
      <c r="G12" s="7">
        <f t="shared" si="0"/>
        <v>1593.2229999999981</v>
      </c>
      <c r="H12" s="8">
        <f t="shared" si="1"/>
        <v>2.99999849362029E-2</v>
      </c>
      <c r="I12" s="7">
        <f>ROUND(F12+E12*Uso!$B$5,Uso!$B$6)</f>
        <v>65853.251000000004</v>
      </c>
      <c r="J12" s="7">
        <f t="shared" si="2"/>
        <v>-1.0000000038417056E-3</v>
      </c>
    </row>
    <row r="13" spans="1:10" ht="30" customHeight="1">
      <c r="A13" t="s">
        <v>63</v>
      </c>
      <c r="B13" s="5" t="s">
        <v>596</v>
      </c>
      <c r="C13" s="7">
        <v>7887.72</v>
      </c>
      <c r="D13" s="7">
        <v>10016.942999999999</v>
      </c>
      <c r="E13" s="7">
        <f>INDEX(Catalogo!$F$5:$F$905,MATCH(A13,Catalogo!$A$5:$A$905,0))</f>
        <v>7887.72</v>
      </c>
      <c r="F13" s="7">
        <f>INDEX(Catalogo!$G$5:$G$905,MATCH(A13,Catalogo!$A$5:$A$905,0))</f>
        <v>9780.3109999999997</v>
      </c>
      <c r="G13" s="7">
        <f t="shared" si="0"/>
        <v>236.63199999999961</v>
      </c>
      <c r="H13" s="8">
        <f t="shared" si="1"/>
        <v>3.000005071173921E-2</v>
      </c>
      <c r="I13" s="7">
        <f>ROUND(F13+E13*Uso!$B$5,Uso!$B$6)</f>
        <v>10016.942999999999</v>
      </c>
      <c r="J13" s="7">
        <f t="shared" si="2"/>
        <v>0</v>
      </c>
    </row>
    <row r="14" spans="1:10" ht="30" customHeight="1">
      <c r="A14" t="s">
        <v>64</v>
      </c>
      <c r="B14" s="5" t="s">
        <v>84</v>
      </c>
      <c r="C14" s="7">
        <v>10154.15</v>
      </c>
      <c r="D14" s="7">
        <v>12591.146000000001</v>
      </c>
      <c r="E14" s="7">
        <f>INDEX(Catalogo!$F$5:$F$905,MATCH(A14,Catalogo!$A$5:$A$905,0))</f>
        <v>10154.15</v>
      </c>
      <c r="F14" s="7">
        <f>INDEX(Catalogo!$G$5:$G$905,MATCH(A14,Catalogo!$A$5:$A$905,0))</f>
        <v>12286.522000000001</v>
      </c>
      <c r="G14" s="7">
        <f t="shared" si="0"/>
        <v>304.6239999999998</v>
      </c>
      <c r="H14" s="8">
        <f t="shared" si="1"/>
        <v>2.9999950759049238E-2</v>
      </c>
      <c r="I14" s="7">
        <f>ROUND(F14+E14*Uso!$B$5,Uso!$B$6)</f>
        <v>12591.147000000001</v>
      </c>
      <c r="J14" s="7">
        <f t="shared" si="2"/>
        <v>-1.0000000002037268E-3</v>
      </c>
    </row>
    <row r="15" spans="1:10" ht="30" customHeight="1">
      <c r="B15" s="5"/>
    </row>
    <row r="16" spans="1:10" ht="30" customHeight="1">
      <c r="B16" s="5"/>
    </row>
    <row r="17" spans="2:2" ht="30" customHeight="1">
      <c r="B17" s="5"/>
    </row>
    <row r="18" spans="2:2" ht="30" customHeight="1">
      <c r="B18" s="5"/>
    </row>
    <row r="19" spans="2:2" ht="30" customHeight="1">
      <c r="B19" s="5"/>
    </row>
    <row r="20" spans="2:2" ht="30" customHeight="1">
      <c r="B20" s="5"/>
    </row>
    <row r="21" spans="2:2" ht="30" customHeight="1">
      <c r="B21" s="5"/>
    </row>
    <row r="22" spans="2:2" ht="30" customHeight="1">
      <c r="B22" s="5"/>
    </row>
    <row r="23" spans="2:2" ht="30" customHeight="1">
      <c r="B23" s="5"/>
    </row>
    <row r="24" spans="2:2" ht="30" customHeight="1">
      <c r="B24" s="5"/>
    </row>
    <row r="25" spans="2:2" ht="30" customHeight="1">
      <c r="B25" s="5"/>
    </row>
    <row r="26" spans="2:2" ht="30" customHeight="1">
      <c r="B26" s="5"/>
    </row>
    <row r="27" spans="2:2" ht="30" customHeight="1">
      <c r="B27" s="5"/>
    </row>
    <row r="28" spans="2:2" ht="30" customHeight="1">
      <c r="B28" s="5"/>
    </row>
    <row r="29" spans="2:2" ht="30" customHeight="1">
      <c r="B29" s="5"/>
    </row>
    <row r="30" spans="2:2" ht="30" customHeight="1">
      <c r="B30" s="5"/>
    </row>
    <row r="31" spans="2:2" ht="30" customHeight="1">
      <c r="B31" s="5"/>
    </row>
    <row r="32" spans="2:2" ht="30" customHeight="1">
      <c r="B32" s="5"/>
    </row>
    <row r="33" spans="2:2" ht="30" customHeight="1">
      <c r="B33" s="5"/>
    </row>
    <row r="34" spans="2:2" ht="30" customHeight="1">
      <c r="B34" s="5"/>
    </row>
    <row r="35" spans="2:2" ht="30" customHeight="1">
      <c r="B35" s="5"/>
    </row>
    <row r="36" spans="2:2" ht="30" customHeight="1">
      <c r="B36" s="5"/>
    </row>
    <row r="37" spans="2:2" ht="30" customHeight="1">
      <c r="B37" s="5"/>
    </row>
    <row r="38" spans="2:2" ht="30" customHeight="1">
      <c r="B38" s="5"/>
    </row>
    <row r="39" spans="2:2" ht="30" customHeight="1">
      <c r="B39" s="5"/>
    </row>
    <row r="40" spans="2:2" ht="30" customHeight="1">
      <c r="B40" s="5"/>
    </row>
    <row r="41" spans="2:2" ht="30" customHeight="1">
      <c r="B41" s="5"/>
    </row>
    <row r="42" spans="2:2" ht="30" customHeight="1">
      <c r="B42" s="5"/>
    </row>
    <row r="43" spans="2:2" ht="30" customHeight="1">
      <c r="B43" s="5"/>
    </row>
    <row r="44" spans="2:2" ht="30" customHeight="1">
      <c r="B44" s="5"/>
    </row>
    <row r="45" spans="2:2" ht="30" customHeight="1">
      <c r="B45" s="5"/>
    </row>
    <row r="46" spans="2:2" ht="30" customHeight="1">
      <c r="B46" s="5"/>
    </row>
    <row r="47" spans="2:2" ht="30" customHeight="1">
      <c r="B47" s="5"/>
    </row>
    <row r="48" spans="2:2" ht="30" customHeight="1">
      <c r="B48" s="5"/>
    </row>
    <row r="49" spans="2:2" ht="30" customHeight="1">
      <c r="B49" s="5"/>
    </row>
    <row r="50" spans="2:2" ht="30" customHeight="1">
      <c r="B50" s="5"/>
    </row>
    <row r="51" spans="2:2" ht="30" customHeight="1">
      <c r="B51" s="5"/>
    </row>
    <row r="52" spans="2:2" ht="30" customHeight="1">
      <c r="B52" s="5"/>
    </row>
    <row r="53" spans="2:2" ht="30" customHeight="1">
      <c r="B53" s="5"/>
    </row>
    <row r="54" spans="2:2" ht="30" customHeight="1">
      <c r="B54" s="5"/>
    </row>
    <row r="55" spans="2:2" ht="30" customHeight="1">
      <c r="B55" s="5"/>
    </row>
    <row r="56" spans="2:2" ht="30" customHeight="1">
      <c r="B56" s="5"/>
    </row>
    <row r="57" spans="2:2" ht="30" customHeight="1">
      <c r="B57" s="5"/>
    </row>
    <row r="58" spans="2:2" ht="30" customHeight="1">
      <c r="B58" s="5"/>
    </row>
    <row r="59" spans="2:2" ht="30" customHeight="1">
      <c r="B59" s="5"/>
    </row>
    <row r="60" spans="2:2" ht="30" customHeight="1">
      <c r="B60" s="5"/>
    </row>
    <row r="61" spans="2:2" ht="30" customHeight="1">
      <c r="B61" s="5"/>
    </row>
    <row r="62" spans="2:2" ht="30" customHeight="1">
      <c r="B62" s="5"/>
    </row>
    <row r="63" spans="2:2" ht="30" customHeight="1">
      <c r="B63" s="5"/>
    </row>
    <row r="64" spans="2:2" ht="30" customHeight="1">
      <c r="B64" s="5"/>
    </row>
    <row r="65" spans="2:2" ht="30" customHeight="1">
      <c r="B65" s="5"/>
    </row>
    <row r="66" spans="2:2" ht="30" customHeight="1">
      <c r="B66" s="5"/>
    </row>
    <row r="67" spans="2:2" ht="30" customHeight="1">
      <c r="B67" s="5"/>
    </row>
    <row r="68" spans="2:2" ht="30" customHeight="1">
      <c r="B68" s="5"/>
    </row>
    <row r="69" spans="2:2" ht="30" customHeight="1">
      <c r="B69" s="5"/>
    </row>
    <row r="70" spans="2:2" ht="30" customHeight="1">
      <c r="B70" s="5"/>
    </row>
    <row r="71" spans="2:2" ht="30" customHeight="1">
      <c r="B71" s="5"/>
    </row>
    <row r="72" spans="2:2" ht="30" customHeight="1">
      <c r="B72" s="5"/>
    </row>
    <row r="73" spans="2:2" ht="30" customHeight="1">
      <c r="B73" s="5"/>
    </row>
    <row r="74" spans="2:2" ht="30" customHeight="1">
      <c r="B74" s="5"/>
    </row>
    <row r="75" spans="2:2" ht="30" customHeight="1">
      <c r="B75" s="5"/>
    </row>
    <row r="76" spans="2:2" ht="30" customHeight="1">
      <c r="B76" s="5"/>
    </row>
    <row r="77" spans="2:2" ht="30" customHeight="1">
      <c r="B77" s="5"/>
    </row>
    <row r="78" spans="2:2" ht="30" customHeight="1">
      <c r="B78" s="5"/>
    </row>
    <row r="79" spans="2:2" ht="30" customHeight="1">
      <c r="B79" s="5"/>
    </row>
    <row r="80" spans="2:2" ht="30" customHeight="1">
      <c r="B80" s="5"/>
    </row>
    <row r="81" spans="2:2" ht="30" customHeight="1">
      <c r="B81" s="5"/>
    </row>
    <row r="82" spans="2:2" ht="30" customHeight="1">
      <c r="B82" s="5"/>
    </row>
    <row r="83" spans="2:2" ht="30" customHeight="1">
      <c r="B83" s="5"/>
    </row>
    <row r="84" spans="2:2" ht="30" customHeight="1">
      <c r="B84" s="5"/>
    </row>
    <row r="85" spans="2:2" ht="30" customHeight="1">
      <c r="B85" s="5"/>
    </row>
    <row r="86" spans="2:2" ht="30" customHeight="1">
      <c r="B86" s="5"/>
    </row>
    <row r="87" spans="2:2" ht="30" customHeight="1">
      <c r="B87" s="5"/>
    </row>
    <row r="88" spans="2:2" ht="30" customHeight="1">
      <c r="B88" s="5"/>
    </row>
    <row r="89" spans="2:2" ht="30" customHeight="1">
      <c r="B89" s="5"/>
    </row>
    <row r="90" spans="2:2" ht="30" customHeight="1">
      <c r="B90" s="5"/>
    </row>
    <row r="91" spans="2:2" ht="30" customHeight="1">
      <c r="B91" s="5"/>
    </row>
    <row r="92" spans="2:2" ht="30" customHeight="1">
      <c r="B92" s="5"/>
    </row>
    <row r="93" spans="2:2" ht="30" customHeight="1">
      <c r="B93" s="5"/>
    </row>
    <row r="94" spans="2:2" ht="30" customHeight="1">
      <c r="B94" s="5"/>
    </row>
    <row r="95" spans="2:2" ht="30" customHeight="1">
      <c r="B95" s="5"/>
    </row>
    <row r="96" spans="2:2" ht="30" customHeight="1">
      <c r="B96" s="5"/>
    </row>
    <row r="97" spans="2:2" ht="30" customHeight="1">
      <c r="B97" s="5"/>
    </row>
    <row r="98" spans="2:2" ht="30" customHeight="1">
      <c r="B98" s="5"/>
    </row>
    <row r="99" spans="2:2" ht="30" customHeight="1">
      <c r="B99" s="5"/>
    </row>
    <row r="100" spans="2:2" ht="30" customHeight="1">
      <c r="B100" s="5"/>
    </row>
    <row r="101" spans="2:2" ht="30" customHeight="1">
      <c r="B101" s="5"/>
    </row>
    <row r="102" spans="2:2" ht="30" customHeight="1">
      <c r="B102" s="5"/>
    </row>
    <row r="103" spans="2:2" ht="30" customHeight="1">
      <c r="B103" s="5"/>
    </row>
    <row r="104" spans="2:2" ht="30" customHeight="1">
      <c r="B104" s="5"/>
    </row>
    <row r="105" spans="2:2" ht="30" customHeight="1">
      <c r="B105" s="5"/>
    </row>
    <row r="106" spans="2:2" ht="30" customHeight="1">
      <c r="B106" s="5"/>
    </row>
    <row r="107" spans="2:2" ht="30" customHeight="1">
      <c r="B107" s="5"/>
    </row>
    <row r="108" spans="2:2" ht="30" customHeight="1">
      <c r="B108" s="5"/>
    </row>
    <row r="109" spans="2:2" ht="30" customHeight="1">
      <c r="B109" s="5"/>
    </row>
    <row r="110" spans="2:2" ht="30" customHeight="1">
      <c r="B110" s="5"/>
    </row>
    <row r="111" spans="2:2" ht="30" customHeight="1">
      <c r="B111" s="5"/>
    </row>
    <row r="112" spans="2:2" ht="30" customHeight="1">
      <c r="B112" s="5"/>
    </row>
    <row r="113" spans="2:2" ht="30" customHeight="1">
      <c r="B113" s="5"/>
    </row>
    <row r="114" spans="2:2" ht="30" customHeight="1">
      <c r="B114" s="5"/>
    </row>
    <row r="115" spans="2:2" ht="30" customHeight="1">
      <c r="B115" s="5"/>
    </row>
    <row r="116" spans="2:2" ht="30" customHeight="1">
      <c r="B116" s="5"/>
    </row>
    <row r="117" spans="2:2" ht="30" customHeight="1">
      <c r="B117" s="5"/>
    </row>
    <row r="118" spans="2:2" ht="30" customHeight="1">
      <c r="B118" s="5"/>
    </row>
    <row r="119" spans="2:2" ht="30" customHeight="1">
      <c r="B119" s="5"/>
    </row>
    <row r="120" spans="2:2" ht="30" customHeight="1">
      <c r="B120" s="5"/>
    </row>
    <row r="121" spans="2:2" ht="30" customHeight="1">
      <c r="B121" s="5"/>
    </row>
    <row r="122" spans="2:2" ht="30" customHeight="1">
      <c r="B122" s="5"/>
    </row>
    <row r="123" spans="2:2" ht="30" customHeight="1">
      <c r="B123" s="5"/>
    </row>
    <row r="124" spans="2:2" ht="30" customHeight="1">
      <c r="B124" s="5"/>
    </row>
    <row r="125" spans="2:2" ht="30" customHeight="1">
      <c r="B125" s="5"/>
    </row>
    <row r="126" spans="2:2" ht="30" customHeight="1">
      <c r="B126" s="5"/>
    </row>
    <row r="127" spans="2:2" ht="30" customHeight="1">
      <c r="B127" s="5"/>
    </row>
    <row r="128" spans="2:2" ht="30" customHeight="1">
      <c r="B128" s="5"/>
    </row>
    <row r="129" spans="2:2" ht="30" customHeight="1">
      <c r="B129" s="5"/>
    </row>
    <row r="130" spans="2:2" ht="30" customHeight="1">
      <c r="B130" s="5"/>
    </row>
    <row r="131" spans="2:2" ht="30" customHeight="1">
      <c r="B131" s="5"/>
    </row>
    <row r="132" spans="2:2" ht="30" customHeight="1">
      <c r="B132" s="5"/>
    </row>
    <row r="133" spans="2:2" ht="30" customHeight="1">
      <c r="B133" s="5"/>
    </row>
    <row r="134" spans="2:2" ht="30" customHeight="1">
      <c r="B134" s="5"/>
    </row>
    <row r="135" spans="2:2" ht="30" customHeight="1">
      <c r="B135" s="5"/>
    </row>
    <row r="136" spans="2:2" ht="30" customHeight="1">
      <c r="B136" s="5"/>
    </row>
    <row r="137" spans="2:2" ht="30" customHeight="1">
      <c r="B137" s="5"/>
    </row>
    <row r="138" spans="2:2" ht="30" customHeight="1">
      <c r="B138" s="5"/>
    </row>
    <row r="139" spans="2:2" ht="30" customHeight="1">
      <c r="B139" s="5"/>
    </row>
    <row r="140" spans="2:2" ht="30" customHeight="1">
      <c r="B140" s="5"/>
    </row>
    <row r="141" spans="2:2" ht="30" customHeight="1">
      <c r="B141" s="5"/>
    </row>
    <row r="142" spans="2:2" ht="30" customHeight="1">
      <c r="B142" s="5"/>
    </row>
    <row r="143" spans="2:2" ht="30" customHeight="1">
      <c r="B143" s="5"/>
    </row>
    <row r="144" spans="2:2" ht="30" customHeight="1">
      <c r="B144" s="5"/>
    </row>
    <row r="145" spans="2:2" ht="30" customHeight="1">
      <c r="B145" s="5"/>
    </row>
    <row r="146" spans="2:2" ht="30" customHeight="1">
      <c r="B146" s="5"/>
    </row>
    <row r="147" spans="2:2" ht="30" customHeight="1">
      <c r="B147" s="5"/>
    </row>
    <row r="148" spans="2:2" ht="30" customHeight="1">
      <c r="B148" s="5"/>
    </row>
    <row r="149" spans="2:2" ht="30" customHeight="1">
      <c r="B149" s="5"/>
    </row>
    <row r="150" spans="2:2" ht="30" customHeight="1">
      <c r="B150" s="5"/>
    </row>
    <row r="151" spans="2:2" ht="30" customHeight="1">
      <c r="B151" s="5"/>
    </row>
    <row r="152" spans="2:2" ht="30" customHeight="1">
      <c r="B152" s="5"/>
    </row>
    <row r="153" spans="2:2" ht="30" customHeight="1">
      <c r="B153" s="5"/>
    </row>
    <row r="154" spans="2:2" ht="30" customHeight="1">
      <c r="B154" s="5"/>
    </row>
    <row r="155" spans="2:2" ht="30" customHeight="1">
      <c r="B155" s="5"/>
    </row>
    <row r="156" spans="2:2" ht="30" customHeight="1">
      <c r="B156" s="5"/>
    </row>
    <row r="157" spans="2:2" ht="30" customHeight="1">
      <c r="B157" s="5"/>
    </row>
    <row r="158" spans="2:2" ht="30" customHeight="1">
      <c r="B158" s="5"/>
    </row>
    <row r="159" spans="2:2" ht="30" customHeight="1">
      <c r="B159" s="5"/>
    </row>
    <row r="160" spans="2:2" ht="30" customHeight="1">
      <c r="B160" s="5"/>
    </row>
    <row r="161" spans="2:2" ht="30" customHeight="1">
      <c r="B161" s="5"/>
    </row>
    <row r="162" spans="2:2" ht="30" customHeight="1">
      <c r="B162" s="5"/>
    </row>
    <row r="163" spans="2:2" ht="30" customHeight="1">
      <c r="B163" s="5"/>
    </row>
    <row r="164" spans="2:2" ht="30" customHeight="1">
      <c r="B164" s="5"/>
    </row>
    <row r="165" spans="2:2" ht="30" customHeight="1">
      <c r="B165" s="5"/>
    </row>
    <row r="166" spans="2:2" ht="30" customHeight="1">
      <c r="B166" s="5"/>
    </row>
    <row r="167" spans="2:2" ht="30" customHeight="1">
      <c r="B167" s="5"/>
    </row>
    <row r="168" spans="2:2" ht="30" customHeight="1">
      <c r="B168" s="5"/>
    </row>
    <row r="169" spans="2:2" ht="30" customHeight="1">
      <c r="B169" s="5"/>
    </row>
    <row r="170" spans="2:2" ht="30" customHeight="1">
      <c r="B170" s="5"/>
    </row>
    <row r="171" spans="2:2" ht="30" customHeight="1">
      <c r="B171" s="5"/>
    </row>
    <row r="172" spans="2:2" ht="30" customHeight="1">
      <c r="B172" s="5"/>
    </row>
    <row r="173" spans="2:2" ht="30" customHeight="1">
      <c r="B173" s="5"/>
    </row>
    <row r="174" spans="2:2" ht="30" customHeight="1">
      <c r="B174" s="5"/>
    </row>
    <row r="175" spans="2:2" ht="30" customHeight="1">
      <c r="B175" s="5"/>
    </row>
    <row r="176" spans="2:2" ht="30" customHeight="1">
      <c r="B176" s="5"/>
    </row>
    <row r="177" spans="2:2" ht="30" customHeight="1">
      <c r="B177" s="5"/>
    </row>
    <row r="178" spans="2:2" ht="30" customHeight="1">
      <c r="B178" s="5"/>
    </row>
    <row r="179" spans="2:2" ht="30" customHeight="1">
      <c r="B179" s="5"/>
    </row>
    <row r="180" spans="2:2" ht="30" customHeight="1">
      <c r="B180" s="5"/>
    </row>
    <row r="181" spans="2:2" ht="30" customHeight="1">
      <c r="B181" s="5"/>
    </row>
    <row r="182" spans="2:2" ht="30" customHeight="1">
      <c r="B182" s="5"/>
    </row>
    <row r="183" spans="2:2" ht="30" customHeight="1">
      <c r="B183" s="5"/>
    </row>
    <row r="184" spans="2:2" ht="30" customHeight="1">
      <c r="B184" s="5"/>
    </row>
    <row r="185" spans="2:2" ht="30" customHeight="1">
      <c r="B185" s="5"/>
    </row>
    <row r="186" spans="2:2" ht="30" customHeight="1">
      <c r="B186" s="5"/>
    </row>
    <row r="187" spans="2:2" ht="30" customHeight="1">
      <c r="B187" s="5"/>
    </row>
    <row r="188" spans="2:2" ht="30" customHeight="1">
      <c r="B188" s="5"/>
    </row>
    <row r="189" spans="2:2" ht="30" customHeight="1">
      <c r="B189" s="5"/>
    </row>
    <row r="190" spans="2:2" ht="30" customHeight="1">
      <c r="B190" s="5"/>
    </row>
    <row r="191" spans="2:2" ht="30" customHeight="1">
      <c r="B191" s="5"/>
    </row>
    <row r="192" spans="2:2" ht="30" customHeight="1">
      <c r="B192" s="5"/>
    </row>
    <row r="193" spans="2:2" ht="30" customHeight="1">
      <c r="B193" s="5"/>
    </row>
    <row r="194" spans="2:2" ht="30" customHeight="1">
      <c r="B194" s="5"/>
    </row>
    <row r="195" spans="2:2" ht="30" customHeight="1">
      <c r="B195" s="5"/>
    </row>
    <row r="196" spans="2:2" ht="30" customHeight="1">
      <c r="B196" s="5"/>
    </row>
    <row r="197" spans="2:2" ht="30" customHeight="1">
      <c r="B197" s="5"/>
    </row>
    <row r="198" spans="2:2" ht="30" customHeight="1">
      <c r="B198" s="5"/>
    </row>
    <row r="199" spans="2:2" ht="30" customHeight="1">
      <c r="B199" s="5"/>
    </row>
    <row r="200" spans="2:2" ht="30" customHeight="1">
      <c r="B200" s="5"/>
    </row>
    <row r="201" spans="2:2" ht="30" customHeight="1">
      <c r="B201" s="5"/>
    </row>
    <row r="202" spans="2:2" ht="30" customHeight="1">
      <c r="B202" s="5"/>
    </row>
    <row r="203" spans="2:2" ht="30" customHeight="1">
      <c r="B203" s="5"/>
    </row>
    <row r="204" spans="2:2" ht="30" customHeight="1">
      <c r="B204" s="5"/>
    </row>
    <row r="205" spans="2:2" ht="30" customHeight="1">
      <c r="B205" s="5"/>
    </row>
    <row r="206" spans="2:2" ht="30" customHeight="1">
      <c r="B206" s="5"/>
    </row>
    <row r="207" spans="2:2" ht="30" customHeight="1">
      <c r="B207" s="5"/>
    </row>
    <row r="208" spans="2:2" ht="30" customHeight="1">
      <c r="B208" s="5"/>
    </row>
    <row r="209" spans="2:2" ht="30" customHeight="1">
      <c r="B209" s="5"/>
    </row>
    <row r="210" spans="2:2" ht="30" customHeight="1">
      <c r="B210" s="5"/>
    </row>
    <row r="211" spans="2:2" ht="30" customHeight="1">
      <c r="B211" s="5"/>
    </row>
    <row r="212" spans="2:2" ht="30" customHeight="1">
      <c r="B212" s="5"/>
    </row>
    <row r="213" spans="2:2" ht="30" customHeight="1">
      <c r="B213" s="5"/>
    </row>
    <row r="214" spans="2:2" ht="30" customHeight="1">
      <c r="B214" s="5"/>
    </row>
    <row r="215" spans="2:2" ht="30" customHeight="1">
      <c r="B215" s="5"/>
    </row>
    <row r="216" spans="2:2" ht="30" customHeight="1">
      <c r="B216" s="5"/>
    </row>
    <row r="217" spans="2:2" ht="30" customHeight="1">
      <c r="B217" s="5"/>
    </row>
    <row r="218" spans="2:2" ht="30" customHeight="1">
      <c r="B218" s="5"/>
    </row>
    <row r="219" spans="2:2" ht="30" customHeight="1">
      <c r="B219" s="5"/>
    </row>
    <row r="220" spans="2:2" ht="30" customHeight="1">
      <c r="B220" s="5"/>
    </row>
    <row r="221" spans="2:2" ht="30" customHeight="1">
      <c r="B221" s="5"/>
    </row>
    <row r="222" spans="2:2" ht="30" customHeight="1">
      <c r="B222" s="5"/>
    </row>
    <row r="223" spans="2:2" ht="30" customHeight="1">
      <c r="B223" s="5"/>
    </row>
    <row r="224" spans="2:2" ht="30" customHeight="1">
      <c r="B224" s="5"/>
    </row>
    <row r="225" spans="2:2" ht="30" customHeight="1">
      <c r="B225" s="5"/>
    </row>
    <row r="226" spans="2:2" ht="30" customHeight="1">
      <c r="B226" s="5"/>
    </row>
    <row r="227" spans="2:2" ht="30" customHeight="1">
      <c r="B227" s="5"/>
    </row>
    <row r="228" spans="2:2" ht="30" customHeight="1">
      <c r="B228" s="5"/>
    </row>
    <row r="229" spans="2:2" ht="30" customHeight="1">
      <c r="B229" s="5"/>
    </row>
    <row r="230" spans="2:2" ht="30" customHeight="1">
      <c r="B230" s="5"/>
    </row>
    <row r="231" spans="2:2" ht="30" customHeight="1">
      <c r="B231" s="5"/>
    </row>
    <row r="232" spans="2:2" ht="30" customHeight="1">
      <c r="B232" s="5"/>
    </row>
    <row r="233" spans="2:2" ht="30" customHeight="1">
      <c r="B233" s="5"/>
    </row>
    <row r="234" spans="2:2" ht="30" customHeight="1">
      <c r="B234" s="5"/>
    </row>
    <row r="235" spans="2:2" ht="30" customHeight="1">
      <c r="B235" s="5"/>
    </row>
    <row r="236" spans="2:2" ht="30" customHeight="1">
      <c r="B236" s="5"/>
    </row>
    <row r="237" spans="2:2" ht="30" customHeight="1">
      <c r="B237" s="5"/>
    </row>
    <row r="238" spans="2:2" ht="30" customHeight="1">
      <c r="B238" s="5"/>
    </row>
    <row r="239" spans="2:2" ht="30" customHeight="1">
      <c r="B239" s="5"/>
    </row>
    <row r="240" spans="2:2" ht="30" customHeight="1">
      <c r="B240" s="5"/>
    </row>
    <row r="241" spans="2:2" ht="30" customHeight="1">
      <c r="B241" s="5"/>
    </row>
    <row r="242" spans="2:2" ht="30" customHeight="1">
      <c r="B242" s="5"/>
    </row>
    <row r="243" spans="2:2" ht="30" customHeight="1">
      <c r="B243" s="5"/>
    </row>
    <row r="244" spans="2:2" ht="30" customHeight="1">
      <c r="B244" s="5"/>
    </row>
    <row r="245" spans="2:2" ht="30" customHeight="1">
      <c r="B245" s="5"/>
    </row>
    <row r="246" spans="2:2" ht="30" customHeight="1">
      <c r="B246" s="5"/>
    </row>
    <row r="247" spans="2:2" ht="30" customHeight="1">
      <c r="B247" s="5"/>
    </row>
    <row r="248" spans="2:2" ht="30" customHeight="1">
      <c r="B248" s="5"/>
    </row>
    <row r="249" spans="2:2" ht="30" customHeight="1">
      <c r="B249" s="5"/>
    </row>
    <row r="250" spans="2:2" ht="30" customHeight="1">
      <c r="B250" s="5"/>
    </row>
    <row r="251" spans="2:2" ht="30" customHeight="1">
      <c r="B251" s="5"/>
    </row>
    <row r="252" spans="2:2" ht="30" customHeight="1">
      <c r="B252" s="5"/>
    </row>
    <row r="253" spans="2:2" ht="30" customHeight="1">
      <c r="B253" s="5"/>
    </row>
    <row r="254" spans="2:2" ht="30" customHeight="1">
      <c r="B254" s="5"/>
    </row>
    <row r="255" spans="2:2" ht="30" customHeight="1">
      <c r="B255" s="5"/>
    </row>
    <row r="256" spans="2:2" ht="30" customHeight="1">
      <c r="B256" s="5"/>
    </row>
    <row r="257" spans="2:2" ht="30" customHeight="1">
      <c r="B257" s="5"/>
    </row>
    <row r="258" spans="2:2" ht="30" customHeight="1">
      <c r="B258" s="5"/>
    </row>
    <row r="259" spans="2:2" ht="30" customHeight="1">
      <c r="B259" s="5"/>
    </row>
    <row r="260" spans="2:2" ht="30" customHeight="1">
      <c r="B260" s="5"/>
    </row>
    <row r="261" spans="2:2" ht="30" customHeight="1">
      <c r="B261" s="5"/>
    </row>
    <row r="262" spans="2:2" ht="30" customHeight="1">
      <c r="B262" s="5"/>
    </row>
    <row r="263" spans="2:2" ht="30" customHeight="1">
      <c r="B263" s="5"/>
    </row>
    <row r="264" spans="2:2" ht="30" customHeight="1">
      <c r="B264" s="5"/>
    </row>
    <row r="265" spans="2:2" ht="30" customHeight="1">
      <c r="B265" s="5"/>
    </row>
    <row r="266" spans="2:2" ht="30" customHeight="1">
      <c r="B266" s="5"/>
    </row>
    <row r="267" spans="2:2" ht="30" customHeight="1">
      <c r="B267" s="5"/>
    </row>
    <row r="268" spans="2:2" ht="30" customHeight="1">
      <c r="B268" s="5"/>
    </row>
    <row r="269" spans="2:2" ht="30" customHeight="1">
      <c r="B269" s="5"/>
    </row>
    <row r="270" spans="2:2" ht="30" customHeight="1">
      <c r="B270" s="5"/>
    </row>
    <row r="271" spans="2:2" ht="30" customHeight="1">
      <c r="B271" s="5"/>
    </row>
    <row r="272" spans="2:2" ht="30" customHeight="1">
      <c r="B272" s="5"/>
    </row>
    <row r="273" spans="2:2" ht="30" customHeight="1">
      <c r="B273" s="5"/>
    </row>
    <row r="274" spans="2:2" ht="30" customHeight="1">
      <c r="B274" s="5"/>
    </row>
    <row r="275" spans="2:2" ht="30" customHeight="1">
      <c r="B275" s="5"/>
    </row>
    <row r="276" spans="2:2" ht="30" customHeight="1">
      <c r="B276" s="5"/>
    </row>
    <row r="277" spans="2:2" ht="30" customHeight="1">
      <c r="B277" s="5"/>
    </row>
    <row r="278" spans="2:2" ht="30" customHeight="1">
      <c r="B278" s="5"/>
    </row>
    <row r="279" spans="2:2" ht="30" customHeight="1">
      <c r="B279" s="5"/>
    </row>
    <row r="280" spans="2:2" ht="30" customHeight="1">
      <c r="B280" s="5"/>
    </row>
    <row r="281" spans="2:2" ht="30" customHeight="1">
      <c r="B281" s="5"/>
    </row>
    <row r="282" spans="2:2" ht="30" customHeight="1">
      <c r="B282" s="5"/>
    </row>
    <row r="283" spans="2:2" ht="30" customHeight="1">
      <c r="B283" s="5"/>
    </row>
    <row r="284" spans="2:2" ht="30" customHeight="1">
      <c r="B284" s="5"/>
    </row>
    <row r="285" spans="2:2" ht="30" customHeight="1">
      <c r="B285" s="5"/>
    </row>
    <row r="286" spans="2:2" ht="30" customHeight="1">
      <c r="B286" s="5"/>
    </row>
    <row r="287" spans="2:2" ht="30" customHeight="1">
      <c r="B287" s="5"/>
    </row>
    <row r="288" spans="2:2" ht="30" customHeight="1">
      <c r="B288" s="5"/>
    </row>
    <row r="289" spans="2:2" ht="30" customHeight="1">
      <c r="B289" s="5"/>
    </row>
    <row r="290" spans="2:2" ht="30" customHeight="1">
      <c r="B290" s="5"/>
    </row>
    <row r="291" spans="2:2" ht="30" customHeight="1">
      <c r="B291" s="5"/>
    </row>
    <row r="292" spans="2:2" ht="30" customHeight="1">
      <c r="B292" s="5"/>
    </row>
    <row r="293" spans="2:2" ht="30" customHeight="1">
      <c r="B293" s="5"/>
    </row>
    <row r="294" spans="2:2" ht="30" customHeight="1">
      <c r="B294" s="5"/>
    </row>
    <row r="295" spans="2:2" ht="30" customHeight="1">
      <c r="B295" s="5"/>
    </row>
    <row r="296" spans="2:2" ht="30" customHeight="1">
      <c r="B296" s="5"/>
    </row>
    <row r="297" spans="2:2" ht="30" customHeight="1">
      <c r="B297" s="5"/>
    </row>
    <row r="298" spans="2:2" ht="30" customHeight="1">
      <c r="B298" s="5"/>
    </row>
    <row r="299" spans="2:2" ht="30" customHeight="1">
      <c r="B299" s="5"/>
    </row>
    <row r="300" spans="2:2" ht="30" customHeight="1">
      <c r="B300" s="5"/>
    </row>
    <row r="301" spans="2:2" ht="30" customHeight="1">
      <c r="B301" s="5"/>
    </row>
    <row r="302" spans="2:2" ht="30" customHeight="1">
      <c r="B302" s="5"/>
    </row>
    <row r="303" spans="2:2" ht="30" customHeight="1">
      <c r="B303" s="5"/>
    </row>
    <row r="304" spans="2:2" ht="30" customHeight="1">
      <c r="B304" s="5"/>
    </row>
    <row r="305" spans="2:2" ht="30" customHeight="1">
      <c r="B305" s="5"/>
    </row>
    <row r="306" spans="2:2" ht="30" customHeight="1">
      <c r="B306" s="5"/>
    </row>
    <row r="307" spans="2:2" ht="30" customHeight="1">
      <c r="B307" s="5"/>
    </row>
    <row r="308" spans="2:2" ht="30" customHeight="1">
      <c r="B308" s="5"/>
    </row>
    <row r="309" spans="2:2" ht="30" customHeight="1">
      <c r="B309" s="5"/>
    </row>
    <row r="310" spans="2:2" ht="30" customHeight="1">
      <c r="B310" s="5"/>
    </row>
    <row r="311" spans="2:2" ht="30" customHeight="1">
      <c r="B311" s="5"/>
    </row>
    <row r="312" spans="2:2" ht="30" customHeight="1">
      <c r="B312" s="5"/>
    </row>
    <row r="313" spans="2:2" ht="30" customHeight="1">
      <c r="B313" s="5"/>
    </row>
    <row r="314" spans="2:2" ht="30" customHeight="1">
      <c r="B314" s="5"/>
    </row>
    <row r="315" spans="2:2" ht="30" customHeight="1">
      <c r="B315" s="5"/>
    </row>
    <row r="316" spans="2:2" ht="30" customHeight="1">
      <c r="B316" s="5"/>
    </row>
    <row r="317" spans="2:2" ht="30" customHeight="1">
      <c r="B317" s="5"/>
    </row>
    <row r="318" spans="2:2" ht="30" customHeight="1">
      <c r="B318" s="5"/>
    </row>
    <row r="319" spans="2:2" ht="30" customHeight="1">
      <c r="B319" s="5"/>
    </row>
    <row r="320" spans="2:2" ht="30" customHeight="1">
      <c r="B320" s="5"/>
    </row>
    <row r="321" spans="2:2" ht="30" customHeight="1">
      <c r="B321" s="5"/>
    </row>
    <row r="322" spans="2:2" ht="30" customHeight="1">
      <c r="B322" s="5"/>
    </row>
    <row r="323" spans="2:2" ht="30" customHeight="1">
      <c r="B323" s="5"/>
    </row>
    <row r="324" spans="2:2" ht="30" customHeight="1">
      <c r="B324" s="5"/>
    </row>
    <row r="325" spans="2:2" ht="30" customHeight="1">
      <c r="B325" s="5"/>
    </row>
    <row r="326" spans="2:2" ht="30" customHeight="1">
      <c r="B326" s="5"/>
    </row>
    <row r="327" spans="2:2" ht="30" customHeight="1">
      <c r="B327" s="5"/>
    </row>
    <row r="328" spans="2:2" ht="30" customHeight="1">
      <c r="B328" s="5"/>
    </row>
    <row r="329" spans="2:2" ht="30" customHeight="1">
      <c r="B329" s="5"/>
    </row>
    <row r="330" spans="2:2" ht="30" customHeight="1">
      <c r="B330" s="5"/>
    </row>
    <row r="331" spans="2:2" ht="30" customHeight="1">
      <c r="B331" s="5"/>
    </row>
    <row r="332" spans="2:2" ht="30" customHeight="1">
      <c r="B332" s="5"/>
    </row>
    <row r="333" spans="2:2" ht="30" customHeight="1">
      <c r="B333" s="5"/>
    </row>
    <row r="334" spans="2:2" ht="30" customHeight="1">
      <c r="B334" s="5"/>
    </row>
    <row r="335" spans="2:2" ht="30" customHeight="1">
      <c r="B335" s="5"/>
    </row>
    <row r="336" spans="2:2" ht="30" customHeight="1">
      <c r="B336" s="5"/>
    </row>
    <row r="337" spans="2:2" ht="30" customHeight="1">
      <c r="B337" s="5"/>
    </row>
    <row r="338" spans="2:2" ht="30" customHeight="1">
      <c r="B338" s="5"/>
    </row>
    <row r="339" spans="2:2" ht="30" customHeight="1">
      <c r="B339" s="5"/>
    </row>
    <row r="340" spans="2:2" ht="30" customHeight="1">
      <c r="B340" s="5"/>
    </row>
    <row r="341" spans="2:2" ht="30" customHeight="1">
      <c r="B341" s="5"/>
    </row>
    <row r="342" spans="2:2" ht="30" customHeight="1">
      <c r="B342" s="5"/>
    </row>
    <row r="343" spans="2:2" ht="30" customHeight="1">
      <c r="B343" s="5"/>
    </row>
    <row r="344" spans="2:2" ht="30" customHeight="1">
      <c r="B344" s="5"/>
    </row>
    <row r="345" spans="2:2" ht="30" customHeight="1">
      <c r="B345" s="5"/>
    </row>
    <row r="346" spans="2:2" ht="30" customHeight="1">
      <c r="B346" s="5"/>
    </row>
    <row r="347" spans="2:2" ht="30" customHeight="1">
      <c r="B347" s="5"/>
    </row>
    <row r="348" spans="2:2" ht="30" customHeight="1">
      <c r="B348" s="5"/>
    </row>
    <row r="349" spans="2:2" ht="30" customHeight="1">
      <c r="B349" s="5"/>
    </row>
    <row r="350" spans="2:2" ht="30" customHeight="1">
      <c r="B350" s="5"/>
    </row>
    <row r="351" spans="2:2" ht="30" customHeight="1">
      <c r="B351" s="5"/>
    </row>
    <row r="352" spans="2:2" ht="30" customHeight="1">
      <c r="B352" s="5"/>
    </row>
    <row r="353" spans="2:2" ht="30" customHeight="1">
      <c r="B353" s="5"/>
    </row>
    <row r="354" spans="2:2" ht="30" customHeight="1">
      <c r="B354" s="5"/>
    </row>
    <row r="355" spans="2:2" ht="30" customHeight="1">
      <c r="B355" s="5"/>
    </row>
    <row r="356" spans="2:2" ht="30" customHeight="1">
      <c r="B356" s="5"/>
    </row>
    <row r="357" spans="2:2" ht="30" customHeight="1">
      <c r="B357" s="5"/>
    </row>
    <row r="358" spans="2:2" ht="30" customHeight="1">
      <c r="B358" s="5"/>
    </row>
    <row r="359" spans="2:2" ht="30" customHeight="1">
      <c r="B359" s="5"/>
    </row>
    <row r="360" spans="2:2" ht="30" customHeight="1">
      <c r="B360" s="5"/>
    </row>
    <row r="361" spans="2:2" ht="30" customHeight="1">
      <c r="B361" s="5"/>
    </row>
    <row r="362" spans="2:2" ht="30" customHeight="1">
      <c r="B362" s="5"/>
    </row>
    <row r="363" spans="2:2" ht="30" customHeight="1">
      <c r="B363" s="5"/>
    </row>
    <row r="364" spans="2:2" ht="30" customHeight="1">
      <c r="B364" s="5"/>
    </row>
    <row r="365" spans="2:2" ht="30" customHeight="1">
      <c r="B365" s="5"/>
    </row>
    <row r="366" spans="2:2" ht="30" customHeight="1">
      <c r="B366" s="5"/>
    </row>
    <row r="367" spans="2:2" ht="30" customHeight="1">
      <c r="B367" s="5"/>
    </row>
    <row r="368" spans="2:2" ht="30" customHeight="1">
      <c r="B368" s="5"/>
    </row>
    <row r="369" spans="2:2" ht="30" customHeight="1">
      <c r="B369" s="5"/>
    </row>
    <row r="370" spans="2:2" ht="30" customHeight="1">
      <c r="B370" s="5"/>
    </row>
    <row r="371" spans="2:2" ht="30" customHeight="1">
      <c r="B371" s="5"/>
    </row>
    <row r="372" spans="2:2" ht="30" customHeight="1">
      <c r="B372" s="5"/>
    </row>
    <row r="373" spans="2:2" ht="30" customHeight="1">
      <c r="B373" s="5"/>
    </row>
    <row r="374" spans="2:2" ht="30" customHeight="1">
      <c r="B374" s="5"/>
    </row>
    <row r="375" spans="2:2" ht="30" customHeight="1">
      <c r="B375" s="5"/>
    </row>
    <row r="376" spans="2:2" ht="30" customHeight="1">
      <c r="B376" s="5"/>
    </row>
    <row r="377" spans="2:2" ht="30" customHeight="1">
      <c r="B377" s="5"/>
    </row>
    <row r="378" spans="2:2" ht="30" customHeight="1">
      <c r="B378" s="5"/>
    </row>
    <row r="379" spans="2:2" ht="30" customHeight="1">
      <c r="B379" s="5"/>
    </row>
    <row r="380" spans="2:2" ht="30" customHeight="1">
      <c r="B380" s="5"/>
    </row>
    <row r="381" spans="2:2" ht="30" customHeight="1">
      <c r="B381" s="5"/>
    </row>
    <row r="382" spans="2:2" ht="30" customHeight="1">
      <c r="B382" s="5"/>
    </row>
    <row r="383" spans="2:2" ht="30" customHeight="1">
      <c r="B383" s="5"/>
    </row>
    <row r="384" spans="2:2" ht="30" customHeight="1">
      <c r="B384" s="5"/>
    </row>
    <row r="385" spans="2:2" ht="30" customHeight="1">
      <c r="B385" s="5"/>
    </row>
    <row r="386" spans="2:2" ht="30" customHeight="1">
      <c r="B386" s="5"/>
    </row>
    <row r="387" spans="2:2" ht="30" customHeight="1">
      <c r="B387" s="5"/>
    </row>
    <row r="388" spans="2:2" ht="30" customHeight="1">
      <c r="B388" s="5"/>
    </row>
    <row r="389" spans="2:2" ht="30" customHeight="1">
      <c r="B389" s="5"/>
    </row>
    <row r="390" spans="2:2" ht="30" customHeight="1">
      <c r="B390" s="5"/>
    </row>
    <row r="391" spans="2:2" ht="30" customHeight="1">
      <c r="B391" s="5"/>
    </row>
    <row r="392" spans="2:2" ht="30" customHeight="1">
      <c r="B392" s="5"/>
    </row>
    <row r="393" spans="2:2" ht="30" customHeight="1">
      <c r="B393" s="5"/>
    </row>
    <row r="394" spans="2:2" ht="30" customHeight="1">
      <c r="B394" s="5"/>
    </row>
    <row r="395" spans="2:2" ht="30" customHeight="1">
      <c r="B395" s="5"/>
    </row>
    <row r="396" spans="2:2" ht="30" customHeight="1">
      <c r="B396" s="5"/>
    </row>
    <row r="397" spans="2:2" ht="30" customHeight="1">
      <c r="B397" s="5"/>
    </row>
    <row r="398" spans="2:2" ht="30" customHeight="1">
      <c r="B398" s="5"/>
    </row>
    <row r="399" spans="2:2" ht="30" customHeight="1">
      <c r="B399" s="5"/>
    </row>
    <row r="400" spans="2:2" ht="30" customHeight="1">
      <c r="B400" s="5"/>
    </row>
    <row r="401" spans="2:2" ht="30" customHeight="1">
      <c r="B401" s="5"/>
    </row>
    <row r="402" spans="2:2" ht="30" customHeight="1">
      <c r="B402" s="5"/>
    </row>
    <row r="403" spans="2:2" ht="30" customHeight="1">
      <c r="B403" s="5"/>
    </row>
    <row r="404" spans="2:2" ht="30" customHeight="1">
      <c r="B404" s="5"/>
    </row>
    <row r="405" spans="2:2" ht="30" customHeight="1">
      <c r="B405" s="5"/>
    </row>
    <row r="406" spans="2:2" ht="30" customHeight="1">
      <c r="B406" s="5"/>
    </row>
    <row r="407" spans="2:2" ht="30" customHeight="1">
      <c r="B407" s="5"/>
    </row>
    <row r="408" spans="2:2" ht="30" customHeight="1">
      <c r="B408" s="5"/>
    </row>
    <row r="409" spans="2:2" ht="30" customHeight="1">
      <c r="B409" s="5"/>
    </row>
    <row r="410" spans="2:2" ht="30" customHeight="1">
      <c r="B410" s="5"/>
    </row>
    <row r="411" spans="2:2" ht="30" customHeight="1">
      <c r="B411" s="5"/>
    </row>
    <row r="412" spans="2:2" ht="30" customHeight="1">
      <c r="B412" s="5"/>
    </row>
    <row r="413" spans="2:2" ht="30" customHeight="1">
      <c r="B413" s="5"/>
    </row>
    <row r="414" spans="2:2" ht="30" customHeight="1">
      <c r="B414" s="5"/>
    </row>
    <row r="415" spans="2:2" ht="30" customHeight="1">
      <c r="B415" s="5"/>
    </row>
    <row r="416" spans="2:2" ht="30" customHeight="1">
      <c r="B416" s="5"/>
    </row>
    <row r="417" spans="2:2" ht="30" customHeight="1">
      <c r="B417" s="5"/>
    </row>
    <row r="418" spans="2:2" ht="30" customHeight="1">
      <c r="B418" s="5"/>
    </row>
    <row r="419" spans="2:2" ht="30" customHeight="1">
      <c r="B419" s="5"/>
    </row>
    <row r="420" spans="2:2" ht="30" customHeight="1">
      <c r="B420" s="5"/>
    </row>
    <row r="421" spans="2:2" ht="30" customHeight="1">
      <c r="B421" s="5"/>
    </row>
    <row r="422" spans="2:2" ht="30" customHeight="1">
      <c r="B422" s="5"/>
    </row>
    <row r="423" spans="2:2" ht="30" customHeight="1">
      <c r="B423" s="5"/>
    </row>
    <row r="424" spans="2:2" ht="30" customHeight="1">
      <c r="B424" s="5"/>
    </row>
    <row r="425" spans="2:2" ht="30" customHeight="1">
      <c r="B425" s="5"/>
    </row>
    <row r="426" spans="2:2" ht="30" customHeight="1">
      <c r="B426" s="5"/>
    </row>
    <row r="427" spans="2:2" ht="30" customHeight="1">
      <c r="B427" s="5"/>
    </row>
    <row r="428" spans="2:2" ht="30" customHeight="1">
      <c r="B428" s="5"/>
    </row>
    <row r="429" spans="2:2" ht="30" customHeight="1">
      <c r="B429" s="5"/>
    </row>
    <row r="430" spans="2:2" ht="30" customHeight="1">
      <c r="B430" s="5"/>
    </row>
    <row r="431" spans="2:2" ht="30" customHeight="1">
      <c r="B431" s="5"/>
    </row>
    <row r="432" spans="2:2" ht="30" customHeight="1">
      <c r="B432" s="5"/>
    </row>
    <row r="433" spans="2:2" ht="30" customHeight="1">
      <c r="B433" s="5"/>
    </row>
    <row r="434" spans="2:2" ht="30" customHeight="1">
      <c r="B434" s="5"/>
    </row>
    <row r="435" spans="2:2" ht="30" customHeight="1">
      <c r="B435" s="5"/>
    </row>
    <row r="436" spans="2:2" ht="30" customHeight="1">
      <c r="B436" s="5"/>
    </row>
    <row r="437" spans="2:2" ht="30" customHeight="1">
      <c r="B437" s="5"/>
    </row>
    <row r="438" spans="2:2" ht="30" customHeight="1">
      <c r="B438" s="5"/>
    </row>
    <row r="439" spans="2:2" ht="30" customHeight="1">
      <c r="B439" s="5"/>
    </row>
    <row r="440" spans="2:2" ht="30" customHeight="1">
      <c r="B440" s="5"/>
    </row>
    <row r="441" spans="2:2" ht="30" customHeight="1">
      <c r="B441" s="5"/>
    </row>
    <row r="442" spans="2:2" ht="30" customHeight="1">
      <c r="B442" s="5"/>
    </row>
    <row r="443" spans="2:2" ht="30" customHeight="1">
      <c r="B443" s="5"/>
    </row>
    <row r="444" spans="2:2" ht="30" customHeight="1">
      <c r="B444" s="5"/>
    </row>
    <row r="445" spans="2:2" ht="30" customHeight="1">
      <c r="B445" s="5"/>
    </row>
    <row r="446" spans="2:2" ht="30" customHeight="1">
      <c r="B446" s="5"/>
    </row>
    <row r="447" spans="2:2" ht="30" customHeight="1">
      <c r="B447" s="5"/>
    </row>
    <row r="448" spans="2:2" ht="30" customHeight="1">
      <c r="B448" s="5"/>
    </row>
    <row r="449" spans="2:2" ht="30" customHeight="1">
      <c r="B449" s="5"/>
    </row>
    <row r="450" spans="2:2" ht="30" customHeight="1">
      <c r="B450" s="5"/>
    </row>
    <row r="451" spans="2:2" ht="30" customHeight="1">
      <c r="B451" s="5"/>
    </row>
    <row r="452" spans="2:2" ht="30" customHeight="1">
      <c r="B452" s="5"/>
    </row>
    <row r="453" spans="2:2" ht="30" customHeight="1">
      <c r="B453" s="5"/>
    </row>
    <row r="454" spans="2:2" ht="30" customHeight="1">
      <c r="B454" s="5"/>
    </row>
    <row r="455" spans="2:2" ht="30" customHeight="1">
      <c r="B455" s="5"/>
    </row>
    <row r="456" spans="2:2" ht="30" customHeight="1">
      <c r="B456" s="5"/>
    </row>
    <row r="457" spans="2:2" ht="30" customHeight="1">
      <c r="B457" s="5"/>
    </row>
    <row r="458" spans="2:2" ht="30" customHeight="1">
      <c r="B458" s="5"/>
    </row>
    <row r="459" spans="2:2" ht="30" customHeight="1">
      <c r="B459" s="5"/>
    </row>
    <row r="460" spans="2:2" ht="30" customHeight="1">
      <c r="B460" s="5"/>
    </row>
    <row r="461" spans="2:2" ht="30" customHeight="1">
      <c r="B461" s="5"/>
    </row>
    <row r="462" spans="2:2" ht="30" customHeight="1">
      <c r="B462" s="5"/>
    </row>
    <row r="463" spans="2:2" ht="30" customHeight="1">
      <c r="B463" s="5"/>
    </row>
    <row r="464" spans="2:2" ht="30" customHeight="1">
      <c r="B464" s="5"/>
    </row>
    <row r="465" spans="2:2" ht="30" customHeight="1">
      <c r="B465" s="5"/>
    </row>
    <row r="466" spans="2:2" ht="30" customHeight="1">
      <c r="B466" s="5"/>
    </row>
    <row r="467" spans="2:2" ht="30" customHeight="1">
      <c r="B467" s="5"/>
    </row>
    <row r="468" spans="2:2" ht="30" customHeight="1">
      <c r="B468" s="5"/>
    </row>
    <row r="469" spans="2:2" ht="30" customHeight="1">
      <c r="B469" s="5"/>
    </row>
    <row r="470" spans="2:2" ht="30" customHeight="1">
      <c r="B470" s="5"/>
    </row>
    <row r="471" spans="2:2" ht="30" customHeight="1">
      <c r="B471" s="5"/>
    </row>
    <row r="472" spans="2:2" ht="30" customHeight="1">
      <c r="B472" s="5"/>
    </row>
    <row r="473" spans="2:2" ht="30" customHeight="1">
      <c r="B473" s="5"/>
    </row>
    <row r="474" spans="2:2" ht="30" customHeight="1">
      <c r="B474" s="5"/>
    </row>
    <row r="475" spans="2:2" ht="30" customHeight="1">
      <c r="B475" s="5"/>
    </row>
    <row r="476" spans="2:2" ht="30" customHeight="1">
      <c r="B476" s="5"/>
    </row>
    <row r="477" spans="2:2" ht="30" customHeight="1">
      <c r="B477" s="5"/>
    </row>
    <row r="478" spans="2:2" ht="30" customHeight="1">
      <c r="B478" s="5"/>
    </row>
    <row r="479" spans="2:2" ht="30" customHeight="1">
      <c r="B479" s="5"/>
    </row>
    <row r="480" spans="2:2" ht="30" customHeight="1">
      <c r="B480" s="5"/>
    </row>
    <row r="481" spans="2:2" ht="30" customHeight="1">
      <c r="B481" s="5"/>
    </row>
    <row r="482" spans="2:2" ht="30" customHeight="1">
      <c r="B482" s="5"/>
    </row>
    <row r="483" spans="2:2" ht="30" customHeight="1">
      <c r="B483" s="5"/>
    </row>
    <row r="484" spans="2:2" ht="30" customHeight="1">
      <c r="B484" s="5"/>
    </row>
    <row r="485" spans="2:2" ht="30" customHeight="1">
      <c r="B485" s="5"/>
    </row>
    <row r="486" spans="2:2" ht="30" customHeight="1">
      <c r="B486" s="5"/>
    </row>
    <row r="487" spans="2:2" ht="30" customHeight="1">
      <c r="B487" s="5"/>
    </row>
    <row r="488" spans="2:2" ht="30" customHeight="1">
      <c r="B488" s="5"/>
    </row>
    <row r="489" spans="2:2" ht="30" customHeight="1">
      <c r="B489" s="5"/>
    </row>
    <row r="490" spans="2:2" ht="30" customHeight="1">
      <c r="B490" s="5"/>
    </row>
    <row r="491" spans="2:2" ht="30" customHeight="1">
      <c r="B491" s="5"/>
    </row>
    <row r="492" spans="2:2" ht="30" customHeight="1">
      <c r="B492" s="5"/>
    </row>
    <row r="493" spans="2:2" ht="30" customHeight="1">
      <c r="B493" s="5"/>
    </row>
    <row r="494" spans="2:2" ht="30" customHeight="1">
      <c r="B494" s="5"/>
    </row>
    <row r="495" spans="2:2" ht="30" customHeight="1">
      <c r="B495" s="5"/>
    </row>
    <row r="496" spans="2:2" ht="30" customHeight="1">
      <c r="B496" s="5"/>
    </row>
    <row r="497" spans="2:2" ht="30" customHeight="1">
      <c r="B497" s="5"/>
    </row>
    <row r="498" spans="2:2" ht="30" customHeight="1">
      <c r="B498" s="5"/>
    </row>
    <row r="499" spans="2:2" ht="30" customHeight="1">
      <c r="B499" s="5"/>
    </row>
    <row r="500" spans="2:2" ht="30" customHeight="1">
      <c r="B500" s="5"/>
    </row>
    <row r="501" spans="2:2" ht="30" customHeight="1">
      <c r="B501" s="5"/>
    </row>
    <row r="502" spans="2:2" ht="30" customHeight="1">
      <c r="B502" s="5"/>
    </row>
    <row r="503" spans="2:2" ht="30" customHeight="1">
      <c r="B503" s="5"/>
    </row>
    <row r="504" spans="2:2" ht="30" customHeight="1">
      <c r="B504" s="5"/>
    </row>
    <row r="505" spans="2:2" ht="30" customHeight="1">
      <c r="B505" s="5"/>
    </row>
    <row r="506" spans="2:2" ht="30" customHeight="1">
      <c r="B506" s="5"/>
    </row>
    <row r="507" spans="2:2" ht="30" customHeight="1">
      <c r="B507" s="5"/>
    </row>
    <row r="508" spans="2:2" ht="30" customHeight="1">
      <c r="B508" s="5"/>
    </row>
    <row r="509" spans="2:2" ht="30" customHeight="1">
      <c r="B509" s="5"/>
    </row>
    <row r="510" spans="2:2" ht="30" customHeight="1">
      <c r="B510" s="5"/>
    </row>
    <row r="511" spans="2:2" ht="30" customHeight="1">
      <c r="B511" s="5"/>
    </row>
    <row r="512" spans="2:2" ht="30" customHeight="1">
      <c r="B512" s="5"/>
    </row>
    <row r="513" spans="2:2" ht="30" customHeight="1">
      <c r="B513" s="5"/>
    </row>
    <row r="514" spans="2:2" ht="30" customHeight="1">
      <c r="B514" s="5"/>
    </row>
    <row r="515" spans="2:2" ht="30" customHeight="1">
      <c r="B515" s="5"/>
    </row>
    <row r="516" spans="2:2" ht="30" customHeight="1">
      <c r="B516" s="5"/>
    </row>
    <row r="517" spans="2:2" ht="30" customHeight="1">
      <c r="B517" s="5"/>
    </row>
    <row r="518" spans="2:2" ht="30" customHeight="1">
      <c r="B518" s="5"/>
    </row>
    <row r="519" spans="2:2" ht="30" customHeight="1">
      <c r="B519" s="5"/>
    </row>
    <row r="520" spans="2:2" ht="30" customHeight="1">
      <c r="B520" s="5"/>
    </row>
    <row r="521" spans="2:2" ht="30" customHeight="1">
      <c r="B521" s="5"/>
    </row>
    <row r="522" spans="2:2" ht="30" customHeight="1">
      <c r="B522" s="5"/>
    </row>
    <row r="523" spans="2:2" ht="30" customHeight="1">
      <c r="B523" s="5"/>
    </row>
    <row r="524" spans="2:2" ht="30" customHeight="1">
      <c r="B524" s="5"/>
    </row>
    <row r="525" spans="2:2" ht="30" customHeight="1">
      <c r="B525" s="5"/>
    </row>
    <row r="526" spans="2:2" ht="30" customHeight="1">
      <c r="B526" s="5"/>
    </row>
    <row r="527" spans="2:2" ht="30" customHeight="1">
      <c r="B527" s="5"/>
    </row>
    <row r="528" spans="2:2" ht="30" customHeight="1">
      <c r="B528" s="5"/>
    </row>
    <row r="529" spans="2:2" ht="30" customHeight="1">
      <c r="B529" s="5"/>
    </row>
    <row r="530" spans="2:2" ht="30" customHeight="1">
      <c r="B530" s="5"/>
    </row>
    <row r="531" spans="2:2" ht="30" customHeight="1">
      <c r="B531" s="5"/>
    </row>
    <row r="532" spans="2:2" ht="30" customHeight="1">
      <c r="B532" s="5"/>
    </row>
    <row r="533" spans="2:2" ht="30" customHeight="1">
      <c r="B533" s="5"/>
    </row>
    <row r="534" spans="2:2" ht="30" customHeight="1">
      <c r="B534" s="5"/>
    </row>
    <row r="535" spans="2:2" ht="30" customHeight="1">
      <c r="B535" s="5"/>
    </row>
    <row r="536" spans="2:2" ht="30" customHeight="1">
      <c r="B536" s="5"/>
    </row>
    <row r="537" spans="2:2" ht="30" customHeight="1">
      <c r="B537" s="5"/>
    </row>
    <row r="538" spans="2:2" ht="30" customHeight="1">
      <c r="B538" s="5"/>
    </row>
    <row r="539" spans="2:2" ht="30" customHeight="1">
      <c r="B539" s="5"/>
    </row>
    <row r="540" spans="2:2" ht="30" customHeight="1">
      <c r="B540" s="5"/>
    </row>
    <row r="541" spans="2:2" ht="30" customHeight="1">
      <c r="B541" s="5"/>
    </row>
    <row r="542" spans="2:2" ht="30" customHeight="1">
      <c r="B542" s="5"/>
    </row>
    <row r="543" spans="2:2" ht="30" customHeight="1">
      <c r="B543" s="5"/>
    </row>
    <row r="544" spans="2:2" ht="30" customHeight="1">
      <c r="B544" s="5"/>
    </row>
    <row r="545" spans="2:2" ht="30" customHeight="1">
      <c r="B545" s="5"/>
    </row>
    <row r="546" spans="2:2" ht="30" customHeight="1">
      <c r="B546" s="5"/>
    </row>
    <row r="547" spans="2:2" ht="30" customHeight="1">
      <c r="B547" s="5"/>
    </row>
    <row r="548" spans="2:2" ht="30" customHeight="1">
      <c r="B548" s="5"/>
    </row>
    <row r="549" spans="2:2" ht="30" customHeight="1">
      <c r="B549" s="5"/>
    </row>
    <row r="550" spans="2:2" ht="30" customHeight="1">
      <c r="B550" s="5"/>
    </row>
    <row r="551" spans="2:2" ht="30" customHeight="1">
      <c r="B551" s="5"/>
    </row>
    <row r="552" spans="2:2" ht="30" customHeight="1">
      <c r="B552" s="5"/>
    </row>
    <row r="553" spans="2:2" ht="30" customHeight="1">
      <c r="B553" s="5"/>
    </row>
    <row r="554" spans="2:2" ht="30" customHeight="1">
      <c r="B554" s="5"/>
    </row>
    <row r="555" spans="2:2" ht="30" customHeight="1">
      <c r="B555" s="5"/>
    </row>
    <row r="556" spans="2:2" ht="30" customHeight="1">
      <c r="B556" s="5"/>
    </row>
    <row r="557" spans="2:2" ht="30" customHeight="1">
      <c r="B557" s="5"/>
    </row>
    <row r="558" spans="2:2" ht="30" customHeight="1">
      <c r="B558" s="5"/>
    </row>
    <row r="559" spans="2:2" ht="30" customHeight="1">
      <c r="B559" s="5"/>
    </row>
    <row r="560" spans="2:2" ht="30" customHeight="1">
      <c r="B560" s="5"/>
    </row>
    <row r="561" spans="2:2" ht="30" customHeight="1">
      <c r="B561" s="5"/>
    </row>
    <row r="562" spans="2:2" ht="30" customHeight="1">
      <c r="B562" s="5"/>
    </row>
    <row r="563" spans="2:2" ht="30" customHeight="1">
      <c r="B563" s="5"/>
    </row>
    <row r="564" spans="2:2" ht="30" customHeight="1">
      <c r="B564" s="5"/>
    </row>
    <row r="565" spans="2:2" ht="30" customHeight="1">
      <c r="B565" s="5"/>
    </row>
    <row r="566" spans="2:2" ht="30" customHeight="1">
      <c r="B566" s="5"/>
    </row>
    <row r="567" spans="2:2" ht="30" customHeight="1">
      <c r="B567" s="5"/>
    </row>
    <row r="568" spans="2:2" ht="30" customHeight="1">
      <c r="B568" s="5"/>
    </row>
    <row r="569" spans="2:2" ht="30" customHeight="1">
      <c r="B569" s="5"/>
    </row>
    <row r="570" spans="2:2" ht="30" customHeight="1">
      <c r="B570" s="5"/>
    </row>
    <row r="571" spans="2:2" ht="30" customHeight="1">
      <c r="B571" s="5"/>
    </row>
    <row r="572" spans="2:2" ht="30" customHeight="1">
      <c r="B572" s="5"/>
    </row>
    <row r="573" spans="2:2" ht="30" customHeight="1">
      <c r="B573" s="5"/>
    </row>
    <row r="574" spans="2:2" ht="30" customHeight="1">
      <c r="B574" s="5"/>
    </row>
    <row r="575" spans="2:2" ht="30" customHeight="1">
      <c r="B575" s="5"/>
    </row>
    <row r="576" spans="2:2" ht="30" customHeight="1">
      <c r="B576" s="5"/>
    </row>
    <row r="577" spans="2:2" ht="30" customHeight="1">
      <c r="B577" s="5"/>
    </row>
    <row r="578" spans="2:2" ht="30" customHeight="1">
      <c r="B578" s="5"/>
    </row>
    <row r="579" spans="2:2" ht="30" customHeight="1">
      <c r="B579" s="5"/>
    </row>
    <row r="580" spans="2:2" ht="30" customHeight="1">
      <c r="B580" s="5"/>
    </row>
    <row r="581" spans="2:2" ht="30" customHeight="1">
      <c r="B581" s="5"/>
    </row>
    <row r="582" spans="2:2" ht="30" customHeight="1">
      <c r="B582" s="5"/>
    </row>
    <row r="583" spans="2:2" ht="30" customHeight="1">
      <c r="B583" s="5"/>
    </row>
    <row r="584" spans="2:2" ht="30" customHeight="1">
      <c r="B584" s="5"/>
    </row>
    <row r="585" spans="2:2" ht="30" customHeight="1">
      <c r="B585" s="5"/>
    </row>
    <row r="586" spans="2:2" ht="30" customHeight="1">
      <c r="B586" s="5"/>
    </row>
    <row r="587" spans="2:2" ht="30" customHeight="1">
      <c r="B587" s="5"/>
    </row>
    <row r="588" spans="2:2" ht="30" customHeight="1">
      <c r="B588" s="5"/>
    </row>
    <row r="589" spans="2:2" ht="30" customHeight="1">
      <c r="B589" s="5"/>
    </row>
    <row r="590" spans="2:2" ht="30" customHeight="1">
      <c r="B590" s="5"/>
    </row>
    <row r="591" spans="2:2" ht="30" customHeight="1">
      <c r="B591" s="5"/>
    </row>
    <row r="592" spans="2:2" ht="30" customHeight="1">
      <c r="B592" s="5"/>
    </row>
    <row r="593" spans="2:2" ht="30" customHeight="1">
      <c r="B593" s="5"/>
    </row>
    <row r="594" spans="2:2" ht="30" customHeight="1">
      <c r="B594" s="5"/>
    </row>
    <row r="595" spans="2:2" ht="30" customHeight="1">
      <c r="B595" s="5"/>
    </row>
    <row r="596" spans="2:2" ht="30" customHeight="1">
      <c r="B596" s="5"/>
    </row>
    <row r="597" spans="2:2" ht="30" customHeight="1">
      <c r="B597" s="5"/>
    </row>
    <row r="598" spans="2:2" ht="30" customHeight="1">
      <c r="B598" s="5"/>
    </row>
    <row r="599" spans="2:2" ht="30" customHeight="1">
      <c r="B599" s="5"/>
    </row>
    <row r="600" spans="2:2" ht="30" customHeight="1">
      <c r="B600" s="5"/>
    </row>
    <row r="601" spans="2:2" ht="30" customHeight="1">
      <c r="B601" s="5"/>
    </row>
    <row r="602" spans="2:2" ht="30" customHeight="1">
      <c r="B602" s="5"/>
    </row>
    <row r="603" spans="2:2" ht="30" customHeight="1">
      <c r="B603" s="5"/>
    </row>
    <row r="604" spans="2:2" ht="30" customHeight="1">
      <c r="B604" s="5"/>
    </row>
    <row r="605" spans="2:2" ht="30" customHeight="1">
      <c r="B605" s="5"/>
    </row>
    <row r="606" spans="2:2" ht="30" customHeight="1">
      <c r="B606" s="5"/>
    </row>
    <row r="607" spans="2:2" ht="30" customHeight="1">
      <c r="B607" s="5"/>
    </row>
    <row r="608" spans="2:2" ht="30" customHeight="1">
      <c r="B608" s="5"/>
    </row>
    <row r="609" spans="2:2" ht="30" customHeight="1">
      <c r="B609" s="5"/>
    </row>
    <row r="610" spans="2:2" ht="30" customHeight="1">
      <c r="B610" s="5"/>
    </row>
    <row r="611" spans="2:2" ht="30" customHeight="1">
      <c r="B611" s="5"/>
    </row>
    <row r="612" spans="2:2" ht="30" customHeight="1">
      <c r="B612" s="5"/>
    </row>
    <row r="613" spans="2:2" ht="30" customHeight="1">
      <c r="B613" s="5"/>
    </row>
    <row r="614" spans="2:2" ht="30" customHeight="1">
      <c r="B614" s="5"/>
    </row>
    <row r="615" spans="2:2" ht="30" customHeight="1">
      <c r="B615" s="5"/>
    </row>
    <row r="616" spans="2:2" ht="30" customHeight="1">
      <c r="B616" s="5"/>
    </row>
    <row r="617" spans="2:2" ht="30" customHeight="1">
      <c r="B617" s="5"/>
    </row>
    <row r="618" spans="2:2" ht="30" customHeight="1">
      <c r="B618" s="5"/>
    </row>
    <row r="619" spans="2:2" ht="30" customHeight="1">
      <c r="B619" s="5"/>
    </row>
    <row r="620" spans="2:2" ht="30" customHeight="1">
      <c r="B620" s="5"/>
    </row>
    <row r="621" spans="2:2" ht="30" customHeight="1">
      <c r="B621" s="5"/>
    </row>
    <row r="622" spans="2:2" ht="30" customHeight="1">
      <c r="B622" s="5"/>
    </row>
    <row r="623" spans="2:2" ht="30" customHeight="1">
      <c r="B623" s="5"/>
    </row>
    <row r="624" spans="2:2" ht="30" customHeight="1">
      <c r="B624" s="5"/>
    </row>
    <row r="625" spans="2:2" ht="30" customHeight="1">
      <c r="B625" s="5"/>
    </row>
    <row r="626" spans="2:2" ht="30" customHeight="1">
      <c r="B626" s="5"/>
    </row>
    <row r="627" spans="2:2" ht="30" customHeight="1">
      <c r="B627" s="5"/>
    </row>
    <row r="628" spans="2:2" ht="30" customHeight="1">
      <c r="B628" s="5"/>
    </row>
    <row r="629" spans="2:2" ht="30" customHeight="1">
      <c r="B629" s="5"/>
    </row>
    <row r="630" spans="2:2" ht="30" customHeight="1">
      <c r="B630" s="5"/>
    </row>
    <row r="631" spans="2:2" ht="30" customHeight="1">
      <c r="B631" s="5"/>
    </row>
    <row r="632" spans="2:2" ht="30" customHeight="1">
      <c r="B632" s="5"/>
    </row>
    <row r="633" spans="2:2" ht="30" customHeight="1">
      <c r="B633" s="5"/>
    </row>
    <row r="634" spans="2:2" ht="30" customHeight="1">
      <c r="B634" s="5"/>
    </row>
    <row r="635" spans="2:2" ht="30" customHeight="1">
      <c r="B635" s="5"/>
    </row>
    <row r="636" spans="2:2" ht="30" customHeight="1">
      <c r="B636" s="5"/>
    </row>
    <row r="637" spans="2:2" ht="30" customHeight="1">
      <c r="B637" s="5"/>
    </row>
    <row r="638" spans="2:2" ht="30" customHeight="1">
      <c r="B638" s="5"/>
    </row>
    <row r="639" spans="2:2" ht="30" customHeight="1">
      <c r="B639" s="5"/>
    </row>
    <row r="640" spans="2:2" ht="30" customHeight="1">
      <c r="B640" s="5"/>
    </row>
    <row r="641" spans="2:2" ht="30" customHeight="1">
      <c r="B641" s="5"/>
    </row>
    <row r="642" spans="2:2" ht="30" customHeight="1">
      <c r="B642" s="5"/>
    </row>
    <row r="643" spans="2:2" ht="30" customHeight="1">
      <c r="B643" s="5"/>
    </row>
    <row r="644" spans="2:2" ht="30" customHeight="1">
      <c r="B644" s="5"/>
    </row>
    <row r="645" spans="2:2" ht="30" customHeight="1">
      <c r="B645" s="5"/>
    </row>
    <row r="646" spans="2:2" ht="30" customHeight="1">
      <c r="B646" s="5"/>
    </row>
    <row r="647" spans="2:2" ht="30" customHeight="1">
      <c r="B647" s="5"/>
    </row>
    <row r="648" spans="2:2" ht="30" customHeight="1">
      <c r="B648" s="5"/>
    </row>
    <row r="649" spans="2:2" ht="30" customHeight="1">
      <c r="B649" s="5"/>
    </row>
    <row r="650" spans="2:2" ht="30" customHeight="1">
      <c r="B650" s="5"/>
    </row>
    <row r="651" spans="2:2" ht="30" customHeight="1">
      <c r="B651" s="5"/>
    </row>
    <row r="652" spans="2:2" ht="30" customHeight="1">
      <c r="B652" s="5"/>
    </row>
    <row r="653" spans="2:2" ht="30" customHeight="1">
      <c r="B653" s="5"/>
    </row>
    <row r="654" spans="2:2" ht="30" customHeight="1">
      <c r="B654" s="5"/>
    </row>
    <row r="655" spans="2:2" ht="30" customHeight="1">
      <c r="B655" s="5"/>
    </row>
    <row r="656" spans="2:2" ht="30" customHeight="1">
      <c r="B656" s="5"/>
    </row>
    <row r="657" spans="2:2" ht="30" customHeight="1">
      <c r="B657" s="5"/>
    </row>
    <row r="658" spans="2:2" ht="30" customHeight="1">
      <c r="B658" s="5"/>
    </row>
    <row r="659" spans="2:2" ht="30" customHeight="1">
      <c r="B659" s="5"/>
    </row>
    <row r="660" spans="2:2" ht="30" customHeight="1">
      <c r="B660" s="5"/>
    </row>
    <row r="661" spans="2:2" ht="30" customHeight="1">
      <c r="B661" s="5"/>
    </row>
    <row r="662" spans="2:2" ht="30" customHeight="1">
      <c r="B662" s="5"/>
    </row>
    <row r="663" spans="2:2" ht="30" customHeight="1">
      <c r="B663" s="5"/>
    </row>
    <row r="664" spans="2:2" ht="30" customHeight="1">
      <c r="B664" s="5"/>
    </row>
    <row r="665" spans="2:2" ht="30" customHeight="1">
      <c r="B665" s="5"/>
    </row>
    <row r="666" spans="2:2" ht="30" customHeight="1">
      <c r="B666" s="5"/>
    </row>
    <row r="667" spans="2:2" ht="30" customHeight="1">
      <c r="B667" s="5"/>
    </row>
    <row r="668" spans="2:2" ht="30" customHeight="1">
      <c r="B668" s="5"/>
    </row>
    <row r="669" spans="2:2" ht="30" customHeight="1">
      <c r="B669" s="5"/>
    </row>
    <row r="670" spans="2:2" ht="30" customHeight="1">
      <c r="B670" s="5"/>
    </row>
    <row r="671" spans="2:2" ht="30" customHeight="1">
      <c r="B671" s="5"/>
    </row>
    <row r="672" spans="2:2" ht="30" customHeight="1">
      <c r="B672" s="5"/>
    </row>
    <row r="673" spans="2:2" ht="30" customHeight="1">
      <c r="B673" s="5"/>
    </row>
    <row r="674" spans="2:2" ht="30" customHeight="1">
      <c r="B674" s="5"/>
    </row>
    <row r="675" spans="2:2" ht="30" customHeight="1">
      <c r="B675" s="5"/>
    </row>
    <row r="676" spans="2:2" ht="30" customHeight="1">
      <c r="B676" s="5"/>
    </row>
    <row r="677" spans="2:2" ht="30" customHeight="1">
      <c r="B677" s="5"/>
    </row>
    <row r="678" spans="2:2" ht="30" customHeight="1">
      <c r="B678" s="5"/>
    </row>
    <row r="679" spans="2:2" ht="30" customHeight="1">
      <c r="B679" s="5"/>
    </row>
    <row r="680" spans="2:2" ht="30" customHeight="1">
      <c r="B680" s="5"/>
    </row>
    <row r="681" spans="2:2" ht="30" customHeight="1">
      <c r="B681" s="5"/>
    </row>
    <row r="682" spans="2:2" ht="30" customHeight="1">
      <c r="B682" s="5"/>
    </row>
    <row r="683" spans="2:2" ht="30" customHeight="1">
      <c r="B683" s="5"/>
    </row>
    <row r="684" spans="2:2" ht="30" customHeight="1">
      <c r="B684" s="5"/>
    </row>
    <row r="685" spans="2:2" ht="30" customHeight="1">
      <c r="B685" s="5"/>
    </row>
    <row r="686" spans="2:2" ht="30" customHeight="1">
      <c r="B686" s="5"/>
    </row>
    <row r="687" spans="2:2" ht="30" customHeight="1">
      <c r="B687" s="5"/>
    </row>
    <row r="688" spans="2:2" ht="30" customHeight="1">
      <c r="B688" s="5"/>
    </row>
    <row r="689" spans="2:2" ht="30" customHeight="1">
      <c r="B689" s="5"/>
    </row>
    <row r="690" spans="2:2" ht="30" customHeight="1">
      <c r="B690" s="5"/>
    </row>
    <row r="691" spans="2:2" ht="30" customHeight="1">
      <c r="B691" s="5"/>
    </row>
    <row r="692" spans="2:2" ht="30" customHeight="1">
      <c r="B692" s="5"/>
    </row>
    <row r="693" spans="2:2" ht="30" customHeight="1">
      <c r="B693" s="5"/>
    </row>
    <row r="694" spans="2:2" ht="30" customHeight="1">
      <c r="B694" s="5"/>
    </row>
    <row r="695" spans="2:2" ht="30" customHeight="1">
      <c r="B695" s="5"/>
    </row>
    <row r="696" spans="2:2" ht="30" customHeight="1">
      <c r="B696" s="5"/>
    </row>
    <row r="697" spans="2:2" ht="30" customHeight="1">
      <c r="B697" s="5"/>
    </row>
    <row r="698" spans="2:2" ht="30" customHeight="1">
      <c r="B698" s="5"/>
    </row>
    <row r="699" spans="2:2" ht="30" customHeight="1">
      <c r="B699" s="5"/>
    </row>
    <row r="700" spans="2:2" ht="30" customHeight="1">
      <c r="B700" s="5"/>
    </row>
    <row r="701" spans="2:2" ht="30" customHeight="1">
      <c r="B701" s="5"/>
    </row>
    <row r="702" spans="2:2" ht="30" customHeight="1">
      <c r="B702" s="5"/>
    </row>
    <row r="703" spans="2:2" ht="30" customHeight="1">
      <c r="B703" s="5"/>
    </row>
    <row r="704" spans="2:2" ht="30" customHeight="1">
      <c r="B704" s="5"/>
    </row>
    <row r="705" spans="2:2" ht="30" customHeight="1">
      <c r="B705" s="5"/>
    </row>
    <row r="706" spans="2:2" ht="30" customHeight="1">
      <c r="B706" s="5"/>
    </row>
    <row r="707" spans="2:2" ht="30" customHeight="1">
      <c r="B707" s="5"/>
    </row>
    <row r="708" spans="2:2" ht="30" customHeight="1">
      <c r="B708" s="5"/>
    </row>
    <row r="709" spans="2:2" ht="30" customHeight="1">
      <c r="B709" s="5"/>
    </row>
    <row r="710" spans="2:2" ht="30" customHeight="1">
      <c r="B710" s="5"/>
    </row>
    <row r="711" spans="2:2" ht="30" customHeight="1">
      <c r="B711" s="5"/>
    </row>
    <row r="712" spans="2:2" ht="30" customHeight="1">
      <c r="B712" s="5"/>
    </row>
    <row r="713" spans="2:2" ht="30" customHeight="1">
      <c r="B713" s="5"/>
    </row>
    <row r="714" spans="2:2" ht="30" customHeight="1">
      <c r="B714" s="5"/>
    </row>
    <row r="715" spans="2:2" ht="30" customHeight="1">
      <c r="B715" s="5"/>
    </row>
    <row r="716" spans="2:2" ht="30" customHeight="1">
      <c r="B716" s="5"/>
    </row>
    <row r="717" spans="2:2" ht="30" customHeight="1">
      <c r="B717" s="5"/>
    </row>
    <row r="718" spans="2:2" ht="30" customHeight="1">
      <c r="B718" s="5"/>
    </row>
    <row r="719" spans="2:2" ht="30" customHeight="1">
      <c r="B719" s="5"/>
    </row>
    <row r="720" spans="2:2" ht="30" customHeight="1">
      <c r="B720" s="5"/>
    </row>
    <row r="721" spans="2:2" ht="30" customHeight="1">
      <c r="B721" s="5"/>
    </row>
    <row r="722" spans="2:2" ht="30" customHeight="1">
      <c r="B722" s="5"/>
    </row>
    <row r="723" spans="2:2" ht="30" customHeight="1">
      <c r="B723" s="5"/>
    </row>
    <row r="724" spans="2:2" ht="30" customHeight="1">
      <c r="B724" s="5"/>
    </row>
    <row r="725" spans="2:2" ht="30" customHeight="1">
      <c r="B725" s="5"/>
    </row>
    <row r="726" spans="2:2" ht="30" customHeight="1">
      <c r="B726" s="5"/>
    </row>
    <row r="727" spans="2:2" ht="30" customHeight="1">
      <c r="B727" s="5"/>
    </row>
    <row r="728" spans="2:2" ht="30" customHeight="1">
      <c r="B728" s="5"/>
    </row>
    <row r="729" spans="2:2" ht="30" customHeight="1">
      <c r="B729" s="5"/>
    </row>
    <row r="730" spans="2:2" ht="30" customHeight="1">
      <c r="B730" s="5"/>
    </row>
    <row r="731" spans="2:2" ht="30" customHeight="1">
      <c r="B731" s="5"/>
    </row>
    <row r="732" spans="2:2" ht="30" customHeight="1">
      <c r="B732" s="5"/>
    </row>
    <row r="733" spans="2:2" ht="30" customHeight="1">
      <c r="B733" s="5"/>
    </row>
    <row r="734" spans="2:2" ht="30" customHeight="1">
      <c r="B734" s="5"/>
    </row>
    <row r="735" spans="2:2" ht="30" customHeight="1">
      <c r="B735" s="5"/>
    </row>
    <row r="736" spans="2:2" ht="30" customHeight="1">
      <c r="B736" s="5"/>
    </row>
    <row r="737" spans="2:2" ht="30" customHeight="1">
      <c r="B737" s="5"/>
    </row>
    <row r="738" spans="2:2" ht="30" customHeight="1">
      <c r="B738" s="5"/>
    </row>
    <row r="739" spans="2:2" ht="30" customHeight="1">
      <c r="B739" s="5"/>
    </row>
    <row r="740" spans="2:2" ht="30" customHeight="1">
      <c r="B740" s="5"/>
    </row>
    <row r="741" spans="2:2" ht="30" customHeight="1">
      <c r="B741" s="5"/>
    </row>
    <row r="742" spans="2:2" ht="30" customHeight="1">
      <c r="B742" s="5"/>
    </row>
    <row r="743" spans="2:2" ht="30" customHeight="1">
      <c r="B743" s="5"/>
    </row>
    <row r="744" spans="2:2" ht="30" customHeight="1">
      <c r="B744" s="5"/>
    </row>
    <row r="745" spans="2:2" ht="30" customHeight="1">
      <c r="B745" s="5"/>
    </row>
    <row r="746" spans="2:2" ht="30" customHeight="1">
      <c r="B746" s="5"/>
    </row>
    <row r="747" spans="2:2" ht="30" customHeight="1">
      <c r="B747" s="5"/>
    </row>
    <row r="748" spans="2:2" ht="30" customHeight="1">
      <c r="B748" s="5"/>
    </row>
    <row r="749" spans="2:2" ht="30" customHeight="1">
      <c r="B749" s="5"/>
    </row>
    <row r="750" spans="2:2" ht="30" customHeight="1">
      <c r="B750" s="5"/>
    </row>
    <row r="751" spans="2:2" ht="30" customHeight="1">
      <c r="B751" s="5"/>
    </row>
    <row r="752" spans="2:2" ht="30" customHeight="1">
      <c r="B752" s="5"/>
    </row>
    <row r="753" spans="2:2" ht="30" customHeight="1">
      <c r="B753" s="5"/>
    </row>
    <row r="754" spans="2:2" ht="30" customHeight="1">
      <c r="B754" s="5"/>
    </row>
    <row r="755" spans="2:2" ht="30" customHeight="1">
      <c r="B755" s="5"/>
    </row>
    <row r="756" spans="2:2" ht="30" customHeight="1">
      <c r="B756" s="5"/>
    </row>
    <row r="757" spans="2:2" ht="30" customHeight="1">
      <c r="B757" s="5"/>
    </row>
    <row r="758" spans="2:2" ht="30" customHeight="1">
      <c r="B758" s="5"/>
    </row>
    <row r="759" spans="2:2" ht="30" customHeight="1">
      <c r="B759" s="5"/>
    </row>
    <row r="760" spans="2:2" ht="30" customHeight="1">
      <c r="B760" s="5"/>
    </row>
    <row r="761" spans="2:2" ht="30" customHeight="1">
      <c r="B761" s="5"/>
    </row>
    <row r="762" spans="2:2" ht="30" customHeight="1">
      <c r="B762" s="5"/>
    </row>
    <row r="763" spans="2:2" ht="30" customHeight="1">
      <c r="B763" s="5"/>
    </row>
    <row r="764" spans="2:2" ht="30" customHeight="1">
      <c r="B764" s="5"/>
    </row>
    <row r="765" spans="2:2" ht="30" customHeight="1">
      <c r="B765" s="5"/>
    </row>
    <row r="766" spans="2:2" ht="30" customHeight="1">
      <c r="B766" s="5"/>
    </row>
    <row r="767" spans="2:2" ht="30" customHeight="1">
      <c r="B767" s="5"/>
    </row>
    <row r="768" spans="2:2" ht="30" customHeight="1">
      <c r="B768" s="5"/>
    </row>
    <row r="769" spans="2:2" ht="30" customHeight="1">
      <c r="B769" s="5"/>
    </row>
    <row r="770" spans="2:2" ht="30" customHeight="1">
      <c r="B770" s="5"/>
    </row>
    <row r="771" spans="2:2" ht="30" customHeight="1">
      <c r="B771" s="5"/>
    </row>
    <row r="772" spans="2:2" ht="30" customHeight="1">
      <c r="B772" s="5"/>
    </row>
    <row r="773" spans="2:2" ht="30" customHeight="1">
      <c r="B773" s="5"/>
    </row>
    <row r="774" spans="2:2" ht="30" customHeight="1">
      <c r="B774" s="5"/>
    </row>
    <row r="775" spans="2:2" ht="30" customHeight="1">
      <c r="B775" s="5"/>
    </row>
    <row r="776" spans="2:2" ht="30" customHeight="1">
      <c r="B776" s="5"/>
    </row>
    <row r="777" spans="2:2" ht="30" customHeight="1">
      <c r="B777" s="5"/>
    </row>
    <row r="778" spans="2:2" ht="30" customHeight="1">
      <c r="B778" s="5"/>
    </row>
    <row r="779" spans="2:2" ht="30" customHeight="1">
      <c r="B779" s="5"/>
    </row>
    <row r="780" spans="2:2" ht="30" customHeight="1">
      <c r="B780" s="5"/>
    </row>
    <row r="781" spans="2:2" ht="30" customHeight="1">
      <c r="B781" s="5"/>
    </row>
    <row r="782" spans="2:2" ht="30" customHeight="1">
      <c r="B782" s="5"/>
    </row>
    <row r="783" spans="2:2" ht="30" customHeight="1">
      <c r="B783" s="5"/>
    </row>
    <row r="784" spans="2:2" ht="30" customHeight="1">
      <c r="B784" s="5"/>
    </row>
    <row r="785" spans="2:2" ht="30" customHeight="1">
      <c r="B785" s="5"/>
    </row>
    <row r="786" spans="2:2" ht="30" customHeight="1">
      <c r="B786" s="5"/>
    </row>
    <row r="787" spans="2:2" ht="30" customHeight="1">
      <c r="B787" s="5"/>
    </row>
    <row r="788" spans="2:2" ht="30" customHeight="1">
      <c r="B788" s="5"/>
    </row>
    <row r="789" spans="2:2" ht="30" customHeight="1">
      <c r="B789" s="5"/>
    </row>
    <row r="790" spans="2:2" ht="30" customHeight="1">
      <c r="B790" s="5"/>
    </row>
    <row r="791" spans="2:2" ht="30" customHeight="1">
      <c r="B791" s="5"/>
    </row>
    <row r="792" spans="2:2" ht="30" customHeight="1">
      <c r="B792" s="5"/>
    </row>
    <row r="793" spans="2:2" ht="30" customHeight="1">
      <c r="B793" s="5"/>
    </row>
    <row r="794" spans="2:2" ht="30" customHeight="1">
      <c r="B794" s="5"/>
    </row>
    <row r="795" spans="2:2" ht="30" customHeight="1">
      <c r="B795" s="5"/>
    </row>
    <row r="796" spans="2:2" ht="30" customHeight="1">
      <c r="B796" s="5"/>
    </row>
    <row r="797" spans="2:2" ht="30" customHeight="1">
      <c r="B797" s="5"/>
    </row>
    <row r="798" spans="2:2" ht="30" customHeight="1">
      <c r="B798" s="5"/>
    </row>
    <row r="799" spans="2:2" ht="30" customHeight="1">
      <c r="B799" s="5"/>
    </row>
    <row r="800" spans="2:2" ht="30" customHeight="1">
      <c r="B800" s="5"/>
    </row>
    <row r="801" spans="2:2" ht="30" customHeight="1">
      <c r="B801" s="5"/>
    </row>
    <row r="802" spans="2:2" ht="30" customHeight="1">
      <c r="B802" s="5"/>
    </row>
    <row r="803" spans="2:2" ht="30" customHeight="1">
      <c r="B803" s="5"/>
    </row>
    <row r="804" spans="2:2" ht="30" customHeight="1">
      <c r="B804" s="5"/>
    </row>
    <row r="805" spans="2:2" ht="30" customHeight="1">
      <c r="B805" s="5"/>
    </row>
    <row r="806" spans="2:2" ht="30" customHeight="1">
      <c r="B806" s="5"/>
    </row>
    <row r="807" spans="2:2" ht="30" customHeight="1">
      <c r="B807" s="5"/>
    </row>
    <row r="808" spans="2:2" ht="30" customHeight="1">
      <c r="B808" s="5"/>
    </row>
    <row r="809" spans="2:2" ht="30" customHeight="1">
      <c r="B809" s="5"/>
    </row>
    <row r="810" spans="2:2" ht="30" customHeight="1">
      <c r="B810" s="5"/>
    </row>
    <row r="811" spans="2:2" ht="30" customHeight="1">
      <c r="B811" s="5"/>
    </row>
    <row r="812" spans="2:2" ht="30" customHeight="1">
      <c r="B812" s="5"/>
    </row>
    <row r="813" spans="2:2" ht="30" customHeight="1">
      <c r="B813" s="5"/>
    </row>
    <row r="814" spans="2:2" ht="30" customHeight="1">
      <c r="B814" s="5"/>
    </row>
    <row r="815" spans="2:2" ht="30" customHeight="1">
      <c r="B815" s="5"/>
    </row>
    <row r="816" spans="2:2" ht="30" customHeight="1">
      <c r="B816" s="5"/>
    </row>
    <row r="817" spans="2:2" ht="30" customHeight="1">
      <c r="B817" s="5"/>
    </row>
    <row r="818" spans="2:2" ht="30" customHeight="1">
      <c r="B818" s="5"/>
    </row>
    <row r="819" spans="2:2" ht="30" customHeight="1">
      <c r="B819" s="5"/>
    </row>
    <row r="820" spans="2:2" ht="30" customHeight="1">
      <c r="B820" s="5"/>
    </row>
    <row r="821" spans="2:2" ht="30" customHeight="1">
      <c r="B821" s="5"/>
    </row>
    <row r="822" spans="2:2" ht="30" customHeight="1">
      <c r="B822" s="5"/>
    </row>
    <row r="823" spans="2:2" ht="30" customHeight="1">
      <c r="B823" s="5"/>
    </row>
    <row r="824" spans="2:2" ht="30" customHeight="1">
      <c r="B824" s="5"/>
    </row>
    <row r="825" spans="2:2" ht="30" customHeight="1">
      <c r="B825" s="5"/>
    </row>
    <row r="826" spans="2:2" ht="30" customHeight="1">
      <c r="B826" s="5"/>
    </row>
    <row r="827" spans="2:2" ht="30" customHeight="1">
      <c r="B827" s="5"/>
    </row>
    <row r="828" spans="2:2" ht="30" customHeight="1">
      <c r="B828" s="5"/>
    </row>
    <row r="829" spans="2:2" ht="30" customHeight="1">
      <c r="B829" s="5"/>
    </row>
    <row r="830" spans="2:2" ht="30" customHeight="1">
      <c r="B830" s="5"/>
    </row>
    <row r="831" spans="2:2" ht="30" customHeight="1">
      <c r="B831" s="5"/>
    </row>
    <row r="832" spans="2:2" ht="30" customHeight="1">
      <c r="B832" s="5"/>
    </row>
    <row r="833" spans="2:2" ht="30" customHeight="1">
      <c r="B833" s="5"/>
    </row>
    <row r="834" spans="2:2" ht="30" customHeight="1">
      <c r="B834" s="5"/>
    </row>
    <row r="835" spans="2:2" ht="30" customHeight="1">
      <c r="B835" s="5"/>
    </row>
    <row r="836" spans="2:2" ht="30" customHeight="1">
      <c r="B836" s="5"/>
    </row>
    <row r="837" spans="2:2" ht="30" customHeight="1">
      <c r="B837" s="5"/>
    </row>
    <row r="838" spans="2:2" ht="30" customHeight="1">
      <c r="B838" s="5"/>
    </row>
    <row r="839" spans="2:2" ht="30" customHeight="1">
      <c r="B839" s="5"/>
    </row>
    <row r="840" spans="2:2" ht="30" customHeight="1">
      <c r="B840" s="5"/>
    </row>
    <row r="841" spans="2:2" ht="30" customHeight="1">
      <c r="B841" s="5"/>
    </row>
    <row r="842" spans="2:2" ht="30" customHeight="1">
      <c r="B842" s="5"/>
    </row>
    <row r="843" spans="2:2" ht="30" customHeight="1">
      <c r="B843" s="5"/>
    </row>
    <row r="844" spans="2:2" ht="30" customHeight="1">
      <c r="B844" s="5"/>
    </row>
    <row r="845" spans="2:2" ht="30" customHeight="1">
      <c r="B845" s="5"/>
    </row>
    <row r="846" spans="2:2" ht="30" customHeight="1">
      <c r="B846" s="5"/>
    </row>
    <row r="847" spans="2:2" ht="30" customHeight="1">
      <c r="B847" s="5"/>
    </row>
    <row r="848" spans="2:2" ht="30" customHeight="1">
      <c r="B848" s="5"/>
    </row>
    <row r="849" spans="2:2" ht="30" customHeight="1">
      <c r="B849" s="5"/>
    </row>
    <row r="850" spans="2:2" ht="30" customHeight="1">
      <c r="B850" s="5"/>
    </row>
    <row r="851" spans="2:2" ht="30" customHeight="1">
      <c r="B851" s="5"/>
    </row>
    <row r="852" spans="2:2" ht="30" customHeight="1">
      <c r="B852" s="5"/>
    </row>
    <row r="853" spans="2:2" ht="30" customHeight="1">
      <c r="B853" s="5"/>
    </row>
    <row r="854" spans="2:2" ht="30" customHeight="1">
      <c r="B854" s="5"/>
    </row>
    <row r="855" spans="2:2" ht="30" customHeight="1">
      <c r="B855" s="5"/>
    </row>
    <row r="856" spans="2:2" ht="30" customHeight="1">
      <c r="B856" s="5"/>
    </row>
    <row r="857" spans="2:2" ht="30" customHeight="1">
      <c r="B857" s="5"/>
    </row>
    <row r="858" spans="2:2" ht="30" customHeight="1">
      <c r="B858" s="5"/>
    </row>
    <row r="859" spans="2:2" ht="30" customHeight="1">
      <c r="B859" s="5"/>
    </row>
    <row r="860" spans="2:2" ht="30" customHeight="1">
      <c r="B860" s="5"/>
    </row>
    <row r="861" spans="2:2" ht="30" customHeight="1">
      <c r="B861" s="5"/>
    </row>
    <row r="862" spans="2:2" ht="30" customHeight="1">
      <c r="B862" s="5"/>
    </row>
    <row r="863" spans="2:2" ht="30" customHeight="1">
      <c r="B863" s="5"/>
    </row>
    <row r="864" spans="2:2" ht="30" customHeight="1">
      <c r="B864" s="5"/>
    </row>
    <row r="865" spans="2:2" ht="30" customHeight="1">
      <c r="B865" s="5"/>
    </row>
    <row r="866" spans="2:2" ht="30" customHeight="1">
      <c r="B866" s="5"/>
    </row>
    <row r="867" spans="2:2" ht="30" customHeight="1">
      <c r="B867" s="5"/>
    </row>
    <row r="868" spans="2:2" ht="30" customHeight="1">
      <c r="B868" s="5"/>
    </row>
    <row r="869" spans="2:2" ht="30" customHeight="1">
      <c r="B869" s="5"/>
    </row>
    <row r="870" spans="2:2" ht="30" customHeight="1">
      <c r="B870" s="5"/>
    </row>
    <row r="871" spans="2:2" ht="30" customHeight="1">
      <c r="B871" s="5"/>
    </row>
    <row r="872" spans="2:2" ht="30" customHeight="1">
      <c r="B872" s="5"/>
    </row>
    <row r="873" spans="2:2" ht="30" customHeight="1">
      <c r="B873" s="5"/>
    </row>
    <row r="874" spans="2:2" ht="30" customHeight="1">
      <c r="B874" s="5"/>
    </row>
    <row r="875" spans="2:2" ht="30" customHeight="1">
      <c r="B875" s="5"/>
    </row>
    <row r="876" spans="2:2" ht="30" customHeight="1">
      <c r="B876" s="5"/>
    </row>
    <row r="877" spans="2:2" ht="30" customHeight="1">
      <c r="B877" s="5"/>
    </row>
    <row r="878" spans="2:2" ht="30" customHeight="1">
      <c r="B878" s="5"/>
    </row>
    <row r="879" spans="2:2" ht="30" customHeight="1">
      <c r="B879" s="5"/>
    </row>
    <row r="880" spans="2:2" ht="30" customHeight="1">
      <c r="B880" s="5"/>
    </row>
    <row r="881" spans="2:2" ht="30" customHeight="1">
      <c r="B881" s="5"/>
    </row>
    <row r="882" spans="2:2" ht="30" customHeight="1">
      <c r="B882" s="5"/>
    </row>
    <row r="883" spans="2:2" ht="30" customHeight="1">
      <c r="B883" s="5"/>
    </row>
    <row r="884" spans="2:2" ht="30" customHeight="1">
      <c r="B884" s="5"/>
    </row>
    <row r="885" spans="2:2" ht="30" customHeight="1">
      <c r="B885" s="5"/>
    </row>
    <row r="886" spans="2:2" ht="30" customHeight="1">
      <c r="B886" s="5"/>
    </row>
    <row r="887" spans="2:2" ht="30" customHeight="1">
      <c r="B887" s="5"/>
    </row>
    <row r="888" spans="2:2" ht="30" customHeight="1">
      <c r="B888" s="5"/>
    </row>
    <row r="889" spans="2:2" ht="30" customHeight="1">
      <c r="B889" s="5"/>
    </row>
    <row r="890" spans="2:2" ht="30" customHeight="1">
      <c r="B890" s="5"/>
    </row>
    <row r="891" spans="2:2" ht="30" customHeight="1">
      <c r="B891" s="5"/>
    </row>
    <row r="892" spans="2:2" ht="30" customHeight="1">
      <c r="B892" s="5"/>
    </row>
    <row r="893" spans="2:2" ht="30" customHeight="1">
      <c r="B893" s="5"/>
    </row>
    <row r="894" spans="2:2" ht="30" customHeight="1">
      <c r="B894" s="5"/>
    </row>
    <row r="895" spans="2:2" ht="30" customHeight="1">
      <c r="B895" s="5"/>
    </row>
    <row r="896" spans="2:2" ht="30" customHeight="1">
      <c r="B896" s="5"/>
    </row>
    <row r="897" spans="2:2" ht="30" customHeight="1">
      <c r="B897" s="5"/>
    </row>
    <row r="898" spans="2:2" ht="30" customHeight="1">
      <c r="B898" s="5"/>
    </row>
    <row r="899" spans="2:2" ht="30" customHeight="1">
      <c r="B899" s="5"/>
    </row>
    <row r="900" spans="2:2" ht="30" customHeight="1">
      <c r="B900" s="5"/>
    </row>
    <row r="901" spans="2:2" ht="30" customHeight="1">
      <c r="B901" s="5"/>
    </row>
    <row r="902" spans="2:2" ht="30" customHeight="1">
      <c r="B902" s="5"/>
    </row>
    <row r="903" spans="2:2" ht="30" customHeight="1">
      <c r="B903" s="5"/>
    </row>
    <row r="904" spans="2:2" ht="30" customHeight="1">
      <c r="B904" s="5"/>
    </row>
    <row r="905" spans="2:2" ht="30" customHeight="1">
      <c r="B90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4"/>
  <sheetViews>
    <sheetView showGridLines="0" tabSelected="1" workbookViewId="0">
      <pane ySplit="4" topLeftCell="A5" activePane="bottomLeft" state="frozen"/>
      <selection pane="bottomLeft" activeCell="G5" sqref="G5"/>
    </sheetView>
  </sheetViews>
  <sheetFormatPr baseColWidth="10" defaultColWidth="8.796875" defaultRowHeight="13.8"/>
  <cols>
    <col min="1" max="1" width="14" customWidth="1"/>
    <col min="2" max="2" width="43" customWidth="1"/>
    <col min="3" max="3" width="14" customWidth="1"/>
    <col min="4" max="4" width="16" customWidth="1"/>
    <col min="5" max="6" width="17" customWidth="1"/>
    <col min="7" max="8" width="20" customWidth="1"/>
    <col min="9" max="9" width="18" customWidth="1"/>
    <col min="10" max="10" width="21" customWidth="1"/>
    <col min="11" max="11" width="22" customWidth="1"/>
    <col min="12" max="12" width="21" customWidth="1"/>
    <col min="13" max="13" width="34" customWidth="1"/>
    <col min="14" max="18" width="22" customWidth="1"/>
  </cols>
  <sheetData>
    <row r="1" spans="1:18" ht="21">
      <c r="A1" s="1" t="s">
        <v>1831</v>
      </c>
    </row>
    <row r="2" spans="1:18">
      <c r="A2" t="s">
        <v>1832</v>
      </c>
    </row>
    <row r="4" spans="1:18" ht="42" customHeight="1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1845</v>
      </c>
      <c r="G4" s="2" t="s">
        <v>1844</v>
      </c>
      <c r="H4" s="2" t="s">
        <v>50</v>
      </c>
      <c r="I4" s="2" t="s">
        <v>14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1833</v>
      </c>
      <c r="O4" s="2" t="s">
        <v>1834</v>
      </c>
      <c r="P4" s="2" t="s">
        <v>1835</v>
      </c>
      <c r="Q4" s="2" t="s">
        <v>1836</v>
      </c>
      <c r="R4" s="2" t="s">
        <v>1837</v>
      </c>
    </row>
    <row r="5" spans="1:18" ht="30" customHeight="1">
      <c r="A5" s="17" t="s">
        <v>855</v>
      </c>
      <c r="B5" s="5" t="str">
        <f>IF(A5="","",IF(COUNTIF(Catalogo!$A$5:$A$905,A5)=0,"SKU no encontrado",INDEX(Catalogo!$B$5:$B$905,MATCH(A5,Catalogo!$A$5:$A$905,0))))</f>
        <v>PEPSI BLACK CAN 4X6 354CC 2024</v>
      </c>
      <c r="C5">
        <f>IF(OR(A5="",B5="SKU no encontrado"),"",INDEX(Catalogo!$C$5:$C$905,MATCH(A5,Catalogo!$A$5:$A$905,0)))</f>
        <v>24</v>
      </c>
      <c r="D5" s="19">
        <v>46302</v>
      </c>
      <c r="E5" s="20">
        <v>87.583333333300004</v>
      </c>
      <c r="F5" s="20">
        <v>1000</v>
      </c>
      <c r="G5" s="12">
        <f>+LotesTrelew[[#This Row],[Final deseado / unidad sugerido]]/1.3</f>
        <v>769.23076923076917</v>
      </c>
      <c r="H5" s="6">
        <f>IF(OR(A5="",B5="SKU no encontrado"),"",IF(INDEX(Catalogo!$H$5:$H$905,MATCH(A5,Catalogo!$A$5:$A$905,0))=0,"",INDEX(Catalogo!$H$5:$H$905,MATCH(A5,Catalogo!$A$5:$A$905,0))))</f>
        <v>38965.599000000002</v>
      </c>
      <c r="I5" s="13">
        <f t="shared" ref="I5:I36" si="0">IF(OR(N5="ELIMINAR",H5="",G5="",G5&lt;0,C5&lt;=0,G5*C5&gt;H5,E5&gt;O5),"",1-G5*C5/H5)</f>
        <v>0.52620929909127123</v>
      </c>
      <c r="J5" s="6">
        <f t="shared" ref="J5:J36" si="1">IF(I5="","",H5-G5*C5)</f>
        <v>20504.060538461541</v>
      </c>
      <c r="K5" s="6">
        <f t="shared" ref="K5:K36" si="2">IF(OR(J5="",E5="",E5&lt;=0),"",J5*E5)</f>
        <v>1795813.9688262399</v>
      </c>
      <c r="L5" s="6">
        <f t="shared" ref="L5:L36" si="3">IF(OR(I5="",C5&lt;=0),"",G5*C5)</f>
        <v>18461.538461538461</v>
      </c>
      <c r="M5" t="str">
        <f t="shared" ref="M5:M36" si="4">IF(N5="ELIMINAR","ELIMINAR según origen",IF(H5="","Sin precio válido",IF(C5&lt;=0,"Sin unidades por bulto",IF(G5="","Completar precio unitario",IF(OR(G5&lt;0,G5*C5&gt;H5),"Revisar precio unitario",IF(OR(E5&lt;=0,E5&gt;O5),"Revisar bultos vs. stock","Estimado proporcional"))))))</f>
        <v>Estimado proporcional</v>
      </c>
      <c r="N5" t="s">
        <v>1838</v>
      </c>
      <c r="O5" s="18">
        <v>87.583333333300004</v>
      </c>
      <c r="P5">
        <v>1</v>
      </c>
      <c r="Q5">
        <v>17</v>
      </c>
      <c r="R5" s="6">
        <f t="shared" ref="R5:R36" si="5">IF(OR(H5="",C5&lt;=0),"",H5/C5)</f>
        <v>1623.5666250000002</v>
      </c>
    </row>
    <row r="6" spans="1:18" ht="30" customHeight="1">
      <c r="A6" s="17" t="s">
        <v>1000</v>
      </c>
      <c r="B6" s="5" t="str">
        <f>IF(A6="","",IF(COUNTIF(Catalogo!$A$5:$A$905,A6)=0,"SKU no encontrado",INDEX(Catalogo!$B$5:$B$905,MATCH(A6,Catalogo!$A$5:$A$905,0))))</f>
        <v>PATAGONIA IPA OW X6 730CC TERMO</v>
      </c>
      <c r="C6">
        <f>IF(OR(A6="",B6="SKU no encontrado"),"",INDEX(Catalogo!$C$5:$C$905,MATCH(A6,Catalogo!$A$5:$A$905,0)))</f>
        <v>6</v>
      </c>
      <c r="D6" s="19">
        <v>46305</v>
      </c>
      <c r="E6" s="20">
        <v>735</v>
      </c>
      <c r="F6" s="20"/>
      <c r="G6" s="12">
        <f>+LotesTrelew[[#This Row],[Final deseado / unidad sugerido]]/1.3</f>
        <v>0</v>
      </c>
      <c r="H6" s="6">
        <f>IF(OR(A6="",B6="SKU no encontrado"),"",IF(INDEX(Catalogo!$H$5:$H$905,MATCH(A6,Catalogo!$A$5:$A$905,0))=0,"",INDEX(Catalogo!$H$5:$H$905,MATCH(A6,Catalogo!$A$5:$A$905,0))))</f>
        <v>29135.981</v>
      </c>
      <c r="I6" s="13">
        <f t="shared" si="0"/>
        <v>1</v>
      </c>
      <c r="J6" s="6">
        <f t="shared" si="1"/>
        <v>29135.981</v>
      </c>
      <c r="K6" s="6">
        <f t="shared" si="2"/>
        <v>21414946.035</v>
      </c>
      <c r="L6" s="6">
        <f t="shared" si="3"/>
        <v>0</v>
      </c>
      <c r="M6" t="str">
        <f t="shared" si="4"/>
        <v>Estimado proporcional</v>
      </c>
      <c r="N6" t="s">
        <v>1838</v>
      </c>
      <c r="O6" s="18">
        <v>735</v>
      </c>
      <c r="P6">
        <v>1</v>
      </c>
      <c r="Q6">
        <v>20</v>
      </c>
      <c r="R6" s="6">
        <f t="shared" si="5"/>
        <v>4855.9968333333336</v>
      </c>
    </row>
    <row r="7" spans="1:18" ht="30" customHeight="1">
      <c r="A7" s="17" t="s">
        <v>1018</v>
      </c>
      <c r="B7" s="5" t="str">
        <f>IF(A7="","",IF(COUNTIF(Catalogo!$A$5:$A$905,A7)=0,"SKU no encontrado",INDEX(Catalogo!$B$5:$B$905,MATCH(A7,Catalogo!$A$5:$A$905,0))))</f>
        <v>STELLA ARTOIS 0.0 SY CAN 4X6 473CC CART</v>
      </c>
      <c r="C7">
        <f>IF(OR(A7="",B7="SKU no encontrado"),"",INDEX(Catalogo!$C$5:$C$905,MATCH(A7,Catalogo!$A$5:$A$905,0)))</f>
        <v>24</v>
      </c>
      <c r="D7" s="19">
        <v>46307</v>
      </c>
      <c r="E7" s="20">
        <v>177.75</v>
      </c>
      <c r="F7" s="20"/>
      <c r="G7" s="12">
        <f>+LotesTrelew[[#This Row],[Final deseado / unidad sugerido]]/1.3</f>
        <v>0</v>
      </c>
      <c r="H7" s="6">
        <f>IF(OR(A7="",B7="SKU no encontrado"),"",IF(INDEX(Catalogo!$H$5:$H$905,MATCH(A7,Catalogo!$A$5:$A$905,0))=0,"",INDEX(Catalogo!$H$5:$H$905,MATCH(A7,Catalogo!$A$5:$A$905,0))))</f>
        <v>55342.279000000002</v>
      </c>
      <c r="I7" s="13">
        <f t="shared" si="0"/>
        <v>1</v>
      </c>
      <c r="J7" s="6">
        <f t="shared" si="1"/>
        <v>55342.279000000002</v>
      </c>
      <c r="K7" s="6">
        <f t="shared" si="2"/>
        <v>9837090.0922500007</v>
      </c>
      <c r="L7" s="6">
        <f t="shared" si="3"/>
        <v>0</v>
      </c>
      <c r="M7" t="str">
        <f t="shared" si="4"/>
        <v>Estimado proporcional</v>
      </c>
      <c r="N7" t="s">
        <v>1838</v>
      </c>
      <c r="O7" s="18">
        <v>177.75</v>
      </c>
      <c r="P7">
        <v>1</v>
      </c>
      <c r="Q7">
        <v>22</v>
      </c>
      <c r="R7" s="6">
        <f t="shared" si="5"/>
        <v>2305.9282916666666</v>
      </c>
    </row>
    <row r="8" spans="1:18" ht="30" customHeight="1">
      <c r="A8" s="17" t="s">
        <v>338</v>
      </c>
      <c r="B8" s="5" t="str">
        <f>IF(A8="","",IF(COUNTIF(Catalogo!$A$5:$A$905,A8)=0,"SKU no encontrado",INDEX(Catalogo!$B$5:$B$905,MATCH(A8,Catalogo!$A$5:$A$905,0))))</f>
        <v>H2OH LIMONETO  X8 PET2250</v>
      </c>
      <c r="C8">
        <f>IF(OR(A8="",B8="SKU no encontrado"),"",INDEX(Catalogo!$C$5:$C$905,MATCH(A8,Catalogo!$A$5:$A$905,0)))</f>
        <v>8</v>
      </c>
      <c r="D8" s="19">
        <v>46309</v>
      </c>
      <c r="E8" s="20">
        <v>32.875</v>
      </c>
      <c r="F8" s="20"/>
      <c r="G8" s="12">
        <f>+LotesTrelew[[#This Row],[Final deseado / unidad sugerido]]/1.3</f>
        <v>0</v>
      </c>
      <c r="H8" s="6">
        <f>IF(OR(A8="",B8="SKU no encontrado"),"",IF(INDEX(Catalogo!$H$5:$H$905,MATCH(A8,Catalogo!$A$5:$A$905,0))=0,"",INDEX(Catalogo!$H$5:$H$905,MATCH(A8,Catalogo!$A$5:$A$905,0))))</f>
        <v>27358.541000000001</v>
      </c>
      <c r="I8" s="13">
        <f t="shared" si="0"/>
        <v>1</v>
      </c>
      <c r="J8" s="6">
        <f t="shared" si="1"/>
        <v>27358.541000000001</v>
      </c>
      <c r="K8" s="6">
        <f t="shared" si="2"/>
        <v>899412.03537499998</v>
      </c>
      <c r="L8" s="6">
        <f t="shared" si="3"/>
        <v>0</v>
      </c>
      <c r="M8" t="str">
        <f t="shared" si="4"/>
        <v>Estimado proporcional</v>
      </c>
      <c r="N8" t="s">
        <v>1838</v>
      </c>
      <c r="O8" s="18">
        <v>32.875</v>
      </c>
      <c r="P8">
        <v>1</v>
      </c>
      <c r="Q8">
        <v>24</v>
      </c>
      <c r="R8" s="6">
        <f t="shared" si="5"/>
        <v>3419.8176250000001</v>
      </c>
    </row>
    <row r="9" spans="1:18" ht="30" customHeight="1">
      <c r="A9" s="17" t="s">
        <v>926</v>
      </c>
      <c r="B9" s="5" t="str">
        <f>IF(A9="","",IF(COUNTIF(Catalogo!$A$5:$A$905,A9)=0,"SKU no encontrado",INDEX(Catalogo!$B$5:$B$905,MATCH(A9,Catalogo!$A$5:$A$905,0))))</f>
        <v>H2OH STILL LIMON PET X8 2000CC</v>
      </c>
      <c r="C9">
        <f>IF(OR(A9="",B9="SKU no encontrado"),"",INDEX(Catalogo!$C$5:$C$905,MATCH(A9,Catalogo!$A$5:$A$905,0)))</f>
        <v>8</v>
      </c>
      <c r="D9" s="19">
        <v>46310</v>
      </c>
      <c r="E9" s="20">
        <v>48</v>
      </c>
      <c r="F9" s="20"/>
      <c r="G9" s="12">
        <f>+LotesTrelew[[#This Row],[Final deseado / unidad sugerido]]/1.3</f>
        <v>0</v>
      </c>
      <c r="H9" s="6">
        <f>IF(OR(A9="",B9="SKU no encontrado"),"",IF(INDEX(Catalogo!$H$5:$H$905,MATCH(A9,Catalogo!$A$5:$A$905,0))=0,"",INDEX(Catalogo!$H$5:$H$905,MATCH(A9,Catalogo!$A$5:$A$905,0))))</f>
        <v>27312.145</v>
      </c>
      <c r="I9" s="13">
        <f t="shared" si="0"/>
        <v>1</v>
      </c>
      <c r="J9" s="6">
        <f t="shared" si="1"/>
        <v>27312.145</v>
      </c>
      <c r="K9" s="6">
        <f t="shared" si="2"/>
        <v>1310982.96</v>
      </c>
      <c r="L9" s="6">
        <f t="shared" si="3"/>
        <v>0</v>
      </c>
      <c r="M9" t="str">
        <f t="shared" si="4"/>
        <v>Estimado proporcional</v>
      </c>
      <c r="N9" t="s">
        <v>1838</v>
      </c>
      <c r="O9" s="18">
        <v>48</v>
      </c>
      <c r="P9">
        <v>1</v>
      </c>
      <c r="Q9">
        <v>25</v>
      </c>
      <c r="R9" s="6">
        <f t="shared" si="5"/>
        <v>3414.0181250000001</v>
      </c>
    </row>
    <row r="10" spans="1:18" ht="30" customHeight="1">
      <c r="A10" s="17" t="s">
        <v>887</v>
      </c>
      <c r="B10" s="5" t="str">
        <f>IF(A10="","",IF(COUNTIF(Catalogo!$A$5:$A$905,A10)=0,"SKU no encontrado",INDEX(Catalogo!$B$5:$B$905,MATCH(A10,Catalogo!$A$5:$A$905,0))))</f>
        <v>ANDES ORIGEN RUBIA 2.0 CAN 4X4 710CC</v>
      </c>
      <c r="C10">
        <f>IF(OR(A10="",B10="SKU no encontrado"),"",INDEX(Catalogo!$C$5:$C$905,MATCH(A10,Catalogo!$A$5:$A$905,0)))</f>
        <v>16</v>
      </c>
      <c r="D10" s="19">
        <v>46320</v>
      </c>
      <c r="E10" s="20">
        <v>401.8125</v>
      </c>
      <c r="F10" s="20"/>
      <c r="G10" s="12">
        <f>+LotesTrelew[[#This Row],[Final deseado / unidad sugerido]]/1.3</f>
        <v>0</v>
      </c>
      <c r="H10" s="6">
        <f>IF(OR(A10="",B10="SKU no encontrado"),"",IF(INDEX(Catalogo!$H$5:$H$905,MATCH(A10,Catalogo!$A$5:$A$905,0))=0,"",INDEX(Catalogo!$H$5:$H$905,MATCH(A10,Catalogo!$A$5:$A$905,0))))</f>
        <v>54426.142999999996</v>
      </c>
      <c r="I10" s="13">
        <f t="shared" si="0"/>
        <v>1</v>
      </c>
      <c r="J10" s="6">
        <f t="shared" si="1"/>
        <v>54426.142999999996</v>
      </c>
      <c r="K10" s="6">
        <f t="shared" si="2"/>
        <v>21869104.5841875</v>
      </c>
      <c r="L10" s="6">
        <f t="shared" si="3"/>
        <v>0</v>
      </c>
      <c r="M10" t="str">
        <f t="shared" si="4"/>
        <v>Estimado proporcional</v>
      </c>
      <c r="N10" t="s">
        <v>1838</v>
      </c>
      <c r="O10" s="18">
        <v>401.8125</v>
      </c>
      <c r="P10">
        <v>1</v>
      </c>
      <c r="Q10">
        <v>35</v>
      </c>
      <c r="R10" s="6">
        <f t="shared" si="5"/>
        <v>3401.6339374999998</v>
      </c>
    </row>
    <row r="11" spans="1:18" ht="30" customHeight="1">
      <c r="A11" s="17" t="s">
        <v>629</v>
      </c>
      <c r="B11" s="5" t="str">
        <f>IF(A11="","",IF(COUNTIF(Catalogo!$A$5:$A$905,A11)=0,"SKU no encontrado",INDEX(Catalogo!$B$5:$B$905,MATCH(A11,Catalogo!$A$5:$A$905,0))))</f>
        <v>ROCKSTAR OW BOT X6 500CC</v>
      </c>
      <c r="C11">
        <f>IF(OR(A11="",B11="SKU no encontrado"),"",INDEX(Catalogo!$C$5:$C$905,MATCH(A11,Catalogo!$A$5:$A$905,0)))</f>
        <v>6</v>
      </c>
      <c r="D11" s="19">
        <v>46326</v>
      </c>
      <c r="E11" s="20">
        <v>386</v>
      </c>
      <c r="F11" s="20"/>
      <c r="G11" s="12">
        <f>+LotesTrelew[[#This Row],[Final deseado / unidad sugerido]]/1.3</f>
        <v>0</v>
      </c>
      <c r="H11" s="6">
        <f>IF(OR(A11="",B11="SKU no encontrado"),"",IF(INDEX(Catalogo!$H$5:$H$905,MATCH(A11,Catalogo!$A$5:$A$905,0))=0,"",INDEX(Catalogo!$H$5:$H$905,MATCH(A11,Catalogo!$A$5:$A$905,0))))</f>
        <v>10235.629000000001</v>
      </c>
      <c r="I11" s="13">
        <f t="shared" si="0"/>
        <v>1</v>
      </c>
      <c r="J11" s="6">
        <f t="shared" si="1"/>
        <v>10235.629000000001</v>
      </c>
      <c r="K11" s="6">
        <f t="shared" si="2"/>
        <v>3950952.7940000002</v>
      </c>
      <c r="L11" s="6">
        <f t="shared" si="3"/>
        <v>0</v>
      </c>
      <c r="M11" t="str">
        <f t="shared" si="4"/>
        <v>Estimado proporcional</v>
      </c>
      <c r="N11" t="s">
        <v>1838</v>
      </c>
      <c r="O11" s="18">
        <v>386</v>
      </c>
      <c r="P11">
        <v>1</v>
      </c>
      <c r="Q11">
        <v>41</v>
      </c>
      <c r="R11" s="6">
        <f t="shared" si="5"/>
        <v>1705.9381666666668</v>
      </c>
    </row>
    <row r="12" spans="1:18" ht="30" customHeight="1">
      <c r="A12" s="17" t="s">
        <v>804</v>
      </c>
      <c r="B12" s="5" t="str">
        <f>IF(A12="","",IF(COUNTIF(Catalogo!$A$5:$A$905,A12)=0,"SKU no encontrado",INDEX(Catalogo!$B$5:$B$905,MATCH(A12,Catalogo!$A$5:$A$905,0))))</f>
        <v>STELLA ARTOIS CAN 4X4 710CC</v>
      </c>
      <c r="C12">
        <f>IF(OR(A12="",B12="SKU no encontrado"),"",INDEX(Catalogo!$C$5:$C$905,MATCH(A12,Catalogo!$A$5:$A$905,0)))</f>
        <v>16</v>
      </c>
      <c r="D12" s="19">
        <v>46328</v>
      </c>
      <c r="E12" s="20">
        <v>270</v>
      </c>
      <c r="F12" s="20"/>
      <c r="G12" s="12">
        <f>+LotesTrelew[[#This Row],[Final deseado / unidad sugerido]]/1.3</f>
        <v>0</v>
      </c>
      <c r="H12" s="6">
        <f>IF(OR(A12="",B12="SKU no encontrado"),"",IF(INDEX(Catalogo!$H$5:$H$905,MATCH(A12,Catalogo!$A$5:$A$905,0))=0,"",INDEX(Catalogo!$H$5:$H$905,MATCH(A12,Catalogo!$A$5:$A$905,0))))</f>
        <v>70533.793000000005</v>
      </c>
      <c r="I12" s="13">
        <f t="shared" si="0"/>
        <v>1</v>
      </c>
      <c r="J12" s="6">
        <f t="shared" si="1"/>
        <v>70533.793000000005</v>
      </c>
      <c r="K12" s="6">
        <f t="shared" si="2"/>
        <v>19044124.110000003</v>
      </c>
      <c r="L12" s="6">
        <f t="shared" si="3"/>
        <v>0</v>
      </c>
      <c r="M12" t="str">
        <f t="shared" si="4"/>
        <v>Estimado proporcional</v>
      </c>
      <c r="N12" t="s">
        <v>1838</v>
      </c>
      <c r="O12" s="18">
        <v>270</v>
      </c>
      <c r="P12">
        <v>2</v>
      </c>
      <c r="Q12">
        <v>43</v>
      </c>
      <c r="R12" s="6">
        <f t="shared" si="5"/>
        <v>4408.3620625000003</v>
      </c>
    </row>
    <row r="13" spans="1:18" ht="30" customHeight="1">
      <c r="A13" s="17" t="s">
        <v>881</v>
      </c>
      <c r="B13" s="5" t="str">
        <f>IF(A13="","",IF(COUNTIF(Catalogo!$A$5:$A$905,A13)=0,"SKU no encontrado",INDEX(Catalogo!$B$5:$B$905,MATCH(A13,Catalogo!$A$5:$A$905,0))))</f>
        <v>PDT POMELO CAN 4X6 269CC 169 BULTOS</v>
      </c>
      <c r="C13">
        <f>IF(OR(A13="",B13="SKU no encontrado"),"",INDEX(Catalogo!$C$5:$C$905,MATCH(A13,Catalogo!$A$5:$A$905,0)))</f>
        <v>24</v>
      </c>
      <c r="D13" s="19">
        <v>46328</v>
      </c>
      <c r="E13" s="20">
        <v>236.3333333333</v>
      </c>
      <c r="F13" s="20"/>
      <c r="G13" s="12">
        <f>+LotesTrelew[[#This Row],[Final deseado / unidad sugerido]]/1.3</f>
        <v>0</v>
      </c>
      <c r="H13" s="6">
        <f>IF(OR(A13="",B13="SKU no encontrado"),"",IF(INDEX(Catalogo!$H$5:$H$905,MATCH(A13,Catalogo!$A$5:$A$905,0))=0,"",INDEX(Catalogo!$H$5:$H$905,MATCH(A13,Catalogo!$A$5:$A$905,0))))</f>
        <v>23665.952000000001</v>
      </c>
      <c r="I13" s="13">
        <f t="shared" si="0"/>
        <v>1</v>
      </c>
      <c r="J13" s="6">
        <f t="shared" si="1"/>
        <v>23665.952000000001</v>
      </c>
      <c r="K13" s="6">
        <f t="shared" si="2"/>
        <v>5593053.3226658786</v>
      </c>
      <c r="L13" s="6">
        <f t="shared" si="3"/>
        <v>0</v>
      </c>
      <c r="M13" t="str">
        <f t="shared" si="4"/>
        <v>Estimado proporcional</v>
      </c>
      <c r="N13" t="s">
        <v>1838</v>
      </c>
      <c r="O13" s="18">
        <v>236.3333333333</v>
      </c>
      <c r="P13">
        <v>1</v>
      </c>
      <c r="Q13">
        <v>43</v>
      </c>
      <c r="R13" s="6">
        <f t="shared" si="5"/>
        <v>986.08133333333342</v>
      </c>
    </row>
    <row r="14" spans="1:18" ht="30" customHeight="1">
      <c r="A14" s="17" t="s">
        <v>768</v>
      </c>
      <c r="B14" s="5" t="str">
        <f>IF(A14="","",IF(COUNTIF(Catalogo!$A$5:$A$905,A14)=0,"SKU no encontrado",INDEX(Catalogo!$B$5:$B$905,MATCH(A14,Catalogo!$A$5:$A$905,0))))</f>
        <v>STELLA ARTOIS 0.0% OW 4X6 330CC</v>
      </c>
      <c r="C14">
        <f>IF(OR(A14="",B14="SKU no encontrado"),"",INDEX(Catalogo!$C$5:$C$905,MATCH(A14,Catalogo!$A$5:$A$905,0)))</f>
        <v>24</v>
      </c>
      <c r="D14" s="19">
        <v>46330</v>
      </c>
      <c r="E14" s="20">
        <v>80.5</v>
      </c>
      <c r="F14" s="20"/>
      <c r="G14" s="12">
        <f>+LotesTrelew[[#This Row],[Final deseado / unidad sugerido]]/1.3</f>
        <v>0</v>
      </c>
      <c r="H14" s="6">
        <f>IF(OR(A14="",B14="SKU no encontrado"),"",IF(INDEX(Catalogo!$H$5:$H$905,MATCH(A14,Catalogo!$A$5:$A$905,0))=0,"",INDEX(Catalogo!$H$5:$H$905,MATCH(A14,Catalogo!$A$5:$A$905,0))))</f>
        <v>55342.279000000002</v>
      </c>
      <c r="I14" s="13">
        <f t="shared" si="0"/>
        <v>1</v>
      </c>
      <c r="J14" s="6">
        <f t="shared" si="1"/>
        <v>55342.279000000002</v>
      </c>
      <c r="K14" s="6">
        <f t="shared" si="2"/>
        <v>4455053.4594999999</v>
      </c>
      <c r="L14" s="6">
        <f t="shared" si="3"/>
        <v>0</v>
      </c>
      <c r="M14" t="str">
        <f t="shared" si="4"/>
        <v>Estimado proporcional</v>
      </c>
      <c r="N14" t="s">
        <v>1838</v>
      </c>
      <c r="O14" s="18">
        <v>80.5</v>
      </c>
      <c r="P14">
        <v>1</v>
      </c>
      <c r="Q14">
        <v>45</v>
      </c>
      <c r="R14" s="6">
        <f t="shared" si="5"/>
        <v>2305.9282916666666</v>
      </c>
    </row>
    <row r="15" spans="1:18" ht="30" customHeight="1">
      <c r="A15" s="17" t="s">
        <v>472</v>
      </c>
      <c r="B15" s="5" t="str">
        <f>IF(A15="","",IF(COUNTIF(Catalogo!$A$5:$A$905,A15)=0,"SKU no encontrado",INDEX(Catalogo!$B$5:$B$905,MATCH(A15,Catalogo!$A$5:$A$905,0))))</f>
        <v>PATAGONIA AMBER CAN 4X6 473 CART</v>
      </c>
      <c r="C15">
        <f>IF(OR(A15="",B15="SKU no encontrado"),"",INDEX(Catalogo!$C$5:$C$905,MATCH(A15,Catalogo!$A$5:$A$905,0)))</f>
        <v>24</v>
      </c>
      <c r="D15" s="19">
        <v>46348</v>
      </c>
      <c r="E15" s="20">
        <v>116.25</v>
      </c>
      <c r="F15" s="20"/>
      <c r="G15" s="12">
        <f>+LotesTrelew[[#This Row],[Final deseado / unidad sugerido]]/1.3</f>
        <v>0</v>
      </c>
      <c r="H15" s="6">
        <f>IF(OR(A15="",B15="SKU no encontrado"),"",IF(INDEX(Catalogo!$H$5:$H$905,MATCH(A15,Catalogo!$A$5:$A$905,0))=0,"",INDEX(Catalogo!$H$5:$H$905,MATCH(A15,Catalogo!$A$5:$A$905,0))))</f>
        <v>79485.894</v>
      </c>
      <c r="I15" s="13">
        <f t="shared" si="0"/>
        <v>1</v>
      </c>
      <c r="J15" s="6">
        <f t="shared" si="1"/>
        <v>79485.894</v>
      </c>
      <c r="K15" s="6">
        <f t="shared" si="2"/>
        <v>9240235.1775000002</v>
      </c>
      <c r="L15" s="6">
        <f t="shared" si="3"/>
        <v>0</v>
      </c>
      <c r="M15" t="str">
        <f t="shared" si="4"/>
        <v>Estimado proporcional</v>
      </c>
      <c r="N15" t="s">
        <v>1838</v>
      </c>
      <c r="O15" s="18">
        <v>116.25</v>
      </c>
      <c r="P15">
        <v>1</v>
      </c>
      <c r="Q15">
        <v>63</v>
      </c>
      <c r="R15" s="6">
        <f t="shared" si="5"/>
        <v>3311.9122499999999</v>
      </c>
    </row>
    <row r="16" spans="1:18" ht="30" customHeight="1">
      <c r="A16" s="17" t="s">
        <v>982</v>
      </c>
      <c r="B16" s="5" t="str">
        <f>IF(A16="","",IF(COUNTIF(Catalogo!$A$5:$A$905,A16)=0,"SKU no encontrado",INDEX(Catalogo!$B$5:$B$905,MATCH(A16,Catalogo!$A$5:$A$905,0))))</f>
        <v>H2OH S/GAS NARANJA PET X6 500CC</v>
      </c>
      <c r="C16">
        <f>IF(OR(A16="",B16="SKU no encontrado"),"",INDEX(Catalogo!$C$5:$C$905,MATCH(A16,Catalogo!$A$5:$A$905,0)))</f>
        <v>6</v>
      </c>
      <c r="D16" s="19">
        <v>46356</v>
      </c>
      <c r="E16" s="20">
        <v>255</v>
      </c>
      <c r="F16" s="20"/>
      <c r="G16" s="12">
        <f>+LotesTrelew[[#This Row],[Final deseado / unidad sugerido]]/1.3</f>
        <v>0</v>
      </c>
      <c r="H16" s="6">
        <f>IF(OR(A16="",B16="SKU no encontrado"),"",IF(INDEX(Catalogo!$H$5:$H$905,MATCH(A16,Catalogo!$A$5:$A$905,0))=0,"",INDEX(Catalogo!$H$5:$H$905,MATCH(A16,Catalogo!$A$5:$A$905,0))))</f>
        <v>8378.4660000000003</v>
      </c>
      <c r="I16" s="13">
        <f t="shared" si="0"/>
        <v>1</v>
      </c>
      <c r="J16" s="6">
        <f t="shared" si="1"/>
        <v>8378.4660000000003</v>
      </c>
      <c r="K16" s="6">
        <f t="shared" si="2"/>
        <v>2136508.83</v>
      </c>
      <c r="L16" s="6">
        <f t="shared" si="3"/>
        <v>0</v>
      </c>
      <c r="M16" t="str">
        <f t="shared" si="4"/>
        <v>Estimado proporcional</v>
      </c>
      <c r="N16" t="s">
        <v>1838</v>
      </c>
      <c r="O16" s="18">
        <v>255</v>
      </c>
      <c r="P16">
        <v>1</v>
      </c>
      <c r="Q16">
        <v>71</v>
      </c>
      <c r="R16" s="6">
        <f t="shared" si="5"/>
        <v>1396.4110000000001</v>
      </c>
    </row>
    <row r="17" spans="1:18" ht="30" customHeight="1">
      <c r="A17" s="17" t="s">
        <v>903</v>
      </c>
      <c r="B17" s="5" t="str">
        <f>IF(A17="","",IF(COUNTIF(Catalogo!$A$5:$A$905,A17)=0,"SKU no encontrado",INDEX(Catalogo!$B$5:$B$905,MATCH(A17,Catalogo!$A$5:$A$905,0))))</f>
        <v>ANDES ORIGEN RUBIA ORO CAN 4X6 473CC</v>
      </c>
      <c r="C17">
        <f>IF(OR(A17="",B17="SKU no encontrado"),"",INDEX(Catalogo!$C$5:$C$905,MATCH(A17,Catalogo!$A$5:$A$905,0)))</f>
        <v>24</v>
      </c>
      <c r="D17" s="19">
        <v>46384</v>
      </c>
      <c r="E17" s="20">
        <v>362.3333333333</v>
      </c>
      <c r="F17" s="20"/>
      <c r="G17" s="12">
        <f>+LotesTrelew[[#This Row],[Final deseado / unidad sugerido]]/1.3</f>
        <v>0</v>
      </c>
      <c r="H17" s="6">
        <f>IF(OR(A17="",B17="SKU no encontrado"),"",IF(INDEX(Catalogo!$H$5:$H$905,MATCH(A17,Catalogo!$A$5:$A$905,0))=0,"",INDEX(Catalogo!$H$5:$H$905,MATCH(A17,Catalogo!$A$5:$A$905,0))))</f>
        <v>57555.616999999998</v>
      </c>
      <c r="I17" s="13">
        <f t="shared" si="0"/>
        <v>1</v>
      </c>
      <c r="J17" s="6">
        <f t="shared" si="1"/>
        <v>57555.616999999998</v>
      </c>
      <c r="K17" s="6">
        <f t="shared" si="2"/>
        <v>20854318.559664749</v>
      </c>
      <c r="L17" s="6">
        <f t="shared" si="3"/>
        <v>0</v>
      </c>
      <c r="M17" t="str">
        <f t="shared" si="4"/>
        <v>Estimado proporcional</v>
      </c>
      <c r="N17" t="s">
        <v>1838</v>
      </c>
      <c r="O17" s="18">
        <v>362.3333333333</v>
      </c>
      <c r="P17">
        <v>1</v>
      </c>
      <c r="Q17">
        <v>96</v>
      </c>
      <c r="R17" s="6">
        <f t="shared" si="5"/>
        <v>2398.1507083333331</v>
      </c>
    </row>
    <row r="18" spans="1:18" ht="30" customHeight="1">
      <c r="A18" s="17" t="s">
        <v>82</v>
      </c>
      <c r="B18" s="5" t="str">
        <f>IF(A18="","",IF(COUNTIF(Catalogo!$A$5:$A$905,A18)=0,"SKU no encontrado",INDEX(Catalogo!$B$5:$B$905,MATCH(A18,Catalogo!$A$5:$A$905,0))))</f>
        <v>GATORADE NARANJA * X6 PET 500</v>
      </c>
      <c r="C18">
        <f>IF(OR(A18="",B18="SKU no encontrado"),"",INDEX(Catalogo!$C$5:$C$905,MATCH(A18,Catalogo!$A$5:$A$905,0)))</f>
        <v>6</v>
      </c>
      <c r="D18" s="19">
        <v>46390</v>
      </c>
      <c r="E18" s="20">
        <v>315</v>
      </c>
      <c r="F18" s="20"/>
      <c r="G18" s="12">
        <f>+LotesTrelew[[#This Row],[Final deseado / unidad sugerido]]/1.3</f>
        <v>0</v>
      </c>
      <c r="H18" s="6">
        <f>IF(OR(A18="",B18="SKU no encontrado"),"",IF(INDEX(Catalogo!$H$5:$H$905,MATCH(A18,Catalogo!$A$5:$A$905,0))=0,"",INDEX(Catalogo!$H$5:$H$905,MATCH(A18,Catalogo!$A$5:$A$905,0))))</f>
        <v>12591.147000000001</v>
      </c>
      <c r="I18" s="13">
        <f t="shared" si="0"/>
        <v>1</v>
      </c>
      <c r="J18" s="6">
        <f t="shared" si="1"/>
        <v>12591.147000000001</v>
      </c>
      <c r="K18" s="6">
        <f t="shared" si="2"/>
        <v>3966211.3050000002</v>
      </c>
      <c r="L18" s="6">
        <f t="shared" si="3"/>
        <v>0</v>
      </c>
      <c r="M18" t="str">
        <f t="shared" si="4"/>
        <v>Estimado proporcional</v>
      </c>
      <c r="N18" t="s">
        <v>1838</v>
      </c>
      <c r="O18" s="18">
        <v>315</v>
      </c>
      <c r="P18">
        <v>2</v>
      </c>
      <c r="Q18">
        <v>105</v>
      </c>
      <c r="R18" s="6">
        <f t="shared" si="5"/>
        <v>2098.5245</v>
      </c>
    </row>
    <row r="19" spans="1:18" ht="30" customHeight="1">
      <c r="A19" s="17" t="s">
        <v>810</v>
      </c>
      <c r="B19" s="5" t="str">
        <f>IF(A19="","",IF(COUNTIF(Catalogo!$A$5:$A$905,A19)=0,"SKU no encontrado",INDEX(Catalogo!$B$5:$B$905,MATCH(A19,Catalogo!$A$5:$A$905,0))))</f>
        <v>RED BULL FRUTA DEL DRAGON CAN 6X4 250CC</v>
      </c>
      <c r="C19">
        <f>IF(OR(A19="",B19="SKU no encontrado"),"",INDEX(Catalogo!$C$5:$C$905,MATCH(A19,Catalogo!$A$5:$A$905,0)))</f>
        <v>24</v>
      </c>
      <c r="D19" s="19">
        <v>46416</v>
      </c>
      <c r="E19" s="20">
        <v>283.1666666667</v>
      </c>
      <c r="F19" s="20"/>
      <c r="G19" s="12">
        <f>+LotesTrelew[[#This Row],[Final deseado / unidad sugerido]]/1.3</f>
        <v>0</v>
      </c>
      <c r="H19" s="6">
        <f>IF(OR(A19="",B19="SKU no encontrado"),"",IF(INDEX(Catalogo!$H$5:$H$905,MATCH(A19,Catalogo!$A$5:$A$905,0))=0,"",INDEX(Catalogo!$H$5:$H$905,MATCH(A19,Catalogo!$A$5:$A$905,0))))</f>
        <v>65853.251000000004</v>
      </c>
      <c r="I19" s="13">
        <f t="shared" si="0"/>
        <v>1</v>
      </c>
      <c r="J19" s="6">
        <f t="shared" si="1"/>
        <v>65853.251000000004</v>
      </c>
      <c r="K19" s="6">
        <f t="shared" si="2"/>
        <v>18647445.574835528</v>
      </c>
      <c r="L19" s="6">
        <f t="shared" si="3"/>
        <v>0</v>
      </c>
      <c r="M19" t="str">
        <f t="shared" si="4"/>
        <v>Estimado proporcional</v>
      </c>
      <c r="N19" t="s">
        <v>1838</v>
      </c>
      <c r="O19" s="18">
        <v>283.1666666667</v>
      </c>
      <c r="P19">
        <v>1</v>
      </c>
      <c r="Q19">
        <v>131</v>
      </c>
      <c r="R19" s="6">
        <f t="shared" si="5"/>
        <v>2743.8854583333336</v>
      </c>
    </row>
    <row r="20" spans="1:18" ht="30" customHeight="1">
      <c r="A20" s="17" t="s">
        <v>830</v>
      </c>
      <c r="B20" s="5" t="str">
        <f>IF(A20="","",IF(COUNTIF(Catalogo!$A$5:$A$905,A20)=0,"SKU no encontrado",INDEX(Catalogo!$B$5:$B$905,MATCH(A20,Catalogo!$A$5:$A$905,0))))</f>
        <v>MIRINDA NAR CAN 130 BUL/PAL 4X6 354CC</v>
      </c>
      <c r="C20">
        <f>IF(OR(A20="",B20="SKU no encontrado"),"",INDEX(Catalogo!$C$5:$C$905,MATCH(A20,Catalogo!$A$5:$A$905,0)))</f>
        <v>24</v>
      </c>
      <c r="D20" s="19">
        <v>46304</v>
      </c>
      <c r="E20" s="20">
        <v>19.125</v>
      </c>
      <c r="F20" s="20"/>
      <c r="G20" s="12">
        <f>+LotesTrelew[[#This Row],[Final deseado / unidad sugerido]]/1.3</f>
        <v>0</v>
      </c>
      <c r="H20" s="6">
        <f>IF(OR(A20="",B20="SKU no encontrado"),"",IF(INDEX(Catalogo!$H$5:$H$905,MATCH(A20,Catalogo!$A$5:$A$905,0))=0,"",INDEX(Catalogo!$H$5:$H$905,MATCH(A20,Catalogo!$A$5:$A$905,0))))</f>
        <v>33511.089</v>
      </c>
      <c r="I20" s="13">
        <f t="shared" si="0"/>
        <v>1</v>
      </c>
      <c r="J20" s="6">
        <f t="shared" si="1"/>
        <v>33511.089</v>
      </c>
      <c r="K20" s="6">
        <f t="shared" si="2"/>
        <v>640899.57712499995</v>
      </c>
      <c r="L20" s="6">
        <f t="shared" si="3"/>
        <v>0</v>
      </c>
      <c r="M20" t="str">
        <f t="shared" si="4"/>
        <v>Estimado proporcional</v>
      </c>
      <c r="N20" t="s">
        <v>1839</v>
      </c>
      <c r="O20" s="18">
        <v>19.125</v>
      </c>
      <c r="P20">
        <v>1</v>
      </c>
      <c r="Q20">
        <v>19</v>
      </c>
      <c r="R20" s="6">
        <f t="shared" si="5"/>
        <v>1396.2953749999999</v>
      </c>
    </row>
    <row r="21" spans="1:18" ht="30" customHeight="1">
      <c r="A21" s="17" t="s">
        <v>466</v>
      </c>
      <c r="B21" s="5" t="str">
        <f>IF(A21="","",IF(COUNTIF(Catalogo!$A$5:$A$905,A21)=0,"SKU no encontrado",INDEX(Catalogo!$B$5:$B$905,MATCH(A21,Catalogo!$A$5:$A$905,0))))</f>
        <v>PATAGONIA IPA CAN 4X6 473 CART</v>
      </c>
      <c r="C21">
        <f>IF(OR(A21="",B21="SKU no encontrado"),"",INDEX(Catalogo!$C$5:$C$905,MATCH(A21,Catalogo!$A$5:$A$905,0)))</f>
        <v>24</v>
      </c>
      <c r="D21" s="19">
        <v>46305</v>
      </c>
      <c r="E21" s="20">
        <v>28.5</v>
      </c>
      <c r="F21" s="20"/>
      <c r="G21" s="12">
        <f>+LotesTrelew[[#This Row],[Final deseado / unidad sugerido]]/1.3</f>
        <v>0</v>
      </c>
      <c r="H21" s="6">
        <f>IF(OR(A21="",B21="SKU no encontrado"),"",IF(INDEX(Catalogo!$H$5:$H$905,MATCH(A21,Catalogo!$A$5:$A$905,0))=0,"",INDEX(Catalogo!$H$5:$H$905,MATCH(A21,Catalogo!$A$5:$A$905,0))))</f>
        <v>79485.894</v>
      </c>
      <c r="I21" s="13">
        <f t="shared" si="0"/>
        <v>1</v>
      </c>
      <c r="J21" s="6">
        <f t="shared" si="1"/>
        <v>79485.894</v>
      </c>
      <c r="K21" s="6">
        <f t="shared" si="2"/>
        <v>2265347.9789999998</v>
      </c>
      <c r="L21" s="6">
        <f t="shared" si="3"/>
        <v>0</v>
      </c>
      <c r="M21" t="str">
        <f t="shared" si="4"/>
        <v>Estimado proporcional</v>
      </c>
      <c r="N21" t="s">
        <v>1839</v>
      </c>
      <c r="O21" s="18">
        <v>28.5</v>
      </c>
      <c r="P21">
        <v>1</v>
      </c>
      <c r="Q21">
        <v>20</v>
      </c>
      <c r="R21" s="6">
        <f t="shared" si="5"/>
        <v>3311.9122499999999</v>
      </c>
    </row>
    <row r="22" spans="1:18" ht="30" customHeight="1">
      <c r="A22" s="17" t="s">
        <v>527</v>
      </c>
      <c r="B22" s="5" t="str">
        <f>IF(A22="","",IF(COUNTIF(Catalogo!$A$5:$A$905,A22)=0,"SKU no encontrado",INDEX(Catalogo!$B$5:$B$905,MATCH(A22,Catalogo!$A$5:$A$905,0))))</f>
        <v>PATAGONIA IPA OW X6 730</v>
      </c>
      <c r="C22">
        <f>IF(OR(A22="",B22="SKU no encontrado"),"",INDEX(Catalogo!$C$5:$C$905,MATCH(A22,Catalogo!$A$5:$A$905,0)))</f>
        <v>6</v>
      </c>
      <c r="D22" s="19">
        <v>46305</v>
      </c>
      <c r="E22" s="20">
        <v>0.16666666669999999</v>
      </c>
      <c r="F22" s="20"/>
      <c r="G22" s="12">
        <f>+LotesTrelew[[#This Row],[Final deseado / unidad sugerido]]/1.3</f>
        <v>0</v>
      </c>
      <c r="H22" s="6">
        <f>IF(OR(A22="",B22="SKU no encontrado"),"",IF(INDEX(Catalogo!$H$5:$H$905,MATCH(A22,Catalogo!$A$5:$A$905,0))=0,"",INDEX(Catalogo!$H$5:$H$905,MATCH(A22,Catalogo!$A$5:$A$905,0))))</f>
        <v>29135.981</v>
      </c>
      <c r="I22" s="13">
        <f t="shared" si="0"/>
        <v>1</v>
      </c>
      <c r="J22" s="6">
        <f t="shared" si="1"/>
        <v>29135.981</v>
      </c>
      <c r="K22" s="6">
        <f t="shared" si="2"/>
        <v>4855.9968343045321</v>
      </c>
      <c r="L22" s="6">
        <f t="shared" si="3"/>
        <v>0</v>
      </c>
      <c r="M22" t="str">
        <f t="shared" si="4"/>
        <v>Estimado proporcional</v>
      </c>
      <c r="N22" t="s">
        <v>1839</v>
      </c>
      <c r="O22" s="18">
        <v>0.16666666669999999</v>
      </c>
      <c r="P22">
        <v>1</v>
      </c>
      <c r="Q22">
        <v>20</v>
      </c>
      <c r="R22" s="6">
        <f t="shared" si="5"/>
        <v>4855.9968333333336</v>
      </c>
    </row>
    <row r="23" spans="1:18" ht="30" customHeight="1">
      <c r="A23" s="17" t="s">
        <v>1018</v>
      </c>
      <c r="B23" s="5" t="str">
        <f>IF(A23="","",IF(COUNTIF(Catalogo!$A$5:$A$905,A23)=0,"SKU no encontrado",INDEX(Catalogo!$B$5:$B$905,MATCH(A23,Catalogo!$A$5:$A$905,0))))</f>
        <v>STELLA ARTOIS 0.0 SY CAN 4X6 473CC CART</v>
      </c>
      <c r="C23">
        <f>IF(OR(A23="",B23="SKU no encontrado"),"",INDEX(Catalogo!$C$5:$C$905,MATCH(A23,Catalogo!$A$5:$A$905,0)))</f>
        <v>24</v>
      </c>
      <c r="D23" s="19">
        <v>46308</v>
      </c>
      <c r="E23" s="20">
        <v>54.75</v>
      </c>
      <c r="F23" s="20"/>
      <c r="G23" s="12">
        <f>+LotesTrelew[[#This Row],[Final deseado / unidad sugerido]]/1.3</f>
        <v>0</v>
      </c>
      <c r="H23" s="6">
        <f>IF(OR(A23="",B23="SKU no encontrado"),"",IF(INDEX(Catalogo!$H$5:$H$905,MATCH(A23,Catalogo!$A$5:$A$905,0))=0,"",INDEX(Catalogo!$H$5:$H$905,MATCH(A23,Catalogo!$A$5:$A$905,0))))</f>
        <v>55342.279000000002</v>
      </c>
      <c r="I23" s="13">
        <f t="shared" si="0"/>
        <v>1</v>
      </c>
      <c r="J23" s="6">
        <f t="shared" si="1"/>
        <v>55342.279000000002</v>
      </c>
      <c r="K23" s="6">
        <f t="shared" si="2"/>
        <v>3029989.7752499999</v>
      </c>
      <c r="L23" s="6">
        <f t="shared" si="3"/>
        <v>0</v>
      </c>
      <c r="M23" t="str">
        <f t="shared" si="4"/>
        <v>Estimado proporcional</v>
      </c>
      <c r="N23" t="s">
        <v>1839</v>
      </c>
      <c r="O23" s="18">
        <v>54.75</v>
      </c>
      <c r="P23">
        <v>2</v>
      </c>
      <c r="Q23">
        <v>23</v>
      </c>
      <c r="R23" s="6">
        <f t="shared" si="5"/>
        <v>2305.9282916666666</v>
      </c>
    </row>
    <row r="24" spans="1:18" ht="30" customHeight="1">
      <c r="A24" s="17" t="s">
        <v>871</v>
      </c>
      <c r="B24" s="5" t="str">
        <f>IF(A24="","",IF(COUNTIF(Catalogo!$A$5:$A$905,A24)=0,"SKU no encontrado",INDEX(Catalogo!$B$5:$B$905,MATCH(A24,Catalogo!$A$5:$A$905,0))))</f>
        <v>7UP PET X6 500CC NF 2024</v>
      </c>
      <c r="C24">
        <f>IF(OR(A24="",B24="SKU no encontrado"),"",INDEX(Catalogo!$C$5:$C$905,MATCH(A24,Catalogo!$A$5:$A$905,0)))</f>
        <v>6</v>
      </c>
      <c r="D24" s="19">
        <v>46309</v>
      </c>
      <c r="E24" s="20">
        <v>87</v>
      </c>
      <c r="F24" s="20"/>
      <c r="G24" s="12">
        <f>+LotesTrelew[[#This Row],[Final deseado / unidad sugerido]]/1.3</f>
        <v>0</v>
      </c>
      <c r="H24" s="6">
        <f>IF(OR(A24="",B24="SKU no encontrado"),"",IF(INDEX(Catalogo!$H$5:$H$905,MATCH(A24,Catalogo!$A$5:$A$905,0))=0,"",INDEX(Catalogo!$H$5:$H$905,MATCH(A24,Catalogo!$A$5:$A$905,0))))</f>
        <v>10249.798000000001</v>
      </c>
      <c r="I24" s="13">
        <f t="shared" si="0"/>
        <v>1</v>
      </c>
      <c r="J24" s="6">
        <f t="shared" si="1"/>
        <v>10249.798000000001</v>
      </c>
      <c r="K24" s="6">
        <f t="shared" si="2"/>
        <v>891732.42600000009</v>
      </c>
      <c r="L24" s="6">
        <f t="shared" si="3"/>
        <v>0</v>
      </c>
      <c r="M24" t="str">
        <f t="shared" si="4"/>
        <v>Estimado proporcional</v>
      </c>
      <c r="N24" t="s">
        <v>1839</v>
      </c>
      <c r="O24" s="18">
        <v>87</v>
      </c>
      <c r="P24">
        <v>1</v>
      </c>
      <c r="Q24">
        <v>24</v>
      </c>
      <c r="R24" s="6">
        <f t="shared" si="5"/>
        <v>1708.2996666666668</v>
      </c>
    </row>
    <row r="25" spans="1:18" ht="30" customHeight="1">
      <c r="A25" s="17" t="s">
        <v>766</v>
      </c>
      <c r="B25" s="5" t="str">
        <f>IF(A25="","",IF(COUNTIF(Catalogo!$A$5:$A$905,A25)=0,"SKU no encontrado",INDEX(Catalogo!$B$5:$B$905,MATCH(A25,Catalogo!$A$5:$A$905,0))))</f>
        <v>BUDWEISER CAN 4X4 710CC</v>
      </c>
      <c r="C25">
        <f>IF(OR(A25="",B25="SKU no encontrado"),"",INDEX(Catalogo!$C$5:$C$905,MATCH(A25,Catalogo!$A$5:$A$905,0)))</f>
        <v>16</v>
      </c>
      <c r="D25" s="19">
        <v>46315</v>
      </c>
      <c r="E25" s="20">
        <v>59.5625</v>
      </c>
      <c r="F25" s="20"/>
      <c r="G25" s="12">
        <f>+LotesTrelew[[#This Row],[Final deseado / unidad sugerido]]/1.3</f>
        <v>0</v>
      </c>
      <c r="H25" s="6">
        <f>IF(OR(A25="",B25="SKU no encontrado"),"",IF(INDEX(Catalogo!$H$5:$H$905,MATCH(A25,Catalogo!$A$5:$A$905,0))=0,"",INDEX(Catalogo!$H$5:$H$905,MATCH(A25,Catalogo!$A$5:$A$905,0))))</f>
        <v>47124.735000000001</v>
      </c>
      <c r="I25" s="13">
        <f t="shared" si="0"/>
        <v>1</v>
      </c>
      <c r="J25" s="6">
        <f t="shared" si="1"/>
        <v>47124.735000000001</v>
      </c>
      <c r="K25" s="6">
        <f t="shared" si="2"/>
        <v>2806867.0284374999</v>
      </c>
      <c r="L25" s="6">
        <f t="shared" si="3"/>
        <v>0</v>
      </c>
      <c r="M25" t="str">
        <f t="shared" si="4"/>
        <v>Estimado proporcional</v>
      </c>
      <c r="N25" t="s">
        <v>1839</v>
      </c>
      <c r="O25" s="18">
        <v>59.5625</v>
      </c>
      <c r="P25">
        <v>1</v>
      </c>
      <c r="Q25">
        <v>30</v>
      </c>
      <c r="R25" s="6">
        <f t="shared" si="5"/>
        <v>2945.2959375</v>
      </c>
    </row>
    <row r="26" spans="1:18" ht="30" customHeight="1">
      <c r="A26" s="17" t="s">
        <v>804</v>
      </c>
      <c r="B26" s="5" t="str">
        <f>IF(A26="","",IF(COUNTIF(Catalogo!$A$5:$A$905,A26)=0,"SKU no encontrado",INDEX(Catalogo!$B$5:$B$905,MATCH(A26,Catalogo!$A$5:$A$905,0))))</f>
        <v>STELLA ARTOIS CAN 4X4 710CC</v>
      </c>
      <c r="C26">
        <f>IF(OR(A26="",B26="SKU no encontrado"),"",INDEX(Catalogo!$C$5:$C$905,MATCH(A26,Catalogo!$A$5:$A$905,0)))</f>
        <v>16</v>
      </c>
      <c r="D26" s="19">
        <v>46315</v>
      </c>
      <c r="E26" s="20">
        <v>38.3125</v>
      </c>
      <c r="F26" s="20"/>
      <c r="G26" s="12">
        <f>+LotesTrelew[[#This Row],[Final deseado / unidad sugerido]]/1.3</f>
        <v>0</v>
      </c>
      <c r="H26" s="6">
        <f>IF(OR(A26="",B26="SKU no encontrado"),"",IF(INDEX(Catalogo!$H$5:$H$905,MATCH(A26,Catalogo!$A$5:$A$905,0))=0,"",INDEX(Catalogo!$H$5:$H$905,MATCH(A26,Catalogo!$A$5:$A$905,0))))</f>
        <v>70533.793000000005</v>
      </c>
      <c r="I26" s="13">
        <f t="shared" si="0"/>
        <v>1</v>
      </c>
      <c r="J26" s="6">
        <f t="shared" si="1"/>
        <v>70533.793000000005</v>
      </c>
      <c r="K26" s="6">
        <f t="shared" si="2"/>
        <v>2702325.9443125003</v>
      </c>
      <c r="L26" s="6">
        <f t="shared" si="3"/>
        <v>0</v>
      </c>
      <c r="M26" t="str">
        <f t="shared" si="4"/>
        <v>Estimado proporcional</v>
      </c>
      <c r="N26" t="s">
        <v>1839</v>
      </c>
      <c r="O26" s="18">
        <v>38.3125</v>
      </c>
      <c r="P26">
        <v>1</v>
      </c>
      <c r="Q26">
        <v>30</v>
      </c>
      <c r="R26" s="6">
        <f t="shared" si="5"/>
        <v>4408.3620625000003</v>
      </c>
    </row>
    <row r="27" spans="1:18" ht="30" customHeight="1">
      <c r="A27" s="17" t="s">
        <v>627</v>
      </c>
      <c r="B27" s="5" t="str">
        <f>IF(A27="","",IF(COUNTIF(Catalogo!$A$5:$A$905,A27)=0,"SKU no encontrado",INDEX(Catalogo!$B$5:$B$905,MATCH(A27,Catalogo!$A$5:$A$905,0))))</f>
        <v>PDTOROS PET POM SIN AZUCARES X6 1500CC</v>
      </c>
      <c r="C27">
        <f>IF(OR(A27="",B27="SKU no encontrado"),"",INDEX(Catalogo!$C$5:$C$905,MATCH(A27,Catalogo!$A$5:$A$905,0)))</f>
        <v>6</v>
      </c>
      <c r="D27" s="19">
        <v>46317</v>
      </c>
      <c r="E27" s="20">
        <v>7.8333333332999997</v>
      </c>
      <c r="F27" s="20"/>
      <c r="G27" s="12">
        <f>+LotesTrelew[[#This Row],[Final deseado / unidad sugerido]]/1.3</f>
        <v>0</v>
      </c>
      <c r="H27" s="6">
        <f>IF(OR(A27="",B27="SKU no encontrado"),"",IF(INDEX(Catalogo!$H$5:$H$905,MATCH(A27,Catalogo!$A$5:$A$905,0))=0,"",INDEX(Catalogo!$H$5:$H$905,MATCH(A27,Catalogo!$A$5:$A$905,0))))</f>
        <v>21688.986000000001</v>
      </c>
      <c r="I27" s="13">
        <f t="shared" si="0"/>
        <v>1</v>
      </c>
      <c r="J27" s="6">
        <f t="shared" si="1"/>
        <v>21688.986000000001</v>
      </c>
      <c r="K27" s="6">
        <f t="shared" si="2"/>
        <v>169897.05699927703</v>
      </c>
      <c r="L27" s="6">
        <f t="shared" si="3"/>
        <v>0</v>
      </c>
      <c r="M27" t="str">
        <f t="shared" si="4"/>
        <v>Estimado proporcional</v>
      </c>
      <c r="N27" t="s">
        <v>1839</v>
      </c>
      <c r="O27" s="18">
        <v>7.8333333332999997</v>
      </c>
      <c r="P27">
        <v>1</v>
      </c>
      <c r="Q27">
        <v>32</v>
      </c>
      <c r="R27" s="6">
        <f t="shared" si="5"/>
        <v>3614.8310000000001</v>
      </c>
    </row>
    <row r="28" spans="1:18" ht="30" customHeight="1">
      <c r="A28" s="17" t="s">
        <v>849</v>
      </c>
      <c r="B28" s="5" t="str">
        <f>IF(A28="","",IF(COUNTIF(Catalogo!$A$5:$A$905,A28)=0,"SKU no encontrado",INDEX(Catalogo!$B$5:$B$905,MATCH(A28,Catalogo!$A$5:$A$905,0))))</f>
        <v>PEPSI BLACK PET X8 2.000CC 2024</v>
      </c>
      <c r="C28">
        <f>IF(OR(A28="",B28="SKU no encontrado"),"",INDEX(Catalogo!$C$5:$C$905,MATCH(A28,Catalogo!$A$5:$A$905,0)))</f>
        <v>8</v>
      </c>
      <c r="D28" s="19">
        <v>46317</v>
      </c>
      <c r="E28" s="20">
        <v>0.5</v>
      </c>
      <c r="F28" s="20"/>
      <c r="G28" s="12">
        <f>+LotesTrelew[[#This Row],[Final deseado / unidad sugerido]]/1.3</f>
        <v>0</v>
      </c>
      <c r="H28" s="6">
        <f>IF(OR(A28="",B28="SKU no encontrado"),"",IF(INDEX(Catalogo!$H$5:$H$905,MATCH(A28,Catalogo!$A$5:$A$905,0))=0,"",INDEX(Catalogo!$H$5:$H$905,MATCH(A28,Catalogo!$A$5:$A$905,0))))</f>
        <v>29656.170999999998</v>
      </c>
      <c r="I28" s="13">
        <f t="shared" si="0"/>
        <v>1</v>
      </c>
      <c r="J28" s="6">
        <f t="shared" si="1"/>
        <v>29656.170999999998</v>
      </c>
      <c r="K28" s="6">
        <f t="shared" si="2"/>
        <v>14828.085499999999</v>
      </c>
      <c r="L28" s="6">
        <f t="shared" si="3"/>
        <v>0</v>
      </c>
      <c r="M28" t="str">
        <f t="shared" si="4"/>
        <v>Estimado proporcional</v>
      </c>
      <c r="N28" t="s">
        <v>1839</v>
      </c>
      <c r="O28" s="18">
        <v>0.5</v>
      </c>
      <c r="P28">
        <v>1</v>
      </c>
      <c r="Q28">
        <v>32</v>
      </c>
      <c r="R28" s="6">
        <f t="shared" si="5"/>
        <v>3707.0213749999998</v>
      </c>
    </row>
    <row r="29" spans="1:18" ht="30" customHeight="1">
      <c r="A29" s="17" t="s">
        <v>1022</v>
      </c>
      <c r="B29" s="5" t="str">
        <f>IF(A29="","",IF(COUNTIF(Catalogo!$A$5:$A$905,A29)=0,"SKU no encontrado",INDEX(Catalogo!$B$5:$B$905,MATCH(A29,Catalogo!$A$5:$A$905,0))))</f>
        <v>GATORADE NS MORAS PET X6 400CC</v>
      </c>
      <c r="C29">
        <f>IF(OR(A29="",B29="SKU no encontrado"),"",INDEX(Catalogo!$C$5:$C$905,MATCH(A29,Catalogo!$A$5:$A$905,0)))</f>
        <v>6</v>
      </c>
      <c r="D29" s="19">
        <v>46320</v>
      </c>
      <c r="E29" s="20">
        <v>199</v>
      </c>
      <c r="F29" s="20"/>
      <c r="G29" s="12">
        <f>+LotesTrelew[[#This Row],[Final deseado / unidad sugerido]]/1.3</f>
        <v>0</v>
      </c>
      <c r="H29" s="6">
        <f>IF(OR(A29="",B29="SKU no encontrado"),"",IF(INDEX(Catalogo!$H$5:$H$905,MATCH(A29,Catalogo!$A$5:$A$905,0))=0,"",INDEX(Catalogo!$H$5:$H$905,MATCH(A29,Catalogo!$A$5:$A$905,0))))</f>
        <v>8813.8080000000009</v>
      </c>
      <c r="I29" s="13">
        <f t="shared" si="0"/>
        <v>1</v>
      </c>
      <c r="J29" s="6">
        <f t="shared" si="1"/>
        <v>8813.8080000000009</v>
      </c>
      <c r="K29" s="6">
        <f t="shared" si="2"/>
        <v>1753947.7920000001</v>
      </c>
      <c r="L29" s="6">
        <f t="shared" si="3"/>
        <v>0</v>
      </c>
      <c r="M29" t="str">
        <f t="shared" si="4"/>
        <v>Estimado proporcional</v>
      </c>
      <c r="N29" t="s">
        <v>1839</v>
      </c>
      <c r="O29" s="18">
        <v>199</v>
      </c>
      <c r="P29">
        <v>1</v>
      </c>
      <c r="Q29">
        <v>35</v>
      </c>
      <c r="R29" s="6">
        <f t="shared" si="5"/>
        <v>1468.9680000000001</v>
      </c>
    </row>
    <row r="30" spans="1:18" ht="30" customHeight="1">
      <c r="A30" s="17" t="s">
        <v>1020</v>
      </c>
      <c r="B30" s="5" t="str">
        <f>IF(A30="","",IF(COUNTIF(Catalogo!$A$5:$A$905,A30)=0,"SKU no encontrado",INDEX(Catalogo!$B$5:$B$905,MATCH(A30,Catalogo!$A$5:$A$905,0))))</f>
        <v>GATORADE NS FRESA KIWI PET X6 40</v>
      </c>
      <c r="C30">
        <f>IF(OR(A30="",B30="SKU no encontrado"),"",INDEX(Catalogo!$C$5:$C$905,MATCH(A30,Catalogo!$A$5:$A$905,0)))</f>
        <v>6</v>
      </c>
      <c r="D30" s="19">
        <v>46321</v>
      </c>
      <c r="E30" s="20">
        <v>40</v>
      </c>
      <c r="F30" s="20"/>
      <c r="G30" s="12">
        <f>+LotesTrelew[[#This Row],[Final deseado / unidad sugerido]]/1.3</f>
        <v>0</v>
      </c>
      <c r="H30" s="6">
        <f>IF(OR(A30="",B30="SKU no encontrado"),"",IF(INDEX(Catalogo!$H$5:$H$905,MATCH(A30,Catalogo!$A$5:$A$905,0))=0,"",INDEX(Catalogo!$H$5:$H$905,MATCH(A30,Catalogo!$A$5:$A$905,0))))</f>
        <v>8813.8080000000009</v>
      </c>
      <c r="I30" s="13">
        <f t="shared" si="0"/>
        <v>1</v>
      </c>
      <c r="J30" s="6">
        <f t="shared" si="1"/>
        <v>8813.8080000000009</v>
      </c>
      <c r="K30" s="6">
        <f t="shared" si="2"/>
        <v>352552.32000000007</v>
      </c>
      <c r="L30" s="6">
        <f t="shared" si="3"/>
        <v>0</v>
      </c>
      <c r="M30" t="str">
        <f t="shared" si="4"/>
        <v>Estimado proporcional</v>
      </c>
      <c r="N30" t="s">
        <v>1839</v>
      </c>
      <c r="O30" s="18">
        <v>40</v>
      </c>
      <c r="P30">
        <v>1</v>
      </c>
      <c r="Q30">
        <v>36</v>
      </c>
      <c r="R30" s="6">
        <f t="shared" si="5"/>
        <v>1468.9680000000001</v>
      </c>
    </row>
    <row r="31" spans="1:18" ht="30" customHeight="1">
      <c r="A31" s="17" t="s">
        <v>812</v>
      </c>
      <c r="B31" s="5" t="str">
        <f>IF(A31="","",IF(COUNTIF(Catalogo!$A$5:$A$905,A31)=0,"SKU no encontrado",INDEX(Catalogo!$B$5:$B$905,MATCH(A31,Catalogo!$A$5:$A$905,0))))</f>
        <v>H2OH STILL MANZANA PET X6 500CC</v>
      </c>
      <c r="C31">
        <f>IF(OR(A31="",B31="SKU no encontrado"),"",INDEX(Catalogo!$C$5:$C$905,MATCH(A31,Catalogo!$A$5:$A$905,0)))</f>
        <v>6</v>
      </c>
      <c r="D31" s="19">
        <v>46326</v>
      </c>
      <c r="E31" s="20">
        <v>30</v>
      </c>
      <c r="F31" s="20"/>
      <c r="G31" s="12">
        <f>+LotesTrelew[[#This Row],[Final deseado / unidad sugerido]]/1.3</f>
        <v>0</v>
      </c>
      <c r="H31" s="6">
        <f>IF(OR(A31="",B31="SKU no encontrado"),"",IF(INDEX(Catalogo!$H$5:$H$905,MATCH(A31,Catalogo!$A$5:$A$905,0))=0,"",INDEX(Catalogo!$H$5:$H$905,MATCH(A31,Catalogo!$A$5:$A$905,0))))</f>
        <v>8378.4660000000003</v>
      </c>
      <c r="I31" s="13">
        <f t="shared" si="0"/>
        <v>1</v>
      </c>
      <c r="J31" s="6">
        <f t="shared" si="1"/>
        <v>8378.4660000000003</v>
      </c>
      <c r="K31" s="6">
        <f t="shared" si="2"/>
        <v>251353.98</v>
      </c>
      <c r="L31" s="6">
        <f t="shared" si="3"/>
        <v>0</v>
      </c>
      <c r="M31" t="str">
        <f t="shared" si="4"/>
        <v>Estimado proporcional</v>
      </c>
      <c r="N31" t="s">
        <v>1839</v>
      </c>
      <c r="O31" s="18">
        <v>30</v>
      </c>
      <c r="P31">
        <v>1</v>
      </c>
      <c r="Q31">
        <v>41</v>
      </c>
      <c r="R31" s="6">
        <f t="shared" si="5"/>
        <v>1396.4110000000001</v>
      </c>
    </row>
    <row r="32" spans="1:18" ht="30" customHeight="1">
      <c r="A32" s="17" t="s">
        <v>485</v>
      </c>
      <c r="B32" s="5" t="str">
        <f>IF(A32="","",IF(COUNTIF(Catalogo!$A$5:$A$905,A32)=0,"SKU no encontrado",INDEX(Catalogo!$B$5:$B$905,MATCH(A32,Catalogo!$A$5:$A$905,0))))</f>
        <v>ANDES ORIGEN ROJA RET X12 1000</v>
      </c>
      <c r="C32">
        <f>IF(OR(A32="",B32="SKU no encontrado"),"",INDEX(Catalogo!$C$5:$C$905,MATCH(A32,Catalogo!$A$5:$A$905,0)))</f>
        <v>12</v>
      </c>
      <c r="D32" s="19">
        <v>46327</v>
      </c>
      <c r="E32" s="20">
        <v>14</v>
      </c>
      <c r="F32" s="20"/>
      <c r="G32" s="12">
        <f>+LotesTrelew[[#This Row],[Final deseado / unidad sugerido]]/1.3</f>
        <v>0</v>
      </c>
      <c r="H32" s="6">
        <f>IF(OR(A32="",B32="SKU no encontrado"),"",IF(INDEX(Catalogo!$H$5:$H$905,MATCH(A32,Catalogo!$A$5:$A$905,0))=0,"",INDEX(Catalogo!$H$5:$H$905,MATCH(A32,Catalogo!$A$5:$A$905,0))))</f>
        <v>50984.146000000001</v>
      </c>
      <c r="I32" s="13">
        <f t="shared" si="0"/>
        <v>1</v>
      </c>
      <c r="J32" s="6">
        <f t="shared" si="1"/>
        <v>50984.146000000001</v>
      </c>
      <c r="K32" s="6">
        <f t="shared" si="2"/>
        <v>713778.04399999999</v>
      </c>
      <c r="L32" s="6">
        <f t="shared" si="3"/>
        <v>0</v>
      </c>
      <c r="M32" t="str">
        <f t="shared" si="4"/>
        <v>Estimado proporcional</v>
      </c>
      <c r="N32" t="s">
        <v>1839</v>
      </c>
      <c r="O32" s="18">
        <v>14</v>
      </c>
      <c r="P32">
        <v>1</v>
      </c>
      <c r="Q32">
        <v>42</v>
      </c>
      <c r="R32" s="6">
        <f t="shared" si="5"/>
        <v>4248.6788333333334</v>
      </c>
    </row>
    <row r="33" spans="1:18" ht="30" customHeight="1">
      <c r="A33" s="17" t="s">
        <v>875</v>
      </c>
      <c r="B33" s="5" t="str">
        <f>IF(A33="","",IF(COUNTIF(Catalogo!$A$5:$A$905,A33)=0,"SKU no encontrado",INDEX(Catalogo!$B$5:$B$905,MATCH(A33,Catalogo!$A$5:$A$905,0))))</f>
        <v>7UP FREE PET X6 1500CC 2024</v>
      </c>
      <c r="C33">
        <f>IF(OR(A33="",B33="SKU no encontrado"),"",INDEX(Catalogo!$C$5:$C$905,MATCH(A33,Catalogo!$A$5:$A$905,0)))</f>
        <v>6</v>
      </c>
      <c r="D33" s="19">
        <v>46331</v>
      </c>
      <c r="E33" s="20">
        <v>82</v>
      </c>
      <c r="F33" s="20"/>
      <c r="G33" s="12">
        <f>+LotesTrelew[[#This Row],[Final deseado / unidad sugerido]]/1.3</f>
        <v>0</v>
      </c>
      <c r="H33" s="6">
        <f>IF(OR(A33="",B33="SKU no encontrado"),"",IF(INDEX(Catalogo!$H$5:$H$905,MATCH(A33,Catalogo!$A$5:$A$905,0))=0,"",INDEX(Catalogo!$H$5:$H$905,MATCH(A33,Catalogo!$A$5:$A$905,0))))</f>
        <v>21709.238000000001</v>
      </c>
      <c r="I33" s="13">
        <f t="shared" si="0"/>
        <v>1</v>
      </c>
      <c r="J33" s="6">
        <f t="shared" si="1"/>
        <v>21709.238000000001</v>
      </c>
      <c r="K33" s="6">
        <f t="shared" si="2"/>
        <v>1780157.5160000001</v>
      </c>
      <c r="L33" s="6">
        <f t="shared" si="3"/>
        <v>0</v>
      </c>
      <c r="M33" t="str">
        <f t="shared" si="4"/>
        <v>Estimado proporcional</v>
      </c>
      <c r="N33" t="s">
        <v>1839</v>
      </c>
      <c r="O33" s="18">
        <v>82</v>
      </c>
      <c r="P33">
        <v>1</v>
      </c>
      <c r="Q33">
        <v>46</v>
      </c>
      <c r="R33" s="6">
        <f t="shared" si="5"/>
        <v>3618.2063333333335</v>
      </c>
    </row>
    <row r="34" spans="1:18" ht="30" customHeight="1">
      <c r="A34" s="17" t="s">
        <v>629</v>
      </c>
      <c r="B34" s="5" t="str">
        <f>IF(A34="","",IF(COUNTIF(Catalogo!$A$5:$A$905,A34)=0,"SKU no encontrado",INDEX(Catalogo!$B$5:$B$905,MATCH(A34,Catalogo!$A$5:$A$905,0))))</f>
        <v>ROCKSTAR OW BOT X6 500CC</v>
      </c>
      <c r="C34">
        <f>IF(OR(A34="",B34="SKU no encontrado"),"",INDEX(Catalogo!$C$5:$C$905,MATCH(A34,Catalogo!$A$5:$A$905,0)))</f>
        <v>6</v>
      </c>
      <c r="D34" s="19">
        <v>46332</v>
      </c>
      <c r="E34" s="20">
        <v>44.833333333299997</v>
      </c>
      <c r="F34" s="20"/>
      <c r="G34" s="12">
        <f>+LotesTrelew[[#This Row],[Final deseado / unidad sugerido]]/1.3</f>
        <v>0</v>
      </c>
      <c r="H34" s="6">
        <f>IF(OR(A34="",B34="SKU no encontrado"),"",IF(INDEX(Catalogo!$H$5:$H$905,MATCH(A34,Catalogo!$A$5:$A$905,0))=0,"",INDEX(Catalogo!$H$5:$H$905,MATCH(A34,Catalogo!$A$5:$A$905,0))))</f>
        <v>10235.629000000001</v>
      </c>
      <c r="I34" s="13">
        <f t="shared" si="0"/>
        <v>1</v>
      </c>
      <c r="J34" s="6">
        <f t="shared" si="1"/>
        <v>10235.629000000001</v>
      </c>
      <c r="K34" s="6">
        <f t="shared" si="2"/>
        <v>458897.36683299218</v>
      </c>
      <c r="L34" s="6">
        <f t="shared" si="3"/>
        <v>0</v>
      </c>
      <c r="M34" t="str">
        <f t="shared" si="4"/>
        <v>Estimado proporcional</v>
      </c>
      <c r="N34" t="s">
        <v>1839</v>
      </c>
      <c r="O34" s="18">
        <v>44.833333333299997</v>
      </c>
      <c r="P34">
        <v>2</v>
      </c>
      <c r="Q34">
        <v>47</v>
      </c>
      <c r="R34" s="6">
        <f t="shared" si="5"/>
        <v>1705.9381666666668</v>
      </c>
    </row>
    <row r="35" spans="1:18" ht="30" customHeight="1">
      <c r="A35" s="17" t="s">
        <v>879</v>
      </c>
      <c r="B35" s="5" t="str">
        <f>IF(A35="","",IF(COUNTIF(Catalogo!$A$5:$A$905,A35)=0,"SKU no encontrado",INDEX(Catalogo!$B$5:$B$905,MATCH(A35,Catalogo!$A$5:$A$905,0))))</f>
        <v>PDT TONICA CAN 4X6 269CC 169 BULTOS</v>
      </c>
      <c r="C35">
        <f>IF(OR(A35="",B35="SKU no encontrado"),"",INDEX(Catalogo!$C$5:$C$905,MATCH(A35,Catalogo!$A$5:$A$905,0)))</f>
        <v>24</v>
      </c>
      <c r="D35" s="19">
        <v>46332</v>
      </c>
      <c r="E35" s="20">
        <v>167.1666666667</v>
      </c>
      <c r="F35" s="20"/>
      <c r="G35" s="12">
        <f>+LotesTrelew[[#This Row],[Final deseado / unidad sugerido]]/1.3</f>
        <v>0</v>
      </c>
      <c r="H35" s="6">
        <f>IF(OR(A35="",B35="SKU no encontrado"),"",IF(INDEX(Catalogo!$H$5:$H$905,MATCH(A35,Catalogo!$A$5:$A$905,0))=0,"",INDEX(Catalogo!$H$5:$H$905,MATCH(A35,Catalogo!$A$5:$A$905,0))))</f>
        <v>23665.952000000001</v>
      </c>
      <c r="I35" s="13">
        <f t="shared" si="0"/>
        <v>1</v>
      </c>
      <c r="J35" s="6">
        <f t="shared" si="1"/>
        <v>23665.952000000001</v>
      </c>
      <c r="K35" s="6">
        <f t="shared" si="2"/>
        <v>3956158.3093341221</v>
      </c>
      <c r="L35" s="6">
        <f t="shared" si="3"/>
        <v>0</v>
      </c>
      <c r="M35" t="str">
        <f t="shared" si="4"/>
        <v>Estimado proporcional</v>
      </c>
      <c r="N35" t="s">
        <v>1839</v>
      </c>
      <c r="O35" s="18">
        <v>167.1666666667</v>
      </c>
      <c r="P35">
        <v>1</v>
      </c>
      <c r="Q35">
        <v>47</v>
      </c>
      <c r="R35" s="6">
        <f t="shared" si="5"/>
        <v>986.08133333333342</v>
      </c>
    </row>
    <row r="36" spans="1:18" ht="30" customHeight="1">
      <c r="A36" s="17" t="s">
        <v>340</v>
      </c>
      <c r="B36" s="5" t="str">
        <f>IF(A36="","",IF(COUNTIF(Catalogo!$A$5:$A$905,A36)=0,"SKU no encontrado",INDEX(Catalogo!$B$5:$B$905,MATCH(A36,Catalogo!$A$5:$A$905,0))))</f>
        <v>MIRINDA NARANJA * X6 PET3000#</v>
      </c>
      <c r="C36">
        <f>IF(OR(A36="",B36="SKU no encontrado"),"",INDEX(Catalogo!$C$5:$C$905,MATCH(A36,Catalogo!$A$5:$A$905,0)))</f>
        <v>6</v>
      </c>
      <c r="D36" s="19">
        <v>46333</v>
      </c>
      <c r="E36" s="20">
        <v>273.3333333333</v>
      </c>
      <c r="F36" s="20"/>
      <c r="G36" s="12">
        <f>+LotesTrelew[[#This Row],[Final deseado / unidad sugerido]]/1.3</f>
        <v>0</v>
      </c>
      <c r="H36" s="6">
        <f>IF(OR(A36="",B36="SKU no encontrado"),"",IF(INDEX(Catalogo!$H$5:$H$905,MATCH(A36,Catalogo!$A$5:$A$905,0))=0,"",INDEX(Catalogo!$H$5:$H$905,MATCH(A36,Catalogo!$A$5:$A$905,0))))</f>
        <v>16404.333999999999</v>
      </c>
      <c r="I36" s="13">
        <f t="shared" si="0"/>
        <v>1</v>
      </c>
      <c r="J36" s="6">
        <f t="shared" si="1"/>
        <v>16404.333999999999</v>
      </c>
      <c r="K36" s="6">
        <f t="shared" si="2"/>
        <v>4483851.2933327863</v>
      </c>
      <c r="L36" s="6">
        <f t="shared" si="3"/>
        <v>0</v>
      </c>
      <c r="M36" t="str">
        <f t="shared" si="4"/>
        <v>Estimado proporcional</v>
      </c>
      <c r="N36" t="s">
        <v>1839</v>
      </c>
      <c r="O36" s="18">
        <v>273.3333333333</v>
      </c>
      <c r="P36">
        <v>1</v>
      </c>
      <c r="Q36">
        <v>48</v>
      </c>
      <c r="R36" s="6">
        <f t="shared" si="5"/>
        <v>2734.0556666666666</v>
      </c>
    </row>
    <row r="37" spans="1:18" ht="30" customHeight="1">
      <c r="A37" s="17" t="s">
        <v>832</v>
      </c>
      <c r="B37" s="5" t="str">
        <f>IF(A37="","",IF(COUNTIF(Catalogo!$A$5:$A$905,A37)=0,"SKU no encontrado",INDEX(Catalogo!$B$5:$B$905,MATCH(A37,Catalogo!$A$5:$A$905,0))))</f>
        <v>7UP FREE CAN 130 BUL/PAL 4X6 354CC</v>
      </c>
      <c r="C37">
        <f>IF(OR(A37="",B37="SKU no encontrado"),"",INDEX(Catalogo!$C$5:$C$905,MATCH(A37,Catalogo!$A$5:$A$905,0)))</f>
        <v>24</v>
      </c>
      <c r="D37" s="19">
        <v>46336</v>
      </c>
      <c r="E37" s="20">
        <v>42.208333333299997</v>
      </c>
      <c r="F37" s="20"/>
      <c r="G37" s="12">
        <f>+LotesTrelew[[#This Row],[Final deseado / unidad sugerido]]/1.3</f>
        <v>0</v>
      </c>
      <c r="H37" s="6">
        <f>IF(OR(A37="",B37="SKU no encontrado"),"",IF(INDEX(Catalogo!$H$5:$H$905,MATCH(A37,Catalogo!$A$5:$A$905,0))=0,"",INDEX(Catalogo!$H$5:$H$905,MATCH(A37,Catalogo!$A$5:$A$905,0))))</f>
        <v>33544.110999999997</v>
      </c>
      <c r="I37" s="13">
        <f t="shared" ref="I37:I68" si="6">IF(OR(N37="ELIMINAR",H37="",G37="",G37&lt;0,C37&lt;=0,G37*C37&gt;H37,E37&gt;O37),"",1-G37*C37/H37)</f>
        <v>1</v>
      </c>
      <c r="J37" s="6">
        <f t="shared" ref="J37:J68" si="7">IF(I37="","",H37-G37*C37)</f>
        <v>33544.110999999997</v>
      </c>
      <c r="K37" s="6">
        <f t="shared" ref="K37:K68" si="8">IF(OR(J37="",E37="",E37&lt;=0),"",J37*E37)</f>
        <v>1415841.018457215</v>
      </c>
      <c r="L37" s="6">
        <f t="shared" ref="L37:L68" si="9">IF(OR(I37="",C37&lt;=0),"",G37*C37)</f>
        <v>0</v>
      </c>
      <c r="M37" t="str">
        <f t="shared" ref="M37:M68" si="10">IF(N37="ELIMINAR","ELIMINAR según origen",IF(H37="","Sin precio válido",IF(C37&lt;=0,"Sin unidades por bulto",IF(G37="","Completar precio unitario",IF(OR(G37&lt;0,G37*C37&gt;H37),"Revisar precio unitario",IF(OR(E37&lt;=0,E37&gt;O37),"Revisar bultos vs. stock","Estimado proporcional"))))))</f>
        <v>Estimado proporcional</v>
      </c>
      <c r="N37" t="s">
        <v>1839</v>
      </c>
      <c r="O37" s="18">
        <v>42.208333333299997</v>
      </c>
      <c r="P37">
        <v>1</v>
      </c>
      <c r="Q37">
        <v>51</v>
      </c>
      <c r="R37" s="6">
        <f t="shared" ref="R37:R68" si="11">IF(OR(H37="",C37&lt;=0),"",H37/C37)</f>
        <v>1397.6712916666665</v>
      </c>
    </row>
    <row r="38" spans="1:18" ht="30" customHeight="1">
      <c r="A38" s="17" t="s">
        <v>861</v>
      </c>
      <c r="B38" s="5" t="str">
        <f>IF(A38="","",IF(COUNTIF(Catalogo!$A$5:$A$905,A38)=0,"SKU no encontrado",INDEX(Catalogo!$B$5:$B$905,MATCH(A38,Catalogo!$A$5:$A$905,0))))</f>
        <v>H2OH STILL LIMON PET X6 1.500L 96 BUL</v>
      </c>
      <c r="C38">
        <f>IF(OR(A38="",B38="SKU no encontrado"),"",INDEX(Catalogo!$C$5:$C$905,MATCH(A38,Catalogo!$A$5:$A$905,0)))</f>
        <v>6</v>
      </c>
      <c r="D38" s="19">
        <v>46339</v>
      </c>
      <c r="E38" s="20">
        <v>10</v>
      </c>
      <c r="F38" s="20"/>
      <c r="G38" s="12">
        <f>+LotesTrelew[[#This Row],[Final deseado / unidad sugerido]]/1.3</f>
        <v>0</v>
      </c>
      <c r="H38" s="6">
        <f>IF(OR(A38="",B38="SKU no encontrado"),"",IF(INDEX(Catalogo!$H$5:$H$905,MATCH(A38,Catalogo!$A$5:$A$905,0))=0,"",INDEX(Catalogo!$H$5:$H$905,MATCH(A38,Catalogo!$A$5:$A$905,0))))</f>
        <v>17690.571</v>
      </c>
      <c r="I38" s="13">
        <f t="shared" si="6"/>
        <v>1</v>
      </c>
      <c r="J38" s="6">
        <f t="shared" si="7"/>
        <v>17690.571</v>
      </c>
      <c r="K38" s="6">
        <f t="shared" si="8"/>
        <v>176905.71</v>
      </c>
      <c r="L38" s="6">
        <f t="shared" si="9"/>
        <v>0</v>
      </c>
      <c r="M38" t="str">
        <f t="shared" si="10"/>
        <v>Estimado proporcional</v>
      </c>
      <c r="N38" t="s">
        <v>1839</v>
      </c>
      <c r="O38" s="18">
        <v>10</v>
      </c>
      <c r="P38">
        <v>1</v>
      </c>
      <c r="Q38">
        <v>54</v>
      </c>
      <c r="R38" s="6">
        <f t="shared" si="11"/>
        <v>2948.4285</v>
      </c>
    </row>
    <row r="39" spans="1:18" ht="30" customHeight="1">
      <c r="A39" s="17" t="s">
        <v>869</v>
      </c>
      <c r="B39" s="5" t="str">
        <f>IF(A39="","",IF(COUNTIF(Catalogo!$A$5:$A$905,A39)=0,"SKU no encontrado",INDEX(Catalogo!$B$5:$B$905,MATCH(A39,Catalogo!$A$5:$A$905,0))))</f>
        <v>7UP PET X6 1500CC NF 2024</v>
      </c>
      <c r="C39">
        <f>IF(OR(A39="",B39="SKU no encontrado"),"",INDEX(Catalogo!$C$5:$C$905,MATCH(A39,Catalogo!$A$5:$A$905,0)))</f>
        <v>6</v>
      </c>
      <c r="D39" s="19">
        <v>46339</v>
      </c>
      <c r="E39" s="20">
        <v>185.8333333333</v>
      </c>
      <c r="F39" s="20"/>
      <c r="G39" s="12">
        <f>+LotesTrelew[[#This Row],[Final deseado / unidad sugerido]]/1.3</f>
        <v>0</v>
      </c>
      <c r="H39" s="6">
        <f>IF(OR(A39="",B39="SKU no encontrado"),"",IF(INDEX(Catalogo!$H$5:$H$905,MATCH(A39,Catalogo!$A$5:$A$905,0))=0,"",INDEX(Catalogo!$H$5:$H$905,MATCH(A39,Catalogo!$A$5:$A$905,0))))</f>
        <v>21709.238000000001</v>
      </c>
      <c r="I39" s="13">
        <f t="shared" si="6"/>
        <v>1</v>
      </c>
      <c r="J39" s="6">
        <f t="shared" si="7"/>
        <v>21709.238000000001</v>
      </c>
      <c r="K39" s="6">
        <f t="shared" si="8"/>
        <v>4034300.0616659434</v>
      </c>
      <c r="L39" s="6">
        <f t="shared" si="9"/>
        <v>0</v>
      </c>
      <c r="M39" t="str">
        <f t="shared" si="10"/>
        <v>Estimado proporcional</v>
      </c>
      <c r="N39" t="s">
        <v>1839</v>
      </c>
      <c r="O39" s="18">
        <v>185.8333333333</v>
      </c>
      <c r="P39">
        <v>1</v>
      </c>
      <c r="Q39">
        <v>58</v>
      </c>
      <c r="R39" s="6">
        <f t="shared" si="11"/>
        <v>3618.2063333333335</v>
      </c>
    </row>
    <row r="40" spans="1:18" ht="30" customHeight="1">
      <c r="A40" s="17" t="s">
        <v>889</v>
      </c>
      <c r="B40" s="5" t="str">
        <f>IF(A40="","",IF(COUNTIF(Catalogo!$A$5:$A$905,A40)=0,"SKU no encontrado",INDEX(Catalogo!$B$5:$B$905,MATCH(A40,Catalogo!$A$5:$A$905,0))))</f>
        <v>QUILMES 0.0 2.0 CAN 4X6 473CC</v>
      </c>
      <c r="C40">
        <f>IF(OR(A40="",B40="SKU no encontrado"),"",INDEX(Catalogo!$C$5:$C$905,MATCH(A40,Catalogo!$A$5:$A$905,0)))</f>
        <v>24</v>
      </c>
      <c r="D40" s="19">
        <v>46340</v>
      </c>
      <c r="E40" s="20">
        <v>64.875</v>
      </c>
      <c r="F40" s="20"/>
      <c r="G40" s="12">
        <f>+LotesTrelew[[#This Row],[Final deseado / unidad sugerido]]/1.3</f>
        <v>0</v>
      </c>
      <c r="H40" s="6">
        <f>IF(OR(A40="",B40="SKU no encontrado"),"",IF(INDEX(Catalogo!$H$5:$H$905,MATCH(A40,Catalogo!$A$5:$A$905,0))=0,"",INDEX(Catalogo!$H$5:$H$905,MATCH(A40,Catalogo!$A$5:$A$905,0))))</f>
        <v>34943.163</v>
      </c>
      <c r="I40" s="13">
        <f t="shared" si="6"/>
        <v>1</v>
      </c>
      <c r="J40" s="6">
        <f t="shared" si="7"/>
        <v>34943.163</v>
      </c>
      <c r="K40" s="6">
        <f t="shared" si="8"/>
        <v>2266937.6996249999</v>
      </c>
      <c r="L40" s="6">
        <f t="shared" si="9"/>
        <v>0</v>
      </c>
      <c r="M40" t="str">
        <f t="shared" si="10"/>
        <v>Estimado proporcional</v>
      </c>
      <c r="N40" t="s">
        <v>1839</v>
      </c>
      <c r="O40" s="18">
        <v>64.875</v>
      </c>
      <c r="P40">
        <v>1</v>
      </c>
      <c r="Q40">
        <v>55</v>
      </c>
      <c r="R40" s="6">
        <f t="shared" si="11"/>
        <v>1455.9651249999999</v>
      </c>
    </row>
    <row r="41" spans="1:18" ht="30" customHeight="1">
      <c r="A41" s="17" t="s">
        <v>924</v>
      </c>
      <c r="B41" s="5" t="str">
        <f>IF(A41="","",IF(COUNTIF(Catalogo!$A$5:$A$905,A41)=0,"SKU no encontrado",INDEX(Catalogo!$B$5:$B$905,MATCH(A41,Catalogo!$A$5:$A$905,0))))</f>
        <v>H2OH STILL POMELO PET X8 2000CC</v>
      </c>
      <c r="C41">
        <f>IF(OR(A41="",B41="SKU no encontrado"),"",INDEX(Catalogo!$C$5:$C$905,MATCH(A41,Catalogo!$A$5:$A$905,0)))</f>
        <v>8</v>
      </c>
      <c r="D41" s="19">
        <v>46340</v>
      </c>
      <c r="E41" s="20">
        <v>25</v>
      </c>
      <c r="F41" s="20"/>
      <c r="G41" s="12">
        <f>+LotesTrelew[[#This Row],[Final deseado / unidad sugerido]]/1.3</f>
        <v>0</v>
      </c>
      <c r="H41" s="6">
        <f>IF(OR(A41="",B41="SKU no encontrado"),"",IF(INDEX(Catalogo!$H$5:$H$905,MATCH(A41,Catalogo!$A$5:$A$905,0))=0,"",INDEX(Catalogo!$H$5:$H$905,MATCH(A41,Catalogo!$A$5:$A$905,0))))</f>
        <v>27312.145</v>
      </c>
      <c r="I41" s="13">
        <f t="shared" si="6"/>
        <v>1</v>
      </c>
      <c r="J41" s="6">
        <f t="shared" si="7"/>
        <v>27312.145</v>
      </c>
      <c r="K41" s="6">
        <f t="shared" si="8"/>
        <v>682803.625</v>
      </c>
      <c r="L41" s="6">
        <f t="shared" si="9"/>
        <v>0</v>
      </c>
      <c r="M41" t="str">
        <f t="shared" si="10"/>
        <v>Estimado proporcional</v>
      </c>
      <c r="N41" t="s">
        <v>1839</v>
      </c>
      <c r="O41" s="18">
        <v>25</v>
      </c>
      <c r="P41">
        <v>1</v>
      </c>
      <c r="Q41">
        <v>55</v>
      </c>
      <c r="R41" s="6">
        <f t="shared" si="11"/>
        <v>3414.0181250000001</v>
      </c>
    </row>
    <row r="42" spans="1:18" ht="30" customHeight="1">
      <c r="A42" s="17" t="s">
        <v>843</v>
      </c>
      <c r="B42" s="5" t="str">
        <f>IF(A42="","",IF(COUNTIF(Catalogo!$A$5:$A$905,A42)=0,"SKU no encontrado",INDEX(Catalogo!$B$5:$B$905,MATCH(A42,Catalogo!$A$5:$A$905,0))))</f>
        <v>PEPSI 70KCAL PET X6 3000CC</v>
      </c>
      <c r="C42">
        <f>IF(OR(A42="",B42="SKU no encontrado"),"",INDEX(Catalogo!$C$5:$C$905,MATCH(A42,Catalogo!$A$5:$A$905,0)))</f>
        <v>6</v>
      </c>
      <c r="D42" s="19">
        <v>46344</v>
      </c>
      <c r="E42" s="20">
        <v>36.166666666700003</v>
      </c>
      <c r="F42" s="20"/>
      <c r="G42" s="12">
        <f>+LotesTrelew[[#This Row],[Final deseado / unidad sugerido]]/1.3</f>
        <v>0</v>
      </c>
      <c r="H42" s="6">
        <f>IF(OR(A42="",B42="SKU no encontrado"),"",IF(INDEX(Catalogo!$H$5:$H$905,MATCH(A42,Catalogo!$A$5:$A$905,0))=0,"",INDEX(Catalogo!$H$5:$H$905,MATCH(A42,Catalogo!$A$5:$A$905,0))))</f>
        <v>24830.218000000001</v>
      </c>
      <c r="I42" s="13">
        <f t="shared" si="6"/>
        <v>1</v>
      </c>
      <c r="J42" s="6">
        <f t="shared" si="7"/>
        <v>24830.218000000001</v>
      </c>
      <c r="K42" s="6">
        <f t="shared" si="8"/>
        <v>898026.21766749443</v>
      </c>
      <c r="L42" s="6">
        <f t="shared" si="9"/>
        <v>0</v>
      </c>
      <c r="M42" t="str">
        <f t="shared" si="10"/>
        <v>Estimado proporcional</v>
      </c>
      <c r="N42" t="s">
        <v>1839</v>
      </c>
      <c r="O42" s="18">
        <v>36.166666666700003</v>
      </c>
      <c r="P42">
        <v>1</v>
      </c>
      <c r="Q42">
        <v>63</v>
      </c>
      <c r="R42" s="6">
        <f t="shared" si="11"/>
        <v>4138.3696666666665</v>
      </c>
    </row>
    <row r="43" spans="1:18" ht="30" customHeight="1">
      <c r="A43" s="17" t="s">
        <v>772</v>
      </c>
      <c r="B43" s="5" t="str">
        <f>IF(A43="","",IF(COUNTIF(Catalogo!$A$5:$A$905,A43)=0,"SKU no encontrado",INDEX(Catalogo!$B$5:$B$905,MATCH(A43,Catalogo!$A$5:$A$905,0))))</f>
        <v>QUILMES IPA RET X12 1000CC</v>
      </c>
      <c r="C43">
        <f>IF(OR(A43="",B43="SKU no encontrado"),"",INDEX(Catalogo!$C$5:$C$905,MATCH(A43,Catalogo!$A$5:$A$905,0)))</f>
        <v>12</v>
      </c>
      <c r="D43" s="19">
        <v>46345</v>
      </c>
      <c r="E43" s="20">
        <v>23.833333333300001</v>
      </c>
      <c r="F43" s="20"/>
      <c r="G43" s="12">
        <f>+LotesTrelew[[#This Row],[Final deseado / unidad sugerido]]/1.3</f>
        <v>0</v>
      </c>
      <c r="H43" s="6">
        <f>IF(OR(A43="",B43="SKU no encontrado"),"",IF(INDEX(Catalogo!$H$5:$H$905,MATCH(A43,Catalogo!$A$5:$A$905,0))=0,"",INDEX(Catalogo!$H$5:$H$905,MATCH(A43,Catalogo!$A$5:$A$905,0))))</f>
        <v>39858.839</v>
      </c>
      <c r="I43" s="13">
        <f t="shared" si="6"/>
        <v>1</v>
      </c>
      <c r="J43" s="6">
        <f t="shared" si="7"/>
        <v>39858.839</v>
      </c>
      <c r="K43" s="6">
        <f t="shared" si="8"/>
        <v>949968.99616533809</v>
      </c>
      <c r="L43" s="6">
        <f t="shared" si="9"/>
        <v>0</v>
      </c>
      <c r="M43" t="str">
        <f t="shared" si="10"/>
        <v>Estimado proporcional</v>
      </c>
      <c r="N43" t="s">
        <v>1839</v>
      </c>
      <c r="O43" s="18">
        <v>23.833333333300001</v>
      </c>
      <c r="P43">
        <v>1</v>
      </c>
      <c r="Q43">
        <v>60</v>
      </c>
      <c r="R43" s="6">
        <f t="shared" si="11"/>
        <v>3321.5699166666668</v>
      </c>
    </row>
    <row r="44" spans="1:18" ht="30" customHeight="1">
      <c r="A44" s="17" t="s">
        <v>875</v>
      </c>
      <c r="B44" s="5" t="str">
        <f>IF(A44="","",IF(COUNTIF(Catalogo!$A$5:$A$905,A44)=0,"SKU no encontrado",INDEX(Catalogo!$B$5:$B$905,MATCH(A44,Catalogo!$A$5:$A$905,0))))</f>
        <v>7UP FREE PET X6 1500CC 2024</v>
      </c>
      <c r="C44">
        <f>IF(OR(A44="",B44="SKU no encontrado"),"",INDEX(Catalogo!$C$5:$C$905,MATCH(A44,Catalogo!$A$5:$A$905,0)))</f>
        <v>6</v>
      </c>
      <c r="D44" s="19">
        <v>46345</v>
      </c>
      <c r="E44" s="20">
        <v>120</v>
      </c>
      <c r="F44" s="20"/>
      <c r="G44" s="12">
        <f>+LotesTrelew[[#This Row],[Final deseado / unidad sugerido]]/1.3</f>
        <v>0</v>
      </c>
      <c r="H44" s="6">
        <f>IF(OR(A44="",B44="SKU no encontrado"),"",IF(INDEX(Catalogo!$H$5:$H$905,MATCH(A44,Catalogo!$A$5:$A$905,0))=0,"",INDEX(Catalogo!$H$5:$H$905,MATCH(A44,Catalogo!$A$5:$A$905,0))))</f>
        <v>21709.238000000001</v>
      </c>
      <c r="I44" s="13">
        <f t="shared" si="6"/>
        <v>1</v>
      </c>
      <c r="J44" s="6">
        <f t="shared" si="7"/>
        <v>21709.238000000001</v>
      </c>
      <c r="K44" s="6">
        <f t="shared" si="8"/>
        <v>2605108.56</v>
      </c>
      <c r="L44" s="6">
        <f t="shared" si="9"/>
        <v>0</v>
      </c>
      <c r="M44" t="str">
        <f t="shared" si="10"/>
        <v>Estimado proporcional</v>
      </c>
      <c r="N44" t="s">
        <v>1839</v>
      </c>
      <c r="O44" s="18">
        <v>120</v>
      </c>
      <c r="P44">
        <v>2</v>
      </c>
      <c r="Q44">
        <v>60</v>
      </c>
      <c r="R44" s="6">
        <f t="shared" si="11"/>
        <v>3618.2063333333335</v>
      </c>
    </row>
    <row r="45" spans="1:18" ht="30" customHeight="1">
      <c r="A45" s="17" t="s">
        <v>851</v>
      </c>
      <c r="B45" s="5" t="str">
        <f>IF(A45="","",IF(COUNTIF(Catalogo!$A$5:$A$905,A45)=0,"SKU no encontrado",INDEX(Catalogo!$B$5:$B$905,MATCH(A45,Catalogo!$A$5:$A$905,0))))</f>
        <v>PEPSI BLACK PET X6 1.500CC 2024</v>
      </c>
      <c r="C45">
        <f>IF(OR(A45="",B45="SKU no encontrado"),"",INDEX(Catalogo!$C$5:$C$905,MATCH(A45,Catalogo!$A$5:$A$905,0)))</f>
        <v>6</v>
      </c>
      <c r="D45" s="19">
        <v>46346</v>
      </c>
      <c r="E45" s="20">
        <v>32</v>
      </c>
      <c r="F45" s="20"/>
      <c r="G45" s="12">
        <f>+LotesTrelew[[#This Row],[Final deseado / unidad sugerido]]/1.3</f>
        <v>0</v>
      </c>
      <c r="H45" s="6">
        <f>IF(OR(A45="",B45="SKU no encontrado"),"",IF(INDEX(Catalogo!$H$5:$H$905,MATCH(A45,Catalogo!$A$5:$A$905,0))=0,"",INDEX(Catalogo!$H$5:$H$905,MATCH(A45,Catalogo!$A$5:$A$905,0))))</f>
        <v>21357.339</v>
      </c>
      <c r="I45" s="13">
        <f t="shared" si="6"/>
        <v>1</v>
      </c>
      <c r="J45" s="6">
        <f t="shared" si="7"/>
        <v>21357.339</v>
      </c>
      <c r="K45" s="6">
        <f t="shared" si="8"/>
        <v>683434.848</v>
      </c>
      <c r="L45" s="6">
        <f t="shared" si="9"/>
        <v>0</v>
      </c>
      <c r="M45" t="str">
        <f t="shared" si="10"/>
        <v>Estimado proporcional</v>
      </c>
      <c r="N45" t="s">
        <v>1839</v>
      </c>
      <c r="O45" s="18">
        <v>32</v>
      </c>
      <c r="P45">
        <v>1</v>
      </c>
      <c r="Q45">
        <v>61</v>
      </c>
      <c r="R45" s="6">
        <f t="shared" si="11"/>
        <v>3559.5565000000001</v>
      </c>
    </row>
    <row r="46" spans="1:18" ht="30" customHeight="1">
      <c r="A46" s="17" t="s">
        <v>859</v>
      </c>
      <c r="B46" s="5" t="str">
        <f>IF(A46="","",IF(COUNTIF(Catalogo!$A$5:$A$905,A46)=0,"SKU no encontrado",INDEX(Catalogo!$B$5:$B$905,MATCH(A46,Catalogo!$A$5:$A$905,0))))</f>
        <v>H2OH STILL POMELO PET X6 1.500L 96 BUL</v>
      </c>
      <c r="C46">
        <f>IF(OR(A46="",B46="SKU no encontrado"),"",INDEX(Catalogo!$C$5:$C$905,MATCH(A46,Catalogo!$A$5:$A$905,0)))</f>
        <v>6</v>
      </c>
      <c r="D46" s="19">
        <v>46349</v>
      </c>
      <c r="E46" s="20">
        <v>0.83333333330000003</v>
      </c>
      <c r="F46" s="20"/>
      <c r="G46" s="12">
        <f>+LotesTrelew[[#This Row],[Final deseado / unidad sugerido]]/1.3</f>
        <v>0</v>
      </c>
      <c r="H46" s="6">
        <f>IF(OR(A46="",B46="SKU no encontrado"),"",IF(INDEX(Catalogo!$H$5:$H$905,MATCH(A46,Catalogo!$A$5:$A$905,0))=0,"",INDEX(Catalogo!$H$5:$H$905,MATCH(A46,Catalogo!$A$5:$A$905,0))))</f>
        <v>17690.571</v>
      </c>
      <c r="I46" s="13">
        <f t="shared" si="6"/>
        <v>1</v>
      </c>
      <c r="J46" s="6">
        <f t="shared" si="7"/>
        <v>17690.571</v>
      </c>
      <c r="K46" s="6">
        <f t="shared" si="8"/>
        <v>14742.142499410314</v>
      </c>
      <c r="L46" s="6">
        <f t="shared" si="9"/>
        <v>0</v>
      </c>
      <c r="M46" t="str">
        <f t="shared" si="10"/>
        <v>Estimado proporcional</v>
      </c>
      <c r="N46" t="s">
        <v>1839</v>
      </c>
      <c r="O46" s="18">
        <v>0.83333333330000003</v>
      </c>
      <c r="P46">
        <v>1</v>
      </c>
      <c r="Q46">
        <v>64</v>
      </c>
      <c r="R46" s="6">
        <f t="shared" si="11"/>
        <v>2948.4285</v>
      </c>
    </row>
    <row r="47" spans="1:18" ht="30" customHeight="1">
      <c r="A47" s="17" t="s">
        <v>82</v>
      </c>
      <c r="B47" s="5" t="str">
        <f>IF(A47="","",IF(COUNTIF(Catalogo!$A$5:$A$905,A47)=0,"SKU no encontrado",INDEX(Catalogo!$B$5:$B$905,MATCH(A47,Catalogo!$A$5:$A$905,0))))</f>
        <v>GATORADE NARANJA * X6 PET 500</v>
      </c>
      <c r="C47">
        <f>IF(OR(A47="",B47="SKU no encontrado"),"",INDEX(Catalogo!$C$5:$C$905,MATCH(A47,Catalogo!$A$5:$A$905,0)))</f>
        <v>6</v>
      </c>
      <c r="D47" s="19">
        <v>46350</v>
      </c>
      <c r="E47" s="20">
        <v>21</v>
      </c>
      <c r="F47" s="20"/>
      <c r="G47" s="12">
        <f>+LotesTrelew[[#This Row],[Final deseado / unidad sugerido]]/1.3</f>
        <v>0</v>
      </c>
      <c r="H47" s="6">
        <f>IF(OR(A47="",B47="SKU no encontrado"),"",IF(INDEX(Catalogo!$H$5:$H$905,MATCH(A47,Catalogo!$A$5:$A$905,0))=0,"",INDEX(Catalogo!$H$5:$H$905,MATCH(A47,Catalogo!$A$5:$A$905,0))))</f>
        <v>12591.147000000001</v>
      </c>
      <c r="I47" s="13">
        <f t="shared" si="6"/>
        <v>1</v>
      </c>
      <c r="J47" s="6">
        <f t="shared" si="7"/>
        <v>12591.147000000001</v>
      </c>
      <c r="K47" s="6">
        <f t="shared" si="8"/>
        <v>264414.087</v>
      </c>
      <c r="L47" s="6">
        <f t="shared" si="9"/>
        <v>0</v>
      </c>
      <c r="M47" t="str">
        <f t="shared" si="10"/>
        <v>Estimado proporcional</v>
      </c>
      <c r="N47" t="s">
        <v>1839</v>
      </c>
      <c r="O47" s="18">
        <v>21</v>
      </c>
      <c r="P47">
        <v>1</v>
      </c>
      <c r="Q47">
        <v>65</v>
      </c>
      <c r="R47" s="6">
        <f t="shared" si="11"/>
        <v>2098.5245</v>
      </c>
    </row>
    <row r="48" spans="1:18" ht="30" customHeight="1">
      <c r="A48" s="17" t="s">
        <v>663</v>
      </c>
      <c r="B48" s="5" t="str">
        <f>IF(A48="","",IF(COUNTIF(Catalogo!$A$5:$A$905,A48)=0,"SKU no encontrado",INDEX(Catalogo!$B$5:$B$905,MATCH(A48,Catalogo!$A$5:$A$905,0))))</f>
        <v>STELLA ARTOIS PM OW 4X6 330CC</v>
      </c>
      <c r="C48">
        <f>IF(OR(A48="",B48="SKU no encontrado"),"",INDEX(Catalogo!$C$5:$C$905,MATCH(A48,Catalogo!$A$5:$A$905,0)))</f>
        <v>24</v>
      </c>
      <c r="D48" s="19">
        <v>46350</v>
      </c>
      <c r="E48" s="20">
        <v>41.833333333299997</v>
      </c>
      <c r="F48" s="20"/>
      <c r="G48" s="12">
        <f>+LotesTrelew[[#This Row],[Final deseado / unidad sugerido]]/1.3</f>
        <v>0</v>
      </c>
      <c r="H48" s="6">
        <f>IF(OR(A48="",B48="SKU no encontrado"),"",IF(INDEX(Catalogo!$H$5:$H$905,MATCH(A48,Catalogo!$A$5:$A$905,0))=0,"",INDEX(Catalogo!$H$5:$H$905,MATCH(A48,Catalogo!$A$5:$A$905,0))))</f>
        <v>68154.698999999993</v>
      </c>
      <c r="I48" s="13">
        <f t="shared" si="6"/>
        <v>1</v>
      </c>
      <c r="J48" s="6">
        <f t="shared" si="7"/>
        <v>68154.698999999993</v>
      </c>
      <c r="K48" s="6">
        <f t="shared" si="8"/>
        <v>2851138.2414977276</v>
      </c>
      <c r="L48" s="6">
        <f t="shared" si="9"/>
        <v>0</v>
      </c>
      <c r="M48" t="str">
        <f t="shared" si="10"/>
        <v>Estimado proporcional</v>
      </c>
      <c r="N48" t="s">
        <v>1839</v>
      </c>
      <c r="O48" s="18">
        <v>41.833333333299997</v>
      </c>
      <c r="P48">
        <v>1</v>
      </c>
      <c r="Q48">
        <v>65</v>
      </c>
      <c r="R48" s="6">
        <f t="shared" si="11"/>
        <v>2839.7791249999996</v>
      </c>
    </row>
    <row r="49" spans="1:18" ht="30" customHeight="1">
      <c r="A49" s="17" t="s">
        <v>840</v>
      </c>
      <c r="B49" s="5" t="str">
        <f>IF(A49="","",IF(COUNTIF(Catalogo!$A$5:$A$905,A49)=0,"SKU no encontrado",INDEX(Catalogo!$B$5:$B$905,MATCH(A49,Catalogo!$A$5:$A$905,0))))</f>
        <v>PEPSI 70KCAL PET X6 1500CC</v>
      </c>
      <c r="C49">
        <f>IF(OR(A49="",B49="SKU no encontrado"),"",INDEX(Catalogo!$C$5:$C$905,MATCH(A49,Catalogo!$A$5:$A$905,0)))</f>
        <v>6</v>
      </c>
      <c r="D49" s="19">
        <v>46351</v>
      </c>
      <c r="E49" s="20">
        <v>614</v>
      </c>
      <c r="F49" s="20"/>
      <c r="G49" s="12">
        <f>+LotesTrelew[[#This Row],[Final deseado / unidad sugerido]]/1.3</f>
        <v>0</v>
      </c>
      <c r="H49" s="6">
        <f>IF(OR(A49="",B49="SKU no encontrado"),"",IF(INDEX(Catalogo!$H$5:$H$905,MATCH(A49,Catalogo!$A$5:$A$905,0))=0,"",INDEX(Catalogo!$H$5:$H$905,MATCH(A49,Catalogo!$A$5:$A$905,0))))</f>
        <v>21357.339</v>
      </c>
      <c r="I49" s="13">
        <f t="shared" si="6"/>
        <v>1</v>
      </c>
      <c r="J49" s="6">
        <f t="shared" si="7"/>
        <v>21357.339</v>
      </c>
      <c r="K49" s="6">
        <f t="shared" si="8"/>
        <v>13113406.146</v>
      </c>
      <c r="L49" s="6">
        <f t="shared" si="9"/>
        <v>0</v>
      </c>
      <c r="M49" t="str">
        <f t="shared" si="10"/>
        <v>Estimado proporcional</v>
      </c>
      <c r="N49" t="s">
        <v>1839</v>
      </c>
      <c r="O49" s="18">
        <v>614</v>
      </c>
      <c r="P49">
        <v>1</v>
      </c>
      <c r="Q49">
        <v>70</v>
      </c>
      <c r="R49" s="6">
        <f t="shared" si="11"/>
        <v>3559.5565000000001</v>
      </c>
    </row>
    <row r="50" spans="1:18" ht="30" customHeight="1">
      <c r="A50" s="17" t="s">
        <v>57</v>
      </c>
      <c r="B50" s="5" t="str">
        <f>IF(A50="","",IF(COUNTIF(Catalogo!$A$5:$A$905,A50)=0,"SKU no encontrado",INDEX(Catalogo!$B$5:$B$905,MATCH(A50,Catalogo!$A$5:$A$905,0))))</f>
        <v>PEPSI 70KCAL PET X8 2000CC</v>
      </c>
      <c r="C50">
        <f>IF(OR(A50="",B50="SKU no encontrado"),"",INDEX(Catalogo!$C$5:$C$905,MATCH(A50,Catalogo!$A$5:$A$905,0)))</f>
        <v>8</v>
      </c>
      <c r="D50" s="19">
        <v>46351</v>
      </c>
      <c r="E50" s="20">
        <v>352</v>
      </c>
      <c r="F50" s="20"/>
      <c r="G50" s="12">
        <f>+LotesTrelew[[#This Row],[Final deseado / unidad sugerido]]/1.3</f>
        <v>0</v>
      </c>
      <c r="H50" s="6">
        <f>IF(OR(A50="",B50="SKU no encontrado"),"",IF(INDEX(Catalogo!$H$5:$H$905,MATCH(A50,Catalogo!$A$5:$A$905,0))=0,"",INDEX(Catalogo!$H$5:$H$905,MATCH(A50,Catalogo!$A$5:$A$905,0))))</f>
        <v>29656.170999999998</v>
      </c>
      <c r="I50" s="13">
        <f t="shared" si="6"/>
        <v>1</v>
      </c>
      <c r="J50" s="6">
        <f t="shared" si="7"/>
        <v>29656.170999999998</v>
      </c>
      <c r="K50" s="6">
        <f t="shared" si="8"/>
        <v>10438972.192</v>
      </c>
      <c r="L50" s="6">
        <f t="shared" si="9"/>
        <v>0</v>
      </c>
      <c r="M50" t="str">
        <f t="shared" si="10"/>
        <v>Estimado proporcional</v>
      </c>
      <c r="N50" t="s">
        <v>1839</v>
      </c>
      <c r="O50" s="18">
        <v>352</v>
      </c>
      <c r="P50">
        <v>1</v>
      </c>
      <c r="Q50">
        <v>70</v>
      </c>
      <c r="R50" s="6">
        <f t="shared" si="11"/>
        <v>3707.0213749999998</v>
      </c>
    </row>
    <row r="51" spans="1:18" ht="30" customHeight="1">
      <c r="A51" s="17" t="s">
        <v>328</v>
      </c>
      <c r="B51" s="5" t="str">
        <f>IF(A51="","",IF(COUNTIF(Catalogo!$A$5:$A$905,A51)=0,"SKU no encontrado",INDEX(Catalogo!$B$5:$B$905,MATCH(A51,Catalogo!$A$5:$A$905,0))))</f>
        <v>MIRINDA NARANJA * X6 PET1500#</v>
      </c>
      <c r="C51">
        <f>IF(OR(A51="",B51="SKU no encontrado"),"",INDEX(Catalogo!$C$5:$C$905,MATCH(A51,Catalogo!$A$5:$A$905,0)))</f>
        <v>6</v>
      </c>
      <c r="D51" s="19">
        <v>46353</v>
      </c>
      <c r="E51" s="20">
        <v>40</v>
      </c>
      <c r="F51" s="20"/>
      <c r="G51" s="12">
        <f>+LotesTrelew[[#This Row],[Final deseado / unidad sugerido]]/1.3</f>
        <v>0</v>
      </c>
      <c r="H51" s="6">
        <f>IF(OR(A51="",B51="SKU no encontrado"),"",IF(INDEX(Catalogo!$H$5:$H$905,MATCH(A51,Catalogo!$A$5:$A$905,0))=0,"",INDEX(Catalogo!$H$5:$H$905,MATCH(A51,Catalogo!$A$5:$A$905,0))))</f>
        <v>13692.566999999999</v>
      </c>
      <c r="I51" s="13">
        <f t="shared" si="6"/>
        <v>1</v>
      </c>
      <c r="J51" s="6">
        <f t="shared" si="7"/>
        <v>13692.566999999999</v>
      </c>
      <c r="K51" s="6">
        <f t="shared" si="8"/>
        <v>547702.67999999993</v>
      </c>
      <c r="L51" s="6">
        <f t="shared" si="9"/>
        <v>0</v>
      </c>
      <c r="M51" t="str">
        <f t="shared" si="10"/>
        <v>Estimado proporcional</v>
      </c>
      <c r="N51" t="s">
        <v>1839</v>
      </c>
      <c r="O51" s="18">
        <v>40</v>
      </c>
      <c r="P51">
        <v>1</v>
      </c>
      <c r="Q51">
        <v>68</v>
      </c>
      <c r="R51" s="6">
        <f t="shared" si="11"/>
        <v>2282.0944999999997</v>
      </c>
    </row>
    <row r="52" spans="1:18" ht="30" customHeight="1">
      <c r="A52" s="17" t="s">
        <v>857</v>
      </c>
      <c r="B52" s="5" t="str">
        <f>IF(A52="","",IF(COUNTIF(Catalogo!$A$5:$A$905,A52)=0,"SKU no encontrado",INDEX(Catalogo!$B$5:$B$905,MATCH(A52,Catalogo!$A$5:$A$905,0))))</f>
        <v>H2OH STILL MANZANA PET X6 1.500L 96 BUL</v>
      </c>
      <c r="C52">
        <f>IF(OR(A52="",B52="SKU no encontrado"),"",INDEX(Catalogo!$C$5:$C$905,MATCH(A52,Catalogo!$A$5:$A$905,0)))</f>
        <v>6</v>
      </c>
      <c r="D52" s="19">
        <v>46353</v>
      </c>
      <c r="E52" s="20">
        <v>49</v>
      </c>
      <c r="F52" s="20"/>
      <c r="G52" s="12">
        <f>+LotesTrelew[[#This Row],[Final deseado / unidad sugerido]]/1.3</f>
        <v>0</v>
      </c>
      <c r="H52" s="6">
        <f>IF(OR(A52="",B52="SKU no encontrado"),"",IF(INDEX(Catalogo!$H$5:$H$905,MATCH(A52,Catalogo!$A$5:$A$905,0))=0,"",INDEX(Catalogo!$H$5:$H$905,MATCH(A52,Catalogo!$A$5:$A$905,0))))</f>
        <v>17690.571</v>
      </c>
      <c r="I52" s="13">
        <f t="shared" si="6"/>
        <v>1</v>
      </c>
      <c r="J52" s="6">
        <f t="shared" si="7"/>
        <v>17690.571</v>
      </c>
      <c r="K52" s="6">
        <f t="shared" si="8"/>
        <v>866837.97900000005</v>
      </c>
      <c r="L52" s="6">
        <f t="shared" si="9"/>
        <v>0</v>
      </c>
      <c r="M52" t="str">
        <f t="shared" si="10"/>
        <v>Estimado proporcional</v>
      </c>
      <c r="N52" t="s">
        <v>1839</v>
      </c>
      <c r="O52" s="18">
        <v>49</v>
      </c>
      <c r="P52">
        <v>1</v>
      </c>
      <c r="Q52">
        <v>68</v>
      </c>
      <c r="R52" s="6">
        <f t="shared" si="11"/>
        <v>2948.4285</v>
      </c>
    </row>
    <row r="53" spans="1:18" ht="30" customHeight="1">
      <c r="A53" s="17" t="s">
        <v>814</v>
      </c>
      <c r="B53" s="5" t="str">
        <f>IF(A53="","",IF(COUNTIF(Catalogo!$A$5:$A$905,A53)=0,"SKU no encontrado",INDEX(Catalogo!$B$5:$B$905,MATCH(A53,Catalogo!$A$5:$A$905,0))))</f>
        <v>H2OH STILL LIMON PET X6 500CC</v>
      </c>
      <c r="C53">
        <f>IF(OR(A53="",B53="SKU no encontrado"),"",INDEX(Catalogo!$C$5:$C$905,MATCH(A53,Catalogo!$A$5:$A$905,0)))</f>
        <v>6</v>
      </c>
      <c r="D53" s="19">
        <v>46355</v>
      </c>
      <c r="E53" s="20">
        <v>95</v>
      </c>
      <c r="F53" s="20"/>
      <c r="G53" s="12">
        <f>+LotesTrelew[[#This Row],[Final deseado / unidad sugerido]]/1.3</f>
        <v>0</v>
      </c>
      <c r="H53" s="6">
        <f>IF(OR(A53="",B53="SKU no encontrado"),"",IF(INDEX(Catalogo!$H$5:$H$905,MATCH(A53,Catalogo!$A$5:$A$905,0))=0,"",INDEX(Catalogo!$H$5:$H$905,MATCH(A53,Catalogo!$A$5:$A$905,0))))</f>
        <v>8378.4660000000003</v>
      </c>
      <c r="I53" s="13">
        <f t="shared" si="6"/>
        <v>1</v>
      </c>
      <c r="J53" s="6">
        <f t="shared" si="7"/>
        <v>8378.4660000000003</v>
      </c>
      <c r="K53" s="6">
        <f t="shared" si="8"/>
        <v>795954.27</v>
      </c>
      <c r="L53" s="6">
        <f t="shared" si="9"/>
        <v>0</v>
      </c>
      <c r="M53" t="str">
        <f t="shared" si="10"/>
        <v>Estimado proporcional</v>
      </c>
      <c r="N53" t="s">
        <v>1839</v>
      </c>
      <c r="O53" s="18">
        <v>95</v>
      </c>
      <c r="P53">
        <v>1</v>
      </c>
      <c r="Q53">
        <v>70</v>
      </c>
      <c r="R53" s="6">
        <f t="shared" si="11"/>
        <v>1396.4110000000001</v>
      </c>
    </row>
    <row r="54" spans="1:18" ht="30" customHeight="1">
      <c r="A54" s="17" t="s">
        <v>1030</v>
      </c>
      <c r="B54" s="5" t="str">
        <f>IF(A54="","",IF(COUNTIF(Catalogo!$A$5:$A$905,A54)=0,"SKU no encontrado",INDEX(Catalogo!$B$5:$B$905,MATCH(A54,Catalogo!$A$5:$A$905,0))))</f>
        <v>MICHELOB ULTRA OW 4X6 275CC EXP</v>
      </c>
      <c r="C54">
        <f>IF(OR(A54="",B54="SKU no encontrado"),"",INDEX(Catalogo!$C$5:$C$905,MATCH(A54,Catalogo!$A$5:$A$905,0)))</f>
        <v>24</v>
      </c>
      <c r="D54" s="19">
        <v>46356</v>
      </c>
      <c r="E54" s="20">
        <v>87.625</v>
      </c>
      <c r="F54" s="20"/>
      <c r="G54" s="12">
        <f>+LotesTrelew[[#This Row],[Final deseado / unidad sugerido]]/1.3</f>
        <v>0</v>
      </c>
      <c r="H54" s="6">
        <f>IF(OR(A54="",B54="SKU no encontrado"),"",IF(INDEX(Catalogo!$H$5:$H$905,MATCH(A54,Catalogo!$A$5:$A$905,0))=0,"",INDEX(Catalogo!$H$5:$H$905,MATCH(A54,Catalogo!$A$5:$A$905,0))))</f>
        <v>53812.391000000003</v>
      </c>
      <c r="I54" s="13">
        <f t="shared" si="6"/>
        <v>1</v>
      </c>
      <c r="J54" s="6">
        <f t="shared" si="7"/>
        <v>53812.391000000003</v>
      </c>
      <c r="K54" s="6">
        <f t="shared" si="8"/>
        <v>4715310.7613750007</v>
      </c>
      <c r="L54" s="6">
        <f t="shared" si="9"/>
        <v>0</v>
      </c>
      <c r="M54" t="str">
        <f t="shared" si="10"/>
        <v>Estimado proporcional</v>
      </c>
      <c r="N54" t="s">
        <v>1839</v>
      </c>
      <c r="O54" s="18">
        <v>87.625</v>
      </c>
      <c r="P54">
        <v>1</v>
      </c>
      <c r="Q54">
        <v>71</v>
      </c>
      <c r="R54" s="6">
        <f t="shared" si="11"/>
        <v>2242.1829583333333</v>
      </c>
    </row>
    <row r="55" spans="1:18" ht="30" customHeight="1">
      <c r="A55" s="17" t="s">
        <v>849</v>
      </c>
      <c r="B55" s="5" t="str">
        <f>IF(A55="","",IF(COUNTIF(Catalogo!$A$5:$A$905,A55)=0,"SKU no encontrado",INDEX(Catalogo!$B$5:$B$905,MATCH(A55,Catalogo!$A$5:$A$905,0))))</f>
        <v>PEPSI BLACK PET X8 2.000CC 2024</v>
      </c>
      <c r="C55">
        <f>IF(OR(A55="",B55="SKU no encontrado"),"",INDEX(Catalogo!$C$5:$C$905,MATCH(A55,Catalogo!$A$5:$A$905,0)))</f>
        <v>8</v>
      </c>
      <c r="D55" s="19">
        <v>46358</v>
      </c>
      <c r="E55" s="20">
        <v>240</v>
      </c>
      <c r="F55" s="20"/>
      <c r="G55" s="12">
        <f>+LotesTrelew[[#This Row],[Final deseado / unidad sugerido]]/1.3</f>
        <v>0</v>
      </c>
      <c r="H55" s="6">
        <f>IF(OR(A55="",B55="SKU no encontrado"),"",IF(INDEX(Catalogo!$H$5:$H$905,MATCH(A55,Catalogo!$A$5:$A$905,0))=0,"",INDEX(Catalogo!$H$5:$H$905,MATCH(A55,Catalogo!$A$5:$A$905,0))))</f>
        <v>29656.170999999998</v>
      </c>
      <c r="I55" s="13">
        <f t="shared" si="6"/>
        <v>1</v>
      </c>
      <c r="J55" s="6">
        <f t="shared" si="7"/>
        <v>29656.170999999998</v>
      </c>
      <c r="K55" s="6">
        <f t="shared" si="8"/>
        <v>7117481.04</v>
      </c>
      <c r="L55" s="6">
        <f t="shared" si="9"/>
        <v>0</v>
      </c>
      <c r="M55" t="str">
        <f t="shared" si="10"/>
        <v>Estimado proporcional</v>
      </c>
      <c r="N55" t="s">
        <v>1839</v>
      </c>
      <c r="O55" s="18">
        <v>240</v>
      </c>
      <c r="P55">
        <v>2</v>
      </c>
      <c r="Q55">
        <v>73</v>
      </c>
      <c r="R55" s="6">
        <f t="shared" si="11"/>
        <v>3707.0213749999998</v>
      </c>
    </row>
    <row r="56" spans="1:18" ht="30" customHeight="1">
      <c r="A56" s="17" t="s">
        <v>674</v>
      </c>
      <c r="B56" s="5" t="str">
        <f>IF(A56="","",IF(COUNTIF(Catalogo!$A$5:$A$905,A56)=0,"SKU no encontrado",INDEX(Catalogo!$B$5:$B$905,MATCH(A56,Catalogo!$A$5:$A$905,0))))</f>
        <v>MIRINDA NARANJA PET X6 500CC</v>
      </c>
      <c r="C56">
        <f>IF(OR(A56="",B56="SKU no encontrado"),"",INDEX(Catalogo!$C$5:$C$905,MATCH(A56,Catalogo!$A$5:$A$905,0)))</f>
        <v>6</v>
      </c>
      <c r="D56" s="19">
        <v>46359</v>
      </c>
      <c r="E56" s="20">
        <v>336</v>
      </c>
      <c r="F56" s="20"/>
      <c r="G56" s="12">
        <f>+LotesTrelew[[#This Row],[Final deseado / unidad sugerido]]/1.3</f>
        <v>0</v>
      </c>
      <c r="H56" s="6">
        <f>IF(OR(A56="",B56="SKU no encontrado"),"",IF(INDEX(Catalogo!$H$5:$H$905,MATCH(A56,Catalogo!$A$5:$A$905,0))=0,"",INDEX(Catalogo!$H$5:$H$905,MATCH(A56,Catalogo!$A$5:$A$905,0))))</f>
        <v>10239.912</v>
      </c>
      <c r="I56" s="13">
        <f t="shared" si="6"/>
        <v>1</v>
      </c>
      <c r="J56" s="6">
        <f t="shared" si="7"/>
        <v>10239.912</v>
      </c>
      <c r="K56" s="6">
        <f t="shared" si="8"/>
        <v>3440610.432</v>
      </c>
      <c r="L56" s="6">
        <f t="shared" si="9"/>
        <v>0</v>
      </c>
      <c r="M56" t="str">
        <f t="shared" si="10"/>
        <v>Estimado proporcional</v>
      </c>
      <c r="N56" t="s">
        <v>1839</v>
      </c>
      <c r="O56" s="18">
        <v>336</v>
      </c>
      <c r="P56">
        <v>1</v>
      </c>
      <c r="Q56">
        <v>74</v>
      </c>
      <c r="R56" s="6">
        <f t="shared" si="11"/>
        <v>1706.652</v>
      </c>
    </row>
    <row r="57" spans="1:18" ht="30" customHeight="1">
      <c r="A57" s="17" t="s">
        <v>766</v>
      </c>
      <c r="B57" s="5" t="str">
        <f>IF(A57="","",IF(COUNTIF(Catalogo!$A$5:$A$905,A57)=0,"SKU no encontrado",INDEX(Catalogo!$B$5:$B$905,MATCH(A57,Catalogo!$A$5:$A$905,0))))</f>
        <v>BUDWEISER CAN 4X4 710CC</v>
      </c>
      <c r="C57">
        <f>IF(OR(A57="",B57="SKU no encontrado"),"",INDEX(Catalogo!$C$5:$C$905,MATCH(A57,Catalogo!$A$5:$A$905,0)))</f>
        <v>16</v>
      </c>
      <c r="D57" s="19">
        <v>46361</v>
      </c>
      <c r="E57" s="20">
        <v>381</v>
      </c>
      <c r="F57" s="20"/>
      <c r="G57" s="12">
        <f>+LotesTrelew[[#This Row],[Final deseado / unidad sugerido]]/1.3</f>
        <v>0</v>
      </c>
      <c r="H57" s="6">
        <f>IF(OR(A57="",B57="SKU no encontrado"),"",IF(INDEX(Catalogo!$H$5:$H$905,MATCH(A57,Catalogo!$A$5:$A$905,0))=0,"",INDEX(Catalogo!$H$5:$H$905,MATCH(A57,Catalogo!$A$5:$A$905,0))))</f>
        <v>47124.735000000001</v>
      </c>
      <c r="I57" s="13">
        <f t="shared" si="6"/>
        <v>1</v>
      </c>
      <c r="J57" s="6">
        <f t="shared" si="7"/>
        <v>47124.735000000001</v>
      </c>
      <c r="K57" s="6">
        <f t="shared" si="8"/>
        <v>17954524.035</v>
      </c>
      <c r="L57" s="6">
        <f t="shared" si="9"/>
        <v>0</v>
      </c>
      <c r="M57" t="str">
        <f t="shared" si="10"/>
        <v>Estimado proporcional</v>
      </c>
      <c r="N57" t="s">
        <v>1839</v>
      </c>
      <c r="O57" s="18">
        <v>381</v>
      </c>
      <c r="P57">
        <v>2</v>
      </c>
      <c r="Q57">
        <v>76</v>
      </c>
      <c r="R57" s="6">
        <f t="shared" si="11"/>
        <v>2945.2959375</v>
      </c>
    </row>
    <row r="58" spans="1:18" ht="30" customHeight="1">
      <c r="A58" s="17" t="s">
        <v>840</v>
      </c>
      <c r="B58" s="5" t="str">
        <f>IF(A58="","",IF(COUNTIF(Catalogo!$A$5:$A$905,A58)=0,"SKU no encontrado",INDEX(Catalogo!$B$5:$B$905,MATCH(A58,Catalogo!$A$5:$A$905,0))))</f>
        <v>PEPSI 70KCAL PET X6 1500CC</v>
      </c>
      <c r="C58">
        <f>IF(OR(A58="",B58="SKU no encontrado"),"",INDEX(Catalogo!$C$5:$C$905,MATCH(A58,Catalogo!$A$5:$A$905,0)))</f>
        <v>6</v>
      </c>
      <c r="D58" s="19">
        <v>46364</v>
      </c>
      <c r="E58" s="20">
        <v>240</v>
      </c>
      <c r="F58" s="20"/>
      <c r="G58" s="12">
        <f>+LotesTrelew[[#This Row],[Final deseado / unidad sugerido]]/1.3</f>
        <v>0</v>
      </c>
      <c r="H58" s="6">
        <f>IF(OR(A58="",B58="SKU no encontrado"),"",IF(INDEX(Catalogo!$H$5:$H$905,MATCH(A58,Catalogo!$A$5:$A$905,0))=0,"",INDEX(Catalogo!$H$5:$H$905,MATCH(A58,Catalogo!$A$5:$A$905,0))))</f>
        <v>21357.339</v>
      </c>
      <c r="I58" s="13">
        <f t="shared" si="6"/>
        <v>1</v>
      </c>
      <c r="J58" s="6">
        <f t="shared" si="7"/>
        <v>21357.339</v>
      </c>
      <c r="K58" s="6">
        <f t="shared" si="8"/>
        <v>5125761.3600000003</v>
      </c>
      <c r="L58" s="6">
        <f t="shared" si="9"/>
        <v>0</v>
      </c>
      <c r="M58" t="str">
        <f t="shared" si="10"/>
        <v>Estimado proporcional</v>
      </c>
      <c r="N58" t="s">
        <v>1839</v>
      </c>
      <c r="O58" s="18">
        <v>240</v>
      </c>
      <c r="P58">
        <v>2</v>
      </c>
      <c r="Q58">
        <v>83</v>
      </c>
      <c r="R58" s="6">
        <f t="shared" si="11"/>
        <v>3559.5565000000001</v>
      </c>
    </row>
    <row r="59" spans="1:18" ht="30" customHeight="1">
      <c r="A59" s="17" t="s">
        <v>843</v>
      </c>
      <c r="B59" s="5" t="str">
        <f>IF(A59="","",IF(COUNTIF(Catalogo!$A$5:$A$905,A59)=0,"SKU no encontrado",INDEX(Catalogo!$B$5:$B$905,MATCH(A59,Catalogo!$A$5:$A$905,0))))</f>
        <v>PEPSI 70KCAL PET X6 3000CC</v>
      </c>
      <c r="C59">
        <f>IF(OR(A59="",B59="SKU no encontrado"),"",INDEX(Catalogo!$C$5:$C$905,MATCH(A59,Catalogo!$A$5:$A$905,0)))</f>
        <v>6</v>
      </c>
      <c r="D59" s="19">
        <v>46364</v>
      </c>
      <c r="E59" s="20">
        <v>360</v>
      </c>
      <c r="F59" s="20"/>
      <c r="G59" s="12">
        <f>+LotesTrelew[[#This Row],[Final deseado / unidad sugerido]]/1.3</f>
        <v>0</v>
      </c>
      <c r="H59" s="6">
        <f>IF(OR(A59="",B59="SKU no encontrado"),"",IF(INDEX(Catalogo!$H$5:$H$905,MATCH(A59,Catalogo!$A$5:$A$905,0))=0,"",INDEX(Catalogo!$H$5:$H$905,MATCH(A59,Catalogo!$A$5:$A$905,0))))</f>
        <v>24830.218000000001</v>
      </c>
      <c r="I59" s="13">
        <f t="shared" si="6"/>
        <v>1</v>
      </c>
      <c r="J59" s="6">
        <f t="shared" si="7"/>
        <v>24830.218000000001</v>
      </c>
      <c r="K59" s="6">
        <f t="shared" si="8"/>
        <v>8938878.4800000004</v>
      </c>
      <c r="L59" s="6">
        <f t="shared" si="9"/>
        <v>0</v>
      </c>
      <c r="M59" t="str">
        <f t="shared" si="10"/>
        <v>Estimado proporcional</v>
      </c>
      <c r="N59" t="s">
        <v>1839</v>
      </c>
      <c r="O59" s="18">
        <v>360</v>
      </c>
      <c r="P59">
        <v>2</v>
      </c>
      <c r="Q59">
        <v>83</v>
      </c>
      <c r="R59" s="6">
        <f t="shared" si="11"/>
        <v>4138.3696666666665</v>
      </c>
    </row>
    <row r="60" spans="1:18" ht="30" customHeight="1">
      <c r="A60" s="17" t="s">
        <v>78</v>
      </c>
      <c r="B60" s="5" t="str">
        <f>IF(A60="","",IF(COUNTIF(Catalogo!$A$5:$A$905,A60)=0,"SKU no encontrado",INDEX(Catalogo!$B$5:$B$905,MATCH(A60,Catalogo!$A$5:$A$905,0))))</f>
        <v>MIRINDA NARANJA * X8 PET2250</v>
      </c>
      <c r="C60">
        <f>IF(OR(A60="",B60="SKU no encontrado"),"",INDEX(Catalogo!$C$5:$C$905,MATCH(A60,Catalogo!$A$5:$A$905,0)))</f>
        <v>8</v>
      </c>
      <c r="D60" s="19">
        <v>46365</v>
      </c>
      <c r="E60" s="20">
        <v>277</v>
      </c>
      <c r="F60" s="20"/>
      <c r="G60" s="12">
        <f>+LotesTrelew[[#This Row],[Final deseado / unidad sugerido]]/1.3</f>
        <v>0</v>
      </c>
      <c r="H60" s="6">
        <f>IF(OR(A60="",B60="SKU no encontrado"),"",IF(INDEX(Catalogo!$H$5:$H$905,MATCH(A60,Catalogo!$A$5:$A$905,0))=0,"",INDEX(Catalogo!$H$5:$H$905,MATCH(A60,Catalogo!$A$5:$A$905,0))))</f>
        <v>19048.438999999998</v>
      </c>
      <c r="I60" s="13">
        <f t="shared" si="6"/>
        <v>1</v>
      </c>
      <c r="J60" s="6">
        <f t="shared" si="7"/>
        <v>19048.438999999998</v>
      </c>
      <c r="K60" s="6">
        <f t="shared" si="8"/>
        <v>5276417.6029999992</v>
      </c>
      <c r="L60" s="6">
        <f t="shared" si="9"/>
        <v>0</v>
      </c>
      <c r="M60" t="str">
        <f t="shared" si="10"/>
        <v>Estimado proporcional</v>
      </c>
      <c r="N60" t="s">
        <v>1839</v>
      </c>
      <c r="O60" s="18">
        <v>277</v>
      </c>
      <c r="P60">
        <v>1</v>
      </c>
      <c r="Q60">
        <v>80</v>
      </c>
      <c r="R60" s="6">
        <f t="shared" si="11"/>
        <v>2381.0548749999998</v>
      </c>
    </row>
    <row r="61" spans="1:18" ht="30" customHeight="1">
      <c r="A61" s="17" t="s">
        <v>843</v>
      </c>
      <c r="B61" s="5" t="str">
        <f>IF(A61="","",IF(COUNTIF(Catalogo!$A$5:$A$905,A61)=0,"SKU no encontrado",INDEX(Catalogo!$B$5:$B$905,MATCH(A61,Catalogo!$A$5:$A$905,0))))</f>
        <v>PEPSI 70KCAL PET X6 3000CC</v>
      </c>
      <c r="C61">
        <f>IF(OR(A61="",B61="SKU no encontrado"),"",INDEX(Catalogo!$C$5:$C$905,MATCH(A61,Catalogo!$A$5:$A$905,0)))</f>
        <v>6</v>
      </c>
      <c r="D61" s="19">
        <v>46365</v>
      </c>
      <c r="E61" s="20">
        <v>600</v>
      </c>
      <c r="F61" s="20"/>
      <c r="G61" s="12">
        <f>+LotesTrelew[[#This Row],[Final deseado / unidad sugerido]]/1.3</f>
        <v>0</v>
      </c>
      <c r="H61" s="6">
        <f>IF(OR(A61="",B61="SKU no encontrado"),"",IF(INDEX(Catalogo!$H$5:$H$905,MATCH(A61,Catalogo!$A$5:$A$905,0))=0,"",INDEX(Catalogo!$H$5:$H$905,MATCH(A61,Catalogo!$A$5:$A$905,0))))</f>
        <v>24830.218000000001</v>
      </c>
      <c r="I61" s="13">
        <f t="shared" si="6"/>
        <v>1</v>
      </c>
      <c r="J61" s="6">
        <f t="shared" si="7"/>
        <v>24830.218000000001</v>
      </c>
      <c r="K61" s="6">
        <f t="shared" si="8"/>
        <v>14898130.800000001</v>
      </c>
      <c r="L61" s="6">
        <f t="shared" si="9"/>
        <v>0</v>
      </c>
      <c r="M61" t="str">
        <f t="shared" si="10"/>
        <v>Estimado proporcional</v>
      </c>
      <c r="N61" t="s">
        <v>1839</v>
      </c>
      <c r="O61" s="18">
        <v>600</v>
      </c>
      <c r="P61">
        <v>3</v>
      </c>
      <c r="Q61">
        <v>84</v>
      </c>
      <c r="R61" s="6">
        <f t="shared" si="11"/>
        <v>4138.3696666666665</v>
      </c>
    </row>
    <row r="62" spans="1:18" ht="30" customHeight="1">
      <c r="A62" s="17" t="s">
        <v>400</v>
      </c>
      <c r="B62" s="5" t="str">
        <f>IF(A62="","",IF(COUNTIF(Catalogo!$A$5:$A$905,A62)=0,"SKU no encontrado",INDEX(Catalogo!$B$5:$B$905,MATCH(A62,Catalogo!$A$5:$A$905,0))))</f>
        <v>PATAGONIA SLIMKEG 0 20 L IPA CON SAUCO</v>
      </c>
      <c r="C62">
        <f>IF(OR(A62="",B62="SKU no encontrado"),"",INDEX(Catalogo!$C$5:$C$905,MATCH(A62,Catalogo!$A$5:$A$905,0)))</f>
        <v>1</v>
      </c>
      <c r="D62" s="19">
        <v>46366</v>
      </c>
      <c r="E62" s="20">
        <v>2</v>
      </c>
      <c r="F62" s="20"/>
      <c r="G62" s="12">
        <f>+LotesTrelew[[#This Row],[Final deseado / unidad sugerido]]/1.3</f>
        <v>0</v>
      </c>
      <c r="H62" s="6">
        <f>IF(OR(A62="",B62="SKU no encontrado"),"",IF(INDEX(Catalogo!$H$5:$H$905,MATCH(A62,Catalogo!$A$5:$A$905,0))=0,"",INDEX(Catalogo!$H$5:$H$905,MATCH(A62,Catalogo!$A$5:$A$905,0))))</f>
        <v>145097.87700000001</v>
      </c>
      <c r="I62" s="13">
        <f t="shared" si="6"/>
        <v>1</v>
      </c>
      <c r="J62" s="6">
        <f t="shared" si="7"/>
        <v>145097.87700000001</v>
      </c>
      <c r="K62" s="6">
        <f t="shared" si="8"/>
        <v>290195.75400000002</v>
      </c>
      <c r="L62" s="6">
        <f t="shared" si="9"/>
        <v>0</v>
      </c>
      <c r="M62" t="str">
        <f t="shared" si="10"/>
        <v>Estimado proporcional</v>
      </c>
      <c r="N62" t="s">
        <v>1839</v>
      </c>
      <c r="O62" s="18">
        <v>2</v>
      </c>
      <c r="P62">
        <v>1</v>
      </c>
      <c r="Q62">
        <v>81</v>
      </c>
      <c r="R62" s="6">
        <f t="shared" si="11"/>
        <v>145097.87700000001</v>
      </c>
    </row>
    <row r="63" spans="1:18" ht="30" customHeight="1">
      <c r="A63" s="17" t="s">
        <v>615</v>
      </c>
      <c r="B63" s="5" t="str">
        <f>IF(A63="","",IF(COUNTIF(Catalogo!$A$5:$A$905,A63)=0,"SKU no encontrado",INDEX(Catalogo!$B$5:$B$905,MATCH(A63,Catalogo!$A$5:$A$905,0))))</f>
        <v>MIRINDA POMELO PET X8 2250CC</v>
      </c>
      <c r="C63">
        <f>IF(OR(A63="",B63="SKU no encontrado"),"",INDEX(Catalogo!$C$5:$C$905,MATCH(A63,Catalogo!$A$5:$A$905,0)))</f>
        <v>8</v>
      </c>
      <c r="D63" s="19">
        <v>46366</v>
      </c>
      <c r="E63" s="20">
        <v>141.875</v>
      </c>
      <c r="F63" s="20"/>
      <c r="G63" s="12">
        <f>+LotesTrelew[[#This Row],[Final deseado / unidad sugerido]]/1.3</f>
        <v>0</v>
      </c>
      <c r="H63" s="6">
        <f>IF(OR(A63="",B63="SKU no encontrado"),"",IF(INDEX(Catalogo!$H$5:$H$905,MATCH(A63,Catalogo!$A$5:$A$905,0))=0,"",INDEX(Catalogo!$H$5:$H$905,MATCH(A63,Catalogo!$A$5:$A$905,0))))</f>
        <v>19048.438999999998</v>
      </c>
      <c r="I63" s="13">
        <f t="shared" si="6"/>
        <v>1</v>
      </c>
      <c r="J63" s="6">
        <f t="shared" si="7"/>
        <v>19048.438999999998</v>
      </c>
      <c r="K63" s="6">
        <f t="shared" si="8"/>
        <v>2702497.2831249996</v>
      </c>
      <c r="L63" s="6">
        <f t="shared" si="9"/>
        <v>0</v>
      </c>
      <c r="M63" t="str">
        <f t="shared" si="10"/>
        <v>Estimado proporcional</v>
      </c>
      <c r="N63" t="s">
        <v>1839</v>
      </c>
      <c r="O63" s="18">
        <v>141.875</v>
      </c>
      <c r="P63">
        <v>1</v>
      </c>
      <c r="Q63">
        <v>81</v>
      </c>
      <c r="R63" s="6">
        <f t="shared" si="11"/>
        <v>2381.0548749999998</v>
      </c>
    </row>
    <row r="64" spans="1:18" ht="30" customHeight="1">
      <c r="A64" s="17" t="s">
        <v>340</v>
      </c>
      <c r="B64" s="5" t="str">
        <f>IF(A64="","",IF(COUNTIF(Catalogo!$A$5:$A$905,A64)=0,"SKU no encontrado",INDEX(Catalogo!$B$5:$B$905,MATCH(A64,Catalogo!$A$5:$A$905,0))))</f>
        <v>MIRINDA NARANJA * X6 PET3000#</v>
      </c>
      <c r="C64">
        <f>IF(OR(A64="",B64="SKU no encontrado"),"",INDEX(Catalogo!$C$5:$C$905,MATCH(A64,Catalogo!$A$5:$A$905,0)))</f>
        <v>6</v>
      </c>
      <c r="D64" s="19">
        <v>46367</v>
      </c>
      <c r="E64" s="20">
        <v>119</v>
      </c>
      <c r="F64" s="20"/>
      <c r="G64" s="12">
        <f>+LotesTrelew[[#This Row],[Final deseado / unidad sugerido]]/1.3</f>
        <v>0</v>
      </c>
      <c r="H64" s="6">
        <f>IF(OR(A64="",B64="SKU no encontrado"),"",IF(INDEX(Catalogo!$H$5:$H$905,MATCH(A64,Catalogo!$A$5:$A$905,0))=0,"",INDEX(Catalogo!$H$5:$H$905,MATCH(A64,Catalogo!$A$5:$A$905,0))))</f>
        <v>16404.333999999999</v>
      </c>
      <c r="I64" s="13">
        <f t="shared" si="6"/>
        <v>1</v>
      </c>
      <c r="J64" s="6">
        <f t="shared" si="7"/>
        <v>16404.333999999999</v>
      </c>
      <c r="K64" s="6">
        <f t="shared" si="8"/>
        <v>1952115.7459999998</v>
      </c>
      <c r="L64" s="6">
        <f t="shared" si="9"/>
        <v>0</v>
      </c>
      <c r="M64" t="str">
        <f t="shared" si="10"/>
        <v>Estimado proporcional</v>
      </c>
      <c r="N64" t="s">
        <v>1839</v>
      </c>
      <c r="O64" s="18">
        <v>119</v>
      </c>
      <c r="P64">
        <v>2</v>
      </c>
      <c r="Q64">
        <v>82</v>
      </c>
      <c r="R64" s="6">
        <f t="shared" si="11"/>
        <v>2734.0556666666666</v>
      </c>
    </row>
    <row r="65" spans="1:18" ht="30" customHeight="1">
      <c r="A65" s="17" t="s">
        <v>871</v>
      </c>
      <c r="B65" s="5" t="str">
        <f>IF(A65="","",IF(COUNTIF(Catalogo!$A$5:$A$905,A65)=0,"SKU no encontrado",INDEX(Catalogo!$B$5:$B$905,MATCH(A65,Catalogo!$A$5:$A$905,0))))</f>
        <v>7UP PET X6 500CC NF 2024</v>
      </c>
      <c r="C65">
        <f>IF(OR(A65="",B65="SKU no encontrado"),"",INDEX(Catalogo!$C$5:$C$905,MATCH(A65,Catalogo!$A$5:$A$905,0)))</f>
        <v>6</v>
      </c>
      <c r="D65" s="19">
        <v>46367</v>
      </c>
      <c r="E65" s="20">
        <v>336</v>
      </c>
      <c r="F65" s="20"/>
      <c r="G65" s="12">
        <f>+LotesTrelew[[#This Row],[Final deseado / unidad sugerido]]/1.3</f>
        <v>0</v>
      </c>
      <c r="H65" s="6">
        <f>IF(OR(A65="",B65="SKU no encontrado"),"",IF(INDEX(Catalogo!$H$5:$H$905,MATCH(A65,Catalogo!$A$5:$A$905,0))=0,"",INDEX(Catalogo!$H$5:$H$905,MATCH(A65,Catalogo!$A$5:$A$905,0))))</f>
        <v>10249.798000000001</v>
      </c>
      <c r="I65" s="13">
        <f t="shared" si="6"/>
        <v>1</v>
      </c>
      <c r="J65" s="6">
        <f t="shared" si="7"/>
        <v>10249.798000000001</v>
      </c>
      <c r="K65" s="6">
        <f t="shared" si="8"/>
        <v>3443932.128</v>
      </c>
      <c r="L65" s="6">
        <f t="shared" si="9"/>
        <v>0</v>
      </c>
      <c r="M65" t="str">
        <f t="shared" si="10"/>
        <v>Estimado proporcional</v>
      </c>
      <c r="N65" t="s">
        <v>1839</v>
      </c>
      <c r="O65" s="18">
        <v>336</v>
      </c>
      <c r="P65">
        <v>2</v>
      </c>
      <c r="Q65">
        <v>82</v>
      </c>
      <c r="R65" s="6">
        <f t="shared" si="11"/>
        <v>1708.2996666666668</v>
      </c>
    </row>
    <row r="66" spans="1:18" ht="30" customHeight="1">
      <c r="A66" s="17" t="s">
        <v>867</v>
      </c>
      <c r="B66" s="5" t="str">
        <f>IF(A66="","",IF(COUNTIF(Catalogo!$A$5:$A$905,A66)=0,"SKU no encontrado",INDEX(Catalogo!$B$5:$B$905,MATCH(A66,Catalogo!$A$5:$A$905,0))))</f>
        <v>7UP PET X6 3000CC NF 2024</v>
      </c>
      <c r="C66">
        <f>IF(OR(A66="",B66="SKU no encontrado"),"",INDEX(Catalogo!$C$5:$C$905,MATCH(A66,Catalogo!$A$5:$A$905,0)))</f>
        <v>6</v>
      </c>
      <c r="D66" s="19">
        <v>46368</v>
      </c>
      <c r="E66" s="20">
        <v>1515.6666666666999</v>
      </c>
      <c r="F66" s="20"/>
      <c r="G66" s="12">
        <f>+LotesTrelew[[#This Row],[Final deseado / unidad sugerido]]/1.3</f>
        <v>0</v>
      </c>
      <c r="H66" s="6">
        <f>IF(OR(A66="",B66="SKU no encontrado"),"",IF(INDEX(Catalogo!$H$5:$H$905,MATCH(A66,Catalogo!$A$5:$A$905,0))=0,"",INDEX(Catalogo!$H$5:$H$905,MATCH(A66,Catalogo!$A$5:$A$905,0))))</f>
        <v>24851.03</v>
      </c>
      <c r="I66" s="13">
        <f t="shared" si="6"/>
        <v>1</v>
      </c>
      <c r="J66" s="6">
        <f t="shared" si="7"/>
        <v>24851.03</v>
      </c>
      <c r="K66" s="6">
        <f t="shared" si="8"/>
        <v>37665877.803334162</v>
      </c>
      <c r="L66" s="6">
        <f t="shared" si="9"/>
        <v>0</v>
      </c>
      <c r="M66" t="str">
        <f t="shared" si="10"/>
        <v>Estimado proporcional</v>
      </c>
      <c r="N66" t="s">
        <v>1839</v>
      </c>
      <c r="O66" s="18">
        <v>1515.6666666666999</v>
      </c>
      <c r="P66">
        <v>1</v>
      </c>
      <c r="Q66">
        <v>87</v>
      </c>
      <c r="R66" s="6">
        <f t="shared" si="11"/>
        <v>4141.8383333333331</v>
      </c>
    </row>
    <row r="67" spans="1:18" ht="30" customHeight="1">
      <c r="A67" s="17" t="s">
        <v>869</v>
      </c>
      <c r="B67" s="5" t="str">
        <f>IF(A67="","",IF(COUNTIF(Catalogo!$A$5:$A$905,A67)=0,"SKU no encontrado",INDEX(Catalogo!$B$5:$B$905,MATCH(A67,Catalogo!$A$5:$A$905,0))))</f>
        <v>7UP PET X6 1500CC NF 2024</v>
      </c>
      <c r="C67">
        <f>IF(OR(A67="",B67="SKU no encontrado"),"",INDEX(Catalogo!$C$5:$C$905,MATCH(A67,Catalogo!$A$5:$A$905,0)))</f>
        <v>6</v>
      </c>
      <c r="D67" s="19">
        <v>46368</v>
      </c>
      <c r="E67" s="20">
        <v>240</v>
      </c>
      <c r="F67" s="20"/>
      <c r="G67" s="12">
        <f>+LotesTrelew[[#This Row],[Final deseado / unidad sugerido]]/1.3</f>
        <v>0</v>
      </c>
      <c r="H67" s="6">
        <f>IF(OR(A67="",B67="SKU no encontrado"),"",IF(INDEX(Catalogo!$H$5:$H$905,MATCH(A67,Catalogo!$A$5:$A$905,0))=0,"",INDEX(Catalogo!$H$5:$H$905,MATCH(A67,Catalogo!$A$5:$A$905,0))))</f>
        <v>21709.238000000001</v>
      </c>
      <c r="I67" s="13">
        <f t="shared" si="6"/>
        <v>1</v>
      </c>
      <c r="J67" s="6">
        <f t="shared" si="7"/>
        <v>21709.238000000001</v>
      </c>
      <c r="K67" s="6">
        <f t="shared" si="8"/>
        <v>5210217.12</v>
      </c>
      <c r="L67" s="6">
        <f t="shared" si="9"/>
        <v>0</v>
      </c>
      <c r="M67" t="str">
        <f t="shared" si="10"/>
        <v>Estimado proporcional</v>
      </c>
      <c r="N67" t="s">
        <v>1839</v>
      </c>
      <c r="O67" s="18">
        <v>240</v>
      </c>
      <c r="P67">
        <v>2</v>
      </c>
      <c r="Q67">
        <v>87</v>
      </c>
      <c r="R67" s="6">
        <f t="shared" si="11"/>
        <v>3618.2063333333335</v>
      </c>
    </row>
    <row r="68" spans="1:18" ht="30" customHeight="1">
      <c r="A68" s="17" t="s">
        <v>873</v>
      </c>
      <c r="B68" s="5" t="str">
        <f>IF(A68="","",IF(COUNTIF(Catalogo!$A$5:$A$905,A68)=0,"SKU no encontrado",INDEX(Catalogo!$B$5:$B$905,MATCH(A68,Catalogo!$A$5:$A$905,0))))</f>
        <v>7UP FREE PET X8 2250CC 2024</v>
      </c>
      <c r="C68">
        <f>IF(OR(A68="",B68="SKU no encontrado"),"",INDEX(Catalogo!$C$5:$C$905,MATCH(A68,Catalogo!$A$5:$A$905,0)))</f>
        <v>8</v>
      </c>
      <c r="D68" s="19">
        <v>46368</v>
      </c>
      <c r="E68" s="20">
        <v>67</v>
      </c>
      <c r="F68" s="20"/>
      <c r="G68" s="12">
        <f>+LotesTrelew[[#This Row],[Final deseado / unidad sugerido]]/1.3</f>
        <v>0</v>
      </c>
      <c r="H68" s="6">
        <f>IF(OR(A68="",B68="SKU no encontrado"),"",IF(INDEX(Catalogo!$H$5:$H$905,MATCH(A68,Catalogo!$A$5:$A$905,0))=0,"",INDEX(Catalogo!$H$5:$H$905,MATCH(A68,Catalogo!$A$5:$A$905,0))))</f>
        <v>19735.760999999999</v>
      </c>
      <c r="I68" s="13">
        <f t="shared" si="6"/>
        <v>1</v>
      </c>
      <c r="J68" s="6">
        <f t="shared" si="7"/>
        <v>19735.760999999999</v>
      </c>
      <c r="K68" s="6">
        <f t="shared" si="8"/>
        <v>1322295.987</v>
      </c>
      <c r="L68" s="6">
        <f t="shared" si="9"/>
        <v>0</v>
      </c>
      <c r="M68" t="str">
        <f t="shared" si="10"/>
        <v>Estimado proporcional</v>
      </c>
      <c r="N68" t="s">
        <v>1839</v>
      </c>
      <c r="O68" s="18">
        <v>67</v>
      </c>
      <c r="P68">
        <v>1</v>
      </c>
      <c r="Q68">
        <v>83</v>
      </c>
      <c r="R68" s="6">
        <f t="shared" si="11"/>
        <v>2466.9701249999998</v>
      </c>
    </row>
    <row r="69" spans="1:18" ht="30" customHeight="1">
      <c r="A69" s="17" t="s">
        <v>984</v>
      </c>
      <c r="B69" s="5" t="str">
        <f>IF(A69="","",IF(COUNTIF(Catalogo!$A$5:$A$905,A69)=0,"SKU no encontrado",INDEX(Catalogo!$B$5:$B$905,MATCH(A69,Catalogo!$A$5:$A$905,0))))</f>
        <v>H2OH S/GAS NARANJA PET X6 1500CC</v>
      </c>
      <c r="C69">
        <f>IF(OR(A69="",B69="SKU no encontrado"),"",INDEX(Catalogo!$C$5:$C$905,MATCH(A69,Catalogo!$A$5:$A$905,0)))</f>
        <v>6</v>
      </c>
      <c r="D69" s="19">
        <v>46369</v>
      </c>
      <c r="E69" s="20">
        <v>27</v>
      </c>
      <c r="F69" s="20"/>
      <c r="G69" s="12">
        <f>+LotesTrelew[[#This Row],[Final deseado / unidad sugerido]]/1.3</f>
        <v>0</v>
      </c>
      <c r="H69" s="6">
        <f>IF(OR(A69="",B69="SKU no encontrado"),"",IF(INDEX(Catalogo!$H$5:$H$905,MATCH(A69,Catalogo!$A$5:$A$905,0))=0,"",INDEX(Catalogo!$H$5:$H$905,MATCH(A69,Catalogo!$A$5:$A$905,0))))</f>
        <v>17690.571</v>
      </c>
      <c r="I69" s="13">
        <f t="shared" ref="I69:I100" si="12">IF(OR(N69="ELIMINAR",H69="",G69="",G69&lt;0,C69&lt;=0,G69*C69&gt;H69,E69&gt;O69),"",1-G69*C69/H69)</f>
        <v>1</v>
      </c>
      <c r="J69" s="6">
        <f t="shared" ref="J69:J100" si="13">IF(I69="","",H69-G69*C69)</f>
        <v>17690.571</v>
      </c>
      <c r="K69" s="6">
        <f t="shared" ref="K69:K100" si="14">IF(OR(J69="",E69="",E69&lt;=0),"",J69*E69)</f>
        <v>477645.41700000002</v>
      </c>
      <c r="L69" s="6">
        <f t="shared" ref="L69:L100" si="15">IF(OR(I69="",C69&lt;=0),"",G69*C69)</f>
        <v>0</v>
      </c>
      <c r="M69" t="str">
        <f t="shared" ref="M69:M100" si="16">IF(N69="ELIMINAR","ELIMINAR según origen",IF(H69="","Sin precio válido",IF(C69&lt;=0,"Sin unidades por bulto",IF(G69="","Completar precio unitario",IF(OR(G69&lt;0,G69*C69&gt;H69),"Revisar precio unitario",IF(OR(E69&lt;=0,E69&gt;O69),"Revisar bultos vs. stock","Estimado proporcional"))))))</f>
        <v>Estimado proporcional</v>
      </c>
      <c r="N69" t="s">
        <v>1839</v>
      </c>
      <c r="O69" s="18">
        <v>27</v>
      </c>
      <c r="P69">
        <v>1</v>
      </c>
      <c r="Q69">
        <v>84</v>
      </c>
      <c r="R69" s="6">
        <f t="shared" ref="R69:R100" si="17">IF(OR(H69="",C69&lt;=0),"",H69/C69)</f>
        <v>2948.4285</v>
      </c>
    </row>
    <row r="70" spans="1:18" ht="30" customHeight="1">
      <c r="A70" s="17" t="s">
        <v>845</v>
      </c>
      <c r="B70" s="5" t="str">
        <f>IF(A70="","",IF(COUNTIF(Catalogo!$A$5:$A$905,A70)=0,"SKU no encontrado",INDEX(Catalogo!$B$5:$B$905,MATCH(A70,Catalogo!$A$5:$A$905,0))))</f>
        <v>PEPSI 70KCAL 4X6 354CC</v>
      </c>
      <c r="C70">
        <f>IF(OR(A70="",B70="SKU no encontrado"),"",INDEX(Catalogo!$C$5:$C$905,MATCH(A70,Catalogo!$A$5:$A$905,0)))</f>
        <v>24</v>
      </c>
      <c r="D70" s="19">
        <v>46370</v>
      </c>
      <c r="E70" s="20">
        <v>77.916666666699996</v>
      </c>
      <c r="F70" s="20"/>
      <c r="G70" s="12">
        <f>+LotesTrelew[[#This Row],[Final deseado / unidad sugerido]]/1.3</f>
        <v>0</v>
      </c>
      <c r="H70" s="6">
        <f>IF(OR(A70="",B70="SKU no encontrado"),"",IF(INDEX(Catalogo!$H$5:$H$905,MATCH(A70,Catalogo!$A$5:$A$905,0))=0,"",INDEX(Catalogo!$H$5:$H$905,MATCH(A70,Catalogo!$A$5:$A$905,0))))</f>
        <v>33511.089</v>
      </c>
      <c r="I70" s="13">
        <f t="shared" si="12"/>
        <v>1</v>
      </c>
      <c r="J70" s="6">
        <f t="shared" si="13"/>
        <v>33511.089</v>
      </c>
      <c r="K70" s="6">
        <f t="shared" si="14"/>
        <v>2611072.351251117</v>
      </c>
      <c r="L70" s="6">
        <f t="shared" si="15"/>
        <v>0</v>
      </c>
      <c r="M70" t="str">
        <f t="shared" si="16"/>
        <v>Estimado proporcional</v>
      </c>
      <c r="N70" t="s">
        <v>1839</v>
      </c>
      <c r="O70" s="18">
        <v>77.916666666699996</v>
      </c>
      <c r="P70">
        <v>1</v>
      </c>
      <c r="Q70">
        <v>85</v>
      </c>
      <c r="R70" s="6">
        <f t="shared" si="17"/>
        <v>1396.2953749999999</v>
      </c>
    </row>
    <row r="71" spans="1:18" ht="30" customHeight="1">
      <c r="A71" s="17" t="s">
        <v>56</v>
      </c>
      <c r="B71" s="5" t="str">
        <f>IF(A71="","",IF(COUNTIF(Catalogo!$A$5:$A$905,A71)=0,"SKU no encontrado",INDEX(Catalogo!$B$5:$B$905,MATCH(A71,Catalogo!$A$5:$A$905,0))))</f>
        <v>ANDES ORIGEN IPA RET X12 1000</v>
      </c>
      <c r="C71">
        <f>IF(OR(A71="",B71="SKU no encontrado"),"",INDEX(Catalogo!$C$5:$C$905,MATCH(A71,Catalogo!$A$5:$A$905,0)))</f>
        <v>12</v>
      </c>
      <c r="D71" s="19">
        <v>46371</v>
      </c>
      <c r="E71" s="20">
        <v>52</v>
      </c>
      <c r="F71" s="20"/>
      <c r="G71" s="12">
        <f>+LotesTrelew[[#This Row],[Final deseado / unidad sugerido]]/1.3</f>
        <v>0</v>
      </c>
      <c r="H71" s="6">
        <f>IF(OR(A71="",B71="SKU no encontrado"),"",IF(INDEX(Catalogo!$H$5:$H$905,MATCH(A71,Catalogo!$A$5:$A$905,0))=0,"",INDEX(Catalogo!$H$5:$H$905,MATCH(A71,Catalogo!$A$5:$A$905,0))))</f>
        <v>50984.146000000001</v>
      </c>
      <c r="I71" s="13">
        <f t="shared" si="12"/>
        <v>1</v>
      </c>
      <c r="J71" s="6">
        <f t="shared" si="13"/>
        <v>50984.146000000001</v>
      </c>
      <c r="K71" s="6">
        <f t="shared" si="14"/>
        <v>2651175.5920000002</v>
      </c>
      <c r="L71" s="6">
        <f t="shared" si="15"/>
        <v>0</v>
      </c>
      <c r="M71" t="str">
        <f t="shared" si="16"/>
        <v>Estimado proporcional</v>
      </c>
      <c r="N71" t="s">
        <v>1839</v>
      </c>
      <c r="O71" s="18">
        <v>52</v>
      </c>
      <c r="P71">
        <v>1</v>
      </c>
      <c r="Q71">
        <v>86</v>
      </c>
      <c r="R71" s="6">
        <f t="shared" si="17"/>
        <v>4248.6788333333334</v>
      </c>
    </row>
    <row r="72" spans="1:18" ht="30" customHeight="1">
      <c r="A72" s="17" t="s">
        <v>694</v>
      </c>
      <c r="B72" s="5" t="str">
        <f>IF(A72="","",IF(COUNTIF(Catalogo!$A$5:$A$905,A72)=0,"SKU no encontrado",INDEX(Catalogo!$B$5:$B$905,MATCH(A72,Catalogo!$A$5:$A$905,0))))</f>
        <v>GATORADE NARANJA PET X6 1250CC</v>
      </c>
      <c r="C72">
        <f>IF(OR(A72="",B72="SKU no encontrado"),"",INDEX(Catalogo!$C$5:$C$905,MATCH(A72,Catalogo!$A$5:$A$905,0)))</f>
        <v>6</v>
      </c>
      <c r="D72" s="19">
        <v>46371</v>
      </c>
      <c r="E72" s="20">
        <v>43</v>
      </c>
      <c r="F72" s="20"/>
      <c r="G72" s="12">
        <f>+LotesTrelew[[#This Row],[Final deseado / unidad sugerido]]/1.3</f>
        <v>0</v>
      </c>
      <c r="H72" s="6">
        <f>IF(OR(A72="",B72="SKU no encontrado"),"",IF(INDEX(Catalogo!$H$5:$H$905,MATCH(A72,Catalogo!$A$5:$A$905,0))=0,"",INDEX(Catalogo!$H$5:$H$905,MATCH(A72,Catalogo!$A$5:$A$905,0))))</f>
        <v>26114.945</v>
      </c>
      <c r="I72" s="13">
        <f t="shared" si="12"/>
        <v>1</v>
      </c>
      <c r="J72" s="6">
        <f t="shared" si="13"/>
        <v>26114.945</v>
      </c>
      <c r="K72" s="6">
        <f t="shared" si="14"/>
        <v>1122942.635</v>
      </c>
      <c r="L72" s="6">
        <f t="shared" si="15"/>
        <v>0</v>
      </c>
      <c r="M72" t="str">
        <f t="shared" si="16"/>
        <v>Estimado proporcional</v>
      </c>
      <c r="N72" t="s">
        <v>1839</v>
      </c>
      <c r="O72" s="18">
        <v>43</v>
      </c>
      <c r="P72">
        <v>1</v>
      </c>
      <c r="Q72">
        <v>86</v>
      </c>
      <c r="R72" s="6">
        <f t="shared" si="17"/>
        <v>4352.4908333333333</v>
      </c>
    </row>
    <row r="73" spans="1:18" ht="30" customHeight="1">
      <c r="A73" s="17" t="s">
        <v>320</v>
      </c>
      <c r="B73" s="5" t="str">
        <f>IF(A73="","",IF(COUNTIF(Catalogo!$A$5:$A$905,A73)=0,"SKU no encontrado",INDEX(Catalogo!$B$5:$B$905,MATCH(A73,Catalogo!$A$5:$A$905,0))))</f>
        <v>H2OH LIMONETO  X6 PET1500#</v>
      </c>
      <c r="C73">
        <f>IF(OR(A73="",B73="SKU no encontrado"),"",INDEX(Catalogo!$C$5:$C$905,MATCH(A73,Catalogo!$A$5:$A$905,0)))</f>
        <v>6</v>
      </c>
      <c r="D73" s="19">
        <v>46372</v>
      </c>
      <c r="E73" s="20">
        <v>100</v>
      </c>
      <c r="F73" s="20"/>
      <c r="G73" s="12">
        <f>+LotesTrelew[[#This Row],[Final deseado / unidad sugerido]]/1.3</f>
        <v>0</v>
      </c>
      <c r="H73" s="6">
        <f>IF(OR(A73="",B73="SKU no encontrado"),"",IF(INDEX(Catalogo!$H$5:$H$905,MATCH(A73,Catalogo!$A$5:$A$905,0))=0,"",INDEX(Catalogo!$H$5:$H$905,MATCH(A73,Catalogo!$A$5:$A$905,0))))</f>
        <v>17720.865000000002</v>
      </c>
      <c r="I73" s="13">
        <f t="shared" si="12"/>
        <v>1</v>
      </c>
      <c r="J73" s="6">
        <f t="shared" si="13"/>
        <v>17720.865000000002</v>
      </c>
      <c r="K73" s="6">
        <f t="shared" si="14"/>
        <v>1772086.5000000002</v>
      </c>
      <c r="L73" s="6">
        <f t="shared" si="15"/>
        <v>0</v>
      </c>
      <c r="M73" t="str">
        <f t="shared" si="16"/>
        <v>Estimado proporcional</v>
      </c>
      <c r="N73" t="s">
        <v>1839</v>
      </c>
      <c r="O73" s="18">
        <v>100</v>
      </c>
      <c r="P73">
        <v>1</v>
      </c>
      <c r="Q73">
        <v>87</v>
      </c>
      <c r="R73" s="6">
        <f t="shared" si="17"/>
        <v>2953.4775000000004</v>
      </c>
    </row>
    <row r="74" spans="1:18" ht="30" customHeight="1">
      <c r="A74" s="17" t="s">
        <v>322</v>
      </c>
      <c r="B74" s="5" t="str">
        <f>IF(A74="","",IF(COUNTIF(Catalogo!$A$5:$A$905,A74)=0,"SKU no encontrado",INDEX(Catalogo!$B$5:$B$905,MATCH(A74,Catalogo!$A$5:$A$905,0))))</f>
        <v>H2OH CITRUS  X6 PET1500#</v>
      </c>
      <c r="C74">
        <f>IF(OR(A74="",B74="SKU no encontrado"),"",INDEX(Catalogo!$C$5:$C$905,MATCH(A74,Catalogo!$A$5:$A$905,0)))</f>
        <v>6</v>
      </c>
      <c r="D74" s="19">
        <v>46372</v>
      </c>
      <c r="E74" s="20">
        <v>89</v>
      </c>
      <c r="F74" s="20"/>
      <c r="G74" s="12">
        <f>+LotesTrelew[[#This Row],[Final deseado / unidad sugerido]]/1.3</f>
        <v>0</v>
      </c>
      <c r="H74" s="6">
        <f>IF(OR(A74="",B74="SKU no encontrado"),"",IF(INDEX(Catalogo!$H$5:$H$905,MATCH(A74,Catalogo!$A$5:$A$905,0))=0,"",INDEX(Catalogo!$H$5:$H$905,MATCH(A74,Catalogo!$A$5:$A$905,0))))</f>
        <v>17720.865000000002</v>
      </c>
      <c r="I74" s="13">
        <f t="shared" si="12"/>
        <v>1</v>
      </c>
      <c r="J74" s="6">
        <f t="shared" si="13"/>
        <v>17720.865000000002</v>
      </c>
      <c r="K74" s="6">
        <f t="shared" si="14"/>
        <v>1577156.9850000001</v>
      </c>
      <c r="L74" s="6">
        <f t="shared" si="15"/>
        <v>0</v>
      </c>
      <c r="M74" t="str">
        <f t="shared" si="16"/>
        <v>Estimado proporcional</v>
      </c>
      <c r="N74" t="s">
        <v>1839</v>
      </c>
      <c r="O74" s="18">
        <v>89</v>
      </c>
      <c r="P74">
        <v>1</v>
      </c>
      <c r="Q74">
        <v>87</v>
      </c>
      <c r="R74" s="6">
        <f t="shared" si="17"/>
        <v>2953.4775000000004</v>
      </c>
    </row>
    <row r="75" spans="1:18" ht="30" customHeight="1">
      <c r="A75" s="17" t="s">
        <v>338</v>
      </c>
      <c r="B75" s="5" t="str">
        <f>IF(A75="","",IF(COUNTIF(Catalogo!$A$5:$A$905,A75)=0,"SKU no encontrado",INDEX(Catalogo!$B$5:$B$905,MATCH(A75,Catalogo!$A$5:$A$905,0))))</f>
        <v>H2OH LIMONETO  X8 PET2250</v>
      </c>
      <c r="C75">
        <f>IF(OR(A75="",B75="SKU no encontrado"),"",INDEX(Catalogo!$C$5:$C$905,MATCH(A75,Catalogo!$A$5:$A$905,0)))</f>
        <v>8</v>
      </c>
      <c r="D75" s="19">
        <v>46372</v>
      </c>
      <c r="E75" s="20">
        <v>60</v>
      </c>
      <c r="F75" s="20"/>
      <c r="G75" s="12">
        <f>+LotesTrelew[[#This Row],[Final deseado / unidad sugerido]]/1.3</f>
        <v>0</v>
      </c>
      <c r="H75" s="6">
        <f>IF(OR(A75="",B75="SKU no encontrado"),"",IF(INDEX(Catalogo!$H$5:$H$905,MATCH(A75,Catalogo!$A$5:$A$905,0))=0,"",INDEX(Catalogo!$H$5:$H$905,MATCH(A75,Catalogo!$A$5:$A$905,0))))</f>
        <v>27358.541000000001</v>
      </c>
      <c r="I75" s="13">
        <f t="shared" si="12"/>
        <v>1</v>
      </c>
      <c r="J75" s="6">
        <f t="shared" si="13"/>
        <v>27358.541000000001</v>
      </c>
      <c r="K75" s="6">
        <f t="shared" si="14"/>
        <v>1641512.46</v>
      </c>
      <c r="L75" s="6">
        <f t="shared" si="15"/>
        <v>0</v>
      </c>
      <c r="M75" t="str">
        <f t="shared" si="16"/>
        <v>Estimado proporcional</v>
      </c>
      <c r="N75" t="s">
        <v>1839</v>
      </c>
      <c r="O75" s="18">
        <v>60</v>
      </c>
      <c r="P75">
        <v>2</v>
      </c>
      <c r="Q75">
        <v>87</v>
      </c>
      <c r="R75" s="6">
        <f t="shared" si="17"/>
        <v>3419.8176250000001</v>
      </c>
    </row>
    <row r="76" spans="1:18" ht="30" customHeight="1">
      <c r="A76" s="17" t="s">
        <v>847</v>
      </c>
      <c r="B76" s="5" t="str">
        <f>IF(A76="","",IF(COUNTIF(Catalogo!$A$5:$A$905,A76)=0,"SKU no encontrado",INDEX(Catalogo!$B$5:$B$905,MATCH(A76,Catalogo!$A$5:$A$905,0))))</f>
        <v>PEPSI 70KCAL PET X6 500CC</v>
      </c>
      <c r="C76">
        <f>IF(OR(A76="",B76="SKU no encontrado"),"",INDEX(Catalogo!$C$5:$C$905,MATCH(A76,Catalogo!$A$5:$A$905,0)))</f>
        <v>6</v>
      </c>
      <c r="D76" s="19">
        <v>46372</v>
      </c>
      <c r="E76" s="20">
        <v>950.5</v>
      </c>
      <c r="F76" s="20"/>
      <c r="G76" s="12">
        <f>+LotesTrelew[[#This Row],[Final deseado / unidad sugerido]]/1.3</f>
        <v>0</v>
      </c>
      <c r="H76" s="6">
        <f>IF(OR(A76="",B76="SKU no encontrado"),"",IF(INDEX(Catalogo!$H$5:$H$905,MATCH(A76,Catalogo!$A$5:$A$905,0))=0,"",INDEX(Catalogo!$H$5:$H$905,MATCH(A76,Catalogo!$A$5:$A$905,0))))</f>
        <v>10239.922</v>
      </c>
      <c r="I76" s="13">
        <f t="shared" si="12"/>
        <v>1</v>
      </c>
      <c r="J76" s="6">
        <f t="shared" si="13"/>
        <v>10239.922</v>
      </c>
      <c r="K76" s="6">
        <f t="shared" si="14"/>
        <v>9733045.8609999996</v>
      </c>
      <c r="L76" s="6">
        <f t="shared" si="15"/>
        <v>0</v>
      </c>
      <c r="M76" t="str">
        <f t="shared" si="16"/>
        <v>Estimado proporcional</v>
      </c>
      <c r="N76" t="s">
        <v>1839</v>
      </c>
      <c r="O76" s="18">
        <v>950.5</v>
      </c>
      <c r="P76">
        <v>1</v>
      </c>
      <c r="Q76">
        <v>87</v>
      </c>
      <c r="R76" s="6">
        <f t="shared" si="17"/>
        <v>1706.6536666666668</v>
      </c>
    </row>
    <row r="77" spans="1:18" ht="30" customHeight="1">
      <c r="A77" s="17" t="s">
        <v>432</v>
      </c>
      <c r="B77" s="5" t="str">
        <f>IF(A77="","",IF(COUNTIF(Catalogo!$A$5:$A$905,A77)=0,"SKU no encontrado",INDEX(Catalogo!$B$5:$B$905,MATCH(A77,Catalogo!$A$5:$A$905,0))))</f>
        <v>PEPSI PET X8 2250 BLACK</v>
      </c>
      <c r="C77">
        <f>IF(OR(A77="",B77="SKU no encontrado"),"",INDEX(Catalogo!$C$5:$C$905,MATCH(A77,Catalogo!$A$5:$A$905,0)))</f>
        <v>8</v>
      </c>
      <c r="D77" s="19">
        <v>46373</v>
      </c>
      <c r="E77" s="20">
        <v>538</v>
      </c>
      <c r="F77" s="20"/>
      <c r="G77" s="12">
        <f>+LotesTrelew[[#This Row],[Final deseado / unidad sugerido]]/1.3</f>
        <v>0</v>
      </c>
      <c r="H77" s="6">
        <f>IF(OR(A77="",B77="SKU no encontrado"),"",IF(INDEX(Catalogo!$H$5:$H$905,MATCH(A77,Catalogo!$A$5:$A$905,0))=0,"",INDEX(Catalogo!$H$5:$H$905,MATCH(A77,Catalogo!$A$5:$A$905,0))))</f>
        <v>19720.349999999999</v>
      </c>
      <c r="I77" s="13">
        <f t="shared" si="12"/>
        <v>1</v>
      </c>
      <c r="J77" s="6">
        <f t="shared" si="13"/>
        <v>19720.349999999999</v>
      </c>
      <c r="K77" s="6">
        <f t="shared" si="14"/>
        <v>10609548.299999999</v>
      </c>
      <c r="L77" s="6">
        <f t="shared" si="15"/>
        <v>0</v>
      </c>
      <c r="M77" t="str">
        <f t="shared" si="16"/>
        <v>Estimado proporcional</v>
      </c>
      <c r="N77" t="s">
        <v>1839</v>
      </c>
      <c r="O77" s="18">
        <v>538</v>
      </c>
      <c r="P77">
        <v>1</v>
      </c>
      <c r="Q77">
        <v>88</v>
      </c>
      <c r="R77" s="6">
        <f t="shared" si="17"/>
        <v>2465.0437499999998</v>
      </c>
    </row>
    <row r="78" spans="1:18" ht="30" customHeight="1">
      <c r="A78" s="17" t="s">
        <v>873</v>
      </c>
      <c r="B78" s="5" t="str">
        <f>IF(A78="","",IF(COUNTIF(Catalogo!$A$5:$A$905,A78)=0,"SKU no encontrado",INDEX(Catalogo!$B$5:$B$905,MATCH(A78,Catalogo!$A$5:$A$905,0))))</f>
        <v>7UP FREE PET X8 2250CC 2024</v>
      </c>
      <c r="C78">
        <f>IF(OR(A78="",B78="SKU no encontrado"),"",INDEX(Catalogo!$C$5:$C$905,MATCH(A78,Catalogo!$A$5:$A$905,0)))</f>
        <v>8</v>
      </c>
      <c r="D78" s="19">
        <v>46373</v>
      </c>
      <c r="E78" s="20">
        <v>41.125</v>
      </c>
      <c r="F78" s="20"/>
      <c r="G78" s="12">
        <f>+LotesTrelew[[#This Row],[Final deseado / unidad sugerido]]/1.3</f>
        <v>0</v>
      </c>
      <c r="H78" s="6">
        <f>IF(OR(A78="",B78="SKU no encontrado"),"",IF(INDEX(Catalogo!$H$5:$H$905,MATCH(A78,Catalogo!$A$5:$A$905,0))=0,"",INDEX(Catalogo!$H$5:$H$905,MATCH(A78,Catalogo!$A$5:$A$905,0))))</f>
        <v>19735.760999999999</v>
      </c>
      <c r="I78" s="13">
        <f t="shared" si="12"/>
        <v>1</v>
      </c>
      <c r="J78" s="6">
        <f t="shared" si="13"/>
        <v>19735.760999999999</v>
      </c>
      <c r="K78" s="6">
        <f t="shared" si="14"/>
        <v>811633.17112499999</v>
      </c>
      <c r="L78" s="6">
        <f t="shared" si="15"/>
        <v>0</v>
      </c>
      <c r="M78" t="str">
        <f t="shared" si="16"/>
        <v>Estimado proporcional</v>
      </c>
      <c r="N78" t="s">
        <v>1839</v>
      </c>
      <c r="O78" s="18">
        <v>41.125</v>
      </c>
      <c r="P78">
        <v>2</v>
      </c>
      <c r="Q78">
        <v>88</v>
      </c>
      <c r="R78" s="6">
        <f t="shared" si="17"/>
        <v>2466.9701249999998</v>
      </c>
    </row>
    <row r="79" spans="1:18" ht="30" customHeight="1">
      <c r="A79" s="17" t="s">
        <v>61</v>
      </c>
      <c r="B79" s="5" t="str">
        <f>IF(A79="","",IF(COUNTIF(Catalogo!$A$5:$A$905,A79)=0,"SKU no encontrado",INDEX(Catalogo!$B$5:$B$905,MATCH(A79,Catalogo!$A$5:$A$905,0))))</f>
        <v>MIRINDA MANZANA * X8 PET2250</v>
      </c>
      <c r="C79">
        <f>IF(OR(A79="",B79="SKU no encontrado"),"",INDEX(Catalogo!$C$5:$C$905,MATCH(A79,Catalogo!$A$5:$A$905,0)))</f>
        <v>8</v>
      </c>
      <c r="D79" s="19">
        <v>46375</v>
      </c>
      <c r="E79" s="20">
        <v>42.625</v>
      </c>
      <c r="F79" s="20"/>
      <c r="G79" s="12">
        <f>+LotesTrelew[[#This Row],[Final deseado / unidad sugerido]]/1.3</f>
        <v>0</v>
      </c>
      <c r="H79" s="6">
        <f>IF(OR(A79="",B79="SKU no encontrado"),"",IF(INDEX(Catalogo!$H$5:$H$905,MATCH(A79,Catalogo!$A$5:$A$905,0))=0,"",INDEX(Catalogo!$H$5:$H$905,MATCH(A79,Catalogo!$A$5:$A$905,0))))</f>
        <v>19048.438999999998</v>
      </c>
      <c r="I79" s="13">
        <f t="shared" si="12"/>
        <v>1</v>
      </c>
      <c r="J79" s="6">
        <f t="shared" si="13"/>
        <v>19048.438999999998</v>
      </c>
      <c r="K79" s="6">
        <f t="shared" si="14"/>
        <v>811939.71237499989</v>
      </c>
      <c r="L79" s="6">
        <f t="shared" si="15"/>
        <v>0</v>
      </c>
      <c r="M79" t="str">
        <f t="shared" si="16"/>
        <v>Estimado proporcional</v>
      </c>
      <c r="N79" t="s">
        <v>1839</v>
      </c>
      <c r="O79" s="18">
        <v>42.625</v>
      </c>
      <c r="P79">
        <v>1</v>
      </c>
      <c r="Q79">
        <v>90</v>
      </c>
      <c r="R79" s="6">
        <f t="shared" si="17"/>
        <v>2381.0548749999998</v>
      </c>
    </row>
    <row r="80" spans="1:18" ht="30" customHeight="1">
      <c r="A80" s="17" t="s">
        <v>627</v>
      </c>
      <c r="B80" s="5" t="str">
        <f>IF(A80="","",IF(COUNTIF(Catalogo!$A$5:$A$905,A80)=0,"SKU no encontrado",INDEX(Catalogo!$B$5:$B$905,MATCH(A80,Catalogo!$A$5:$A$905,0))))</f>
        <v>PDTOROS PET POM SIN AZUCARES X6 1500CC</v>
      </c>
      <c r="C80">
        <f>IF(OR(A80="",B80="SKU no encontrado"),"",INDEX(Catalogo!$C$5:$C$905,MATCH(A80,Catalogo!$A$5:$A$905,0)))</f>
        <v>6</v>
      </c>
      <c r="D80" s="19">
        <v>46375</v>
      </c>
      <c r="E80" s="20">
        <v>120</v>
      </c>
      <c r="F80" s="20"/>
      <c r="G80" s="12">
        <f>+LotesTrelew[[#This Row],[Final deseado / unidad sugerido]]/1.3</f>
        <v>0</v>
      </c>
      <c r="H80" s="6">
        <f>IF(OR(A80="",B80="SKU no encontrado"),"",IF(INDEX(Catalogo!$H$5:$H$905,MATCH(A80,Catalogo!$A$5:$A$905,0))=0,"",INDEX(Catalogo!$H$5:$H$905,MATCH(A80,Catalogo!$A$5:$A$905,0))))</f>
        <v>21688.986000000001</v>
      </c>
      <c r="I80" s="13">
        <f t="shared" si="12"/>
        <v>1</v>
      </c>
      <c r="J80" s="6">
        <f t="shared" si="13"/>
        <v>21688.986000000001</v>
      </c>
      <c r="K80" s="6">
        <f t="shared" si="14"/>
        <v>2602678.3200000003</v>
      </c>
      <c r="L80" s="6">
        <f t="shared" si="15"/>
        <v>0</v>
      </c>
      <c r="M80" t="str">
        <f t="shared" si="16"/>
        <v>Estimado proporcional</v>
      </c>
      <c r="N80" t="s">
        <v>1839</v>
      </c>
      <c r="O80" s="18">
        <v>120</v>
      </c>
      <c r="P80">
        <v>2</v>
      </c>
      <c r="Q80">
        <v>90</v>
      </c>
      <c r="R80" s="6">
        <f t="shared" si="17"/>
        <v>3614.8310000000001</v>
      </c>
    </row>
    <row r="81" spans="1:18" ht="30" customHeight="1">
      <c r="A81" s="17" t="s">
        <v>834</v>
      </c>
      <c r="B81" s="5" t="str">
        <f>IF(A81="","",IF(COUNTIF(Catalogo!$A$5:$A$905,A81)=0,"SKU no encontrado",INDEX(Catalogo!$B$5:$B$905,MATCH(A81,Catalogo!$A$5:$A$905,0))))</f>
        <v>SEVEN-UP NF CAN 130 BUL/PAL 4X6 354CC</v>
      </c>
      <c r="C81">
        <f>IF(OR(A81="",B81="SKU no encontrado"),"",INDEX(Catalogo!$C$5:$C$905,MATCH(A81,Catalogo!$A$5:$A$905,0)))</f>
        <v>24</v>
      </c>
      <c r="D81" s="19">
        <v>46376</v>
      </c>
      <c r="E81" s="20">
        <v>83.791666666699996</v>
      </c>
      <c r="F81" s="20"/>
      <c r="G81" s="12">
        <f>+LotesTrelew[[#This Row],[Final deseado / unidad sugerido]]/1.3</f>
        <v>0</v>
      </c>
      <c r="H81" s="6">
        <f>IF(OR(A81="",B81="SKU no encontrado"),"",IF(INDEX(Catalogo!$H$5:$H$905,MATCH(A81,Catalogo!$A$5:$A$905,0))=0,"",INDEX(Catalogo!$H$5:$H$905,MATCH(A81,Catalogo!$A$5:$A$905,0))))</f>
        <v>33544.110999999997</v>
      </c>
      <c r="I81" s="13">
        <f t="shared" si="12"/>
        <v>1</v>
      </c>
      <c r="J81" s="6">
        <f t="shared" si="13"/>
        <v>33544.110999999997</v>
      </c>
      <c r="K81" s="6">
        <f t="shared" si="14"/>
        <v>2810716.9675427843</v>
      </c>
      <c r="L81" s="6">
        <f t="shared" si="15"/>
        <v>0</v>
      </c>
      <c r="M81" t="str">
        <f t="shared" si="16"/>
        <v>Estimado proporcional</v>
      </c>
      <c r="N81" t="s">
        <v>1839</v>
      </c>
      <c r="O81" s="18">
        <v>83.791666666699996</v>
      </c>
      <c r="P81">
        <v>1</v>
      </c>
      <c r="Q81">
        <v>91</v>
      </c>
      <c r="R81" s="6">
        <f t="shared" si="17"/>
        <v>1397.6712916666665</v>
      </c>
    </row>
    <row r="82" spans="1:18" ht="30" customHeight="1">
      <c r="A82" s="17" t="s">
        <v>682</v>
      </c>
      <c r="B82" s="5" t="str">
        <f>IF(A82="","",IF(COUNTIF(Catalogo!$A$5:$A$905,A82)=0,"SKU no encontrado",INDEX(Catalogo!$B$5:$B$905,MATCH(A82,Catalogo!$A$5:$A$905,0))))</f>
        <v>PDT POM PET X6 500CC</v>
      </c>
      <c r="C82">
        <f>IF(OR(A82="",B82="SKU no encontrado"),"",INDEX(Catalogo!$C$5:$C$905,MATCH(A82,Catalogo!$A$5:$A$905,0)))</f>
        <v>6</v>
      </c>
      <c r="D82" s="19">
        <v>46381</v>
      </c>
      <c r="E82" s="20">
        <v>327</v>
      </c>
      <c r="F82" s="20"/>
      <c r="G82" s="12">
        <f>+LotesTrelew[[#This Row],[Final deseado / unidad sugerido]]/1.3</f>
        <v>0</v>
      </c>
      <c r="H82" s="6">
        <f>IF(OR(A82="",B82="SKU no encontrado"),"",IF(INDEX(Catalogo!$H$5:$H$905,MATCH(A82,Catalogo!$A$5:$A$905,0))=0,"",INDEX(Catalogo!$H$5:$H$905,MATCH(A82,Catalogo!$A$5:$A$905,0))))</f>
        <v>10239.922</v>
      </c>
      <c r="I82" s="13">
        <f t="shared" si="12"/>
        <v>1</v>
      </c>
      <c r="J82" s="6">
        <f t="shared" si="13"/>
        <v>10239.922</v>
      </c>
      <c r="K82" s="6">
        <f t="shared" si="14"/>
        <v>3348454.4939999999</v>
      </c>
      <c r="L82" s="6">
        <f t="shared" si="15"/>
        <v>0</v>
      </c>
      <c r="M82" t="str">
        <f t="shared" si="16"/>
        <v>Estimado proporcional</v>
      </c>
      <c r="N82" t="s">
        <v>1839</v>
      </c>
      <c r="O82" s="18">
        <v>327</v>
      </c>
      <c r="P82">
        <v>1</v>
      </c>
      <c r="Q82">
        <v>96</v>
      </c>
      <c r="R82" s="6">
        <f t="shared" si="17"/>
        <v>1706.6536666666668</v>
      </c>
    </row>
    <row r="83" spans="1:18" ht="30" customHeight="1">
      <c r="A83" s="17" t="s">
        <v>57</v>
      </c>
      <c r="B83" s="5" t="str">
        <f>IF(A83="","",IF(COUNTIF(Catalogo!$A$5:$A$905,A83)=0,"SKU no encontrado",INDEX(Catalogo!$B$5:$B$905,MATCH(A83,Catalogo!$A$5:$A$905,0))))</f>
        <v>PEPSI 70KCAL PET X8 2000CC</v>
      </c>
      <c r="C83">
        <f>IF(OR(A83="",B83="SKU no encontrado"),"",INDEX(Catalogo!$C$5:$C$905,MATCH(A83,Catalogo!$A$5:$A$905,0)))</f>
        <v>8</v>
      </c>
      <c r="D83" s="19">
        <v>46381</v>
      </c>
      <c r="E83" s="20">
        <v>302.875</v>
      </c>
      <c r="F83" s="20"/>
      <c r="G83" s="12">
        <f>+LotesTrelew[[#This Row],[Final deseado / unidad sugerido]]/1.3</f>
        <v>0</v>
      </c>
      <c r="H83" s="6">
        <f>IF(OR(A83="",B83="SKU no encontrado"),"",IF(INDEX(Catalogo!$H$5:$H$905,MATCH(A83,Catalogo!$A$5:$A$905,0))=0,"",INDEX(Catalogo!$H$5:$H$905,MATCH(A83,Catalogo!$A$5:$A$905,0))))</f>
        <v>29656.170999999998</v>
      </c>
      <c r="I83" s="13">
        <f t="shared" si="12"/>
        <v>1</v>
      </c>
      <c r="J83" s="6">
        <f t="shared" si="13"/>
        <v>29656.170999999998</v>
      </c>
      <c r="K83" s="6">
        <f t="shared" si="14"/>
        <v>8982112.7916249987</v>
      </c>
      <c r="L83" s="6">
        <f t="shared" si="15"/>
        <v>0</v>
      </c>
      <c r="M83" t="str">
        <f t="shared" si="16"/>
        <v>Estimado proporcional</v>
      </c>
      <c r="N83" t="s">
        <v>1839</v>
      </c>
      <c r="O83" s="18">
        <v>302.875</v>
      </c>
      <c r="P83">
        <v>2</v>
      </c>
      <c r="Q83">
        <v>100</v>
      </c>
      <c r="R83" s="6">
        <f t="shared" si="17"/>
        <v>3707.0213749999998</v>
      </c>
    </row>
    <row r="84" spans="1:18" ht="30" customHeight="1">
      <c r="A84" s="17" t="s">
        <v>1028</v>
      </c>
      <c r="B84" s="5" t="str">
        <f>IF(A84="","",IF(COUNTIF(Catalogo!$A$5:$A$905,A84)=0,"SKU no encontrado",INDEX(Catalogo!$B$5:$B$905,MATCH(A84,Catalogo!$A$5:$A$905,0))))</f>
        <v>7UP PET X8 2000CC</v>
      </c>
      <c r="C84">
        <f>IF(OR(A84="",B84="SKU no encontrado"),"",INDEX(Catalogo!$C$5:$C$905,MATCH(A84,Catalogo!$A$5:$A$905,0)))</f>
        <v>8</v>
      </c>
      <c r="D84" s="19">
        <v>46381</v>
      </c>
      <c r="E84" s="20">
        <v>702.875</v>
      </c>
      <c r="F84" s="20"/>
      <c r="G84" s="12">
        <f>+LotesTrelew[[#This Row],[Final deseado / unidad sugerido]]/1.3</f>
        <v>0</v>
      </c>
      <c r="H84" s="6">
        <f>IF(OR(A84="",B84="SKU no encontrado"),"",IF(INDEX(Catalogo!$H$5:$H$905,MATCH(A84,Catalogo!$A$5:$A$905,0))=0,"",INDEX(Catalogo!$H$5:$H$905,MATCH(A84,Catalogo!$A$5:$A$905,0))))</f>
        <v>27093.71</v>
      </c>
      <c r="I84" s="13">
        <f t="shared" si="12"/>
        <v>1</v>
      </c>
      <c r="J84" s="6">
        <f t="shared" si="13"/>
        <v>27093.71</v>
      </c>
      <c r="K84" s="6">
        <f t="shared" si="14"/>
        <v>19043491.416249998</v>
      </c>
      <c r="L84" s="6">
        <f t="shared" si="15"/>
        <v>0</v>
      </c>
      <c r="M84" t="str">
        <f t="shared" si="16"/>
        <v>Estimado proporcional</v>
      </c>
      <c r="N84" t="s">
        <v>1839</v>
      </c>
      <c r="O84" s="18">
        <v>702.875</v>
      </c>
      <c r="P84">
        <v>1</v>
      </c>
      <c r="Q84">
        <v>100</v>
      </c>
      <c r="R84" s="6">
        <f t="shared" si="17"/>
        <v>3386.7137499999999</v>
      </c>
    </row>
    <row r="85" spans="1:18" ht="30" customHeight="1">
      <c r="A85" s="17" t="s">
        <v>560</v>
      </c>
      <c r="B85" s="5" t="str">
        <f>IF(A85="","",IF(COUNTIF(Catalogo!$A$5:$A$905,A85)=0,"SKU no encontrado",INDEX(Catalogo!$B$5:$B$905,MATCH(A85,Catalogo!$A$5:$A$905,0))))</f>
        <v>ANDES ORIGEN IPA CAN 4X6 473</v>
      </c>
      <c r="C85">
        <f>IF(OR(A85="",B85="SKU no encontrado"),"",INDEX(Catalogo!$C$5:$C$905,MATCH(A85,Catalogo!$A$5:$A$905,0)))</f>
        <v>24</v>
      </c>
      <c r="D85" s="19">
        <v>46382</v>
      </c>
      <c r="E85" s="20">
        <v>55.458333333299997</v>
      </c>
      <c r="F85" s="20"/>
      <c r="G85" s="12">
        <f>+LotesTrelew[[#This Row],[Final deseado / unidad sugerido]]/1.3</f>
        <v>0</v>
      </c>
      <c r="H85" s="6">
        <f>IF(OR(A85="",B85="SKU no encontrado"),"",IF(INDEX(Catalogo!$H$5:$H$905,MATCH(A85,Catalogo!$A$5:$A$905,0))=0,"",INDEX(Catalogo!$H$5:$H$905,MATCH(A85,Catalogo!$A$5:$A$905,0))))</f>
        <v>63068.307000000001</v>
      </c>
      <c r="I85" s="13">
        <f t="shared" si="12"/>
        <v>1</v>
      </c>
      <c r="J85" s="6">
        <f t="shared" si="13"/>
        <v>63068.307000000001</v>
      </c>
      <c r="K85" s="6">
        <f t="shared" si="14"/>
        <v>3497663.1923728976</v>
      </c>
      <c r="L85" s="6">
        <f t="shared" si="15"/>
        <v>0</v>
      </c>
      <c r="M85" t="str">
        <f t="shared" si="16"/>
        <v>Estimado proporcional</v>
      </c>
      <c r="N85" t="s">
        <v>1839</v>
      </c>
      <c r="O85" s="18">
        <v>55.458333333299997</v>
      </c>
      <c r="P85">
        <v>1</v>
      </c>
      <c r="Q85">
        <v>97</v>
      </c>
      <c r="R85" s="6">
        <f t="shared" si="17"/>
        <v>2627.846125</v>
      </c>
    </row>
    <row r="86" spans="1:18" ht="30" customHeight="1">
      <c r="A86" s="17" t="s">
        <v>873</v>
      </c>
      <c r="B86" s="5" t="str">
        <f>IF(A86="","",IF(COUNTIF(Catalogo!$A$5:$A$905,A86)=0,"SKU no encontrado",INDEX(Catalogo!$B$5:$B$905,MATCH(A86,Catalogo!$A$5:$A$905,0))))</f>
        <v>7UP FREE PET X8 2250CC 2024</v>
      </c>
      <c r="C86">
        <f>IF(OR(A86="",B86="SKU no encontrado"),"",INDEX(Catalogo!$C$5:$C$905,MATCH(A86,Catalogo!$A$5:$A$905,0)))</f>
        <v>8</v>
      </c>
      <c r="D86" s="19">
        <v>46383</v>
      </c>
      <c r="E86" s="20">
        <v>360</v>
      </c>
      <c r="F86" s="20"/>
      <c r="G86" s="12">
        <f>+LotesTrelew[[#This Row],[Final deseado / unidad sugerido]]/1.3</f>
        <v>0</v>
      </c>
      <c r="H86" s="6">
        <f>IF(OR(A86="",B86="SKU no encontrado"),"",IF(INDEX(Catalogo!$H$5:$H$905,MATCH(A86,Catalogo!$A$5:$A$905,0))=0,"",INDEX(Catalogo!$H$5:$H$905,MATCH(A86,Catalogo!$A$5:$A$905,0))))</f>
        <v>19735.760999999999</v>
      </c>
      <c r="I86" s="13">
        <f t="shared" si="12"/>
        <v>1</v>
      </c>
      <c r="J86" s="6">
        <f t="shared" si="13"/>
        <v>19735.760999999999</v>
      </c>
      <c r="K86" s="6">
        <f t="shared" si="14"/>
        <v>7104873.959999999</v>
      </c>
      <c r="L86" s="6">
        <f t="shared" si="15"/>
        <v>0</v>
      </c>
      <c r="M86" t="str">
        <f t="shared" si="16"/>
        <v>Estimado proporcional</v>
      </c>
      <c r="N86" t="s">
        <v>1839</v>
      </c>
      <c r="O86" s="18">
        <v>360</v>
      </c>
      <c r="P86">
        <v>3</v>
      </c>
      <c r="Q86">
        <v>98</v>
      </c>
      <c r="R86" s="6">
        <f t="shared" si="17"/>
        <v>2466.9701249999998</v>
      </c>
    </row>
    <row r="87" spans="1:18" ht="30" customHeight="1">
      <c r="A87" s="17" t="s">
        <v>928</v>
      </c>
      <c r="B87" s="5" t="str">
        <f>IF(A87="","",IF(COUNTIF(Catalogo!$A$5:$A$905,A87)=0,"SKU no encontrado",INDEX(Catalogo!$B$5:$B$905,MATCH(A87,Catalogo!$A$5:$A$905,0))))</f>
        <v>H2OH STILL MANZANA PET X8 2000CC</v>
      </c>
      <c r="C87">
        <f>IF(OR(A87="",B87="SKU no encontrado"),"",INDEX(Catalogo!$C$5:$C$905,MATCH(A87,Catalogo!$A$5:$A$905,0)))</f>
        <v>8</v>
      </c>
      <c r="D87" s="19">
        <v>46383</v>
      </c>
      <c r="E87" s="20">
        <v>26</v>
      </c>
      <c r="F87" s="20"/>
      <c r="G87" s="12">
        <f>+LotesTrelew[[#This Row],[Final deseado / unidad sugerido]]/1.3</f>
        <v>0</v>
      </c>
      <c r="H87" s="6">
        <f>IF(OR(A87="",B87="SKU no encontrado"),"",IF(INDEX(Catalogo!$H$5:$H$905,MATCH(A87,Catalogo!$A$5:$A$905,0))=0,"",INDEX(Catalogo!$H$5:$H$905,MATCH(A87,Catalogo!$A$5:$A$905,0))))</f>
        <v>27312.145</v>
      </c>
      <c r="I87" s="13">
        <f t="shared" si="12"/>
        <v>1</v>
      </c>
      <c r="J87" s="6">
        <f t="shared" si="13"/>
        <v>27312.145</v>
      </c>
      <c r="K87" s="6">
        <f t="shared" si="14"/>
        <v>710115.77</v>
      </c>
      <c r="L87" s="6">
        <f t="shared" si="15"/>
        <v>0</v>
      </c>
      <c r="M87" t="str">
        <f t="shared" si="16"/>
        <v>Estimado proporcional</v>
      </c>
      <c r="N87" t="s">
        <v>1839</v>
      </c>
      <c r="O87" s="18">
        <v>26</v>
      </c>
      <c r="P87">
        <v>1</v>
      </c>
      <c r="Q87">
        <v>98</v>
      </c>
      <c r="R87" s="6">
        <f t="shared" si="17"/>
        <v>3414.0181250000001</v>
      </c>
    </row>
    <row r="88" spans="1:18" ht="30" customHeight="1">
      <c r="A88" s="17" t="s">
        <v>845</v>
      </c>
      <c r="B88" s="5" t="str">
        <f>IF(A88="","",IF(COUNTIF(Catalogo!$A$5:$A$905,A88)=0,"SKU no encontrado",INDEX(Catalogo!$B$5:$B$905,MATCH(A88,Catalogo!$A$5:$A$905,0))))</f>
        <v>PEPSI 70KCAL 4X6 354CC</v>
      </c>
      <c r="C88">
        <f>IF(OR(A88="",B88="SKU no encontrado"),"",INDEX(Catalogo!$C$5:$C$905,MATCH(A88,Catalogo!$A$5:$A$905,0)))</f>
        <v>24</v>
      </c>
      <c r="D88" s="19">
        <v>46384</v>
      </c>
      <c r="E88" s="20">
        <v>260</v>
      </c>
      <c r="F88" s="20"/>
      <c r="G88" s="12">
        <f>+LotesTrelew[[#This Row],[Final deseado / unidad sugerido]]/1.3</f>
        <v>0</v>
      </c>
      <c r="H88" s="6">
        <f>IF(OR(A88="",B88="SKU no encontrado"),"",IF(INDEX(Catalogo!$H$5:$H$905,MATCH(A88,Catalogo!$A$5:$A$905,0))=0,"",INDEX(Catalogo!$H$5:$H$905,MATCH(A88,Catalogo!$A$5:$A$905,0))))</f>
        <v>33511.089</v>
      </c>
      <c r="I88" s="13">
        <f t="shared" si="12"/>
        <v>1</v>
      </c>
      <c r="J88" s="6">
        <f t="shared" si="13"/>
        <v>33511.089</v>
      </c>
      <c r="K88" s="6">
        <f t="shared" si="14"/>
        <v>8712883.1400000006</v>
      </c>
      <c r="L88" s="6">
        <f t="shared" si="15"/>
        <v>0</v>
      </c>
      <c r="M88" t="str">
        <f t="shared" si="16"/>
        <v>Estimado proporcional</v>
      </c>
      <c r="N88" t="s">
        <v>1839</v>
      </c>
      <c r="O88" s="18">
        <v>260</v>
      </c>
      <c r="P88">
        <v>2</v>
      </c>
      <c r="Q88">
        <v>99</v>
      </c>
      <c r="R88" s="6">
        <f t="shared" si="17"/>
        <v>1396.2953749999999</v>
      </c>
    </row>
    <row r="89" spans="1:18" ht="30" customHeight="1">
      <c r="A89" s="17" t="s">
        <v>845</v>
      </c>
      <c r="B89" s="5" t="str">
        <f>IF(A89="","",IF(COUNTIF(Catalogo!$A$5:$A$905,A89)=0,"SKU no encontrado",INDEX(Catalogo!$B$5:$B$905,MATCH(A89,Catalogo!$A$5:$A$905,0))))</f>
        <v>PEPSI 70KCAL 4X6 354CC</v>
      </c>
      <c r="C89">
        <f>IF(OR(A89="",B89="SKU no encontrado"),"",INDEX(Catalogo!$C$5:$C$905,MATCH(A89,Catalogo!$A$5:$A$905,0)))</f>
        <v>24</v>
      </c>
      <c r="D89" s="19">
        <v>46385</v>
      </c>
      <c r="E89" s="20">
        <v>24.25</v>
      </c>
      <c r="F89" s="20"/>
      <c r="G89" s="12">
        <f>+LotesTrelew[[#This Row],[Final deseado / unidad sugerido]]/1.3</f>
        <v>0</v>
      </c>
      <c r="H89" s="6">
        <f>IF(OR(A89="",B89="SKU no encontrado"),"",IF(INDEX(Catalogo!$H$5:$H$905,MATCH(A89,Catalogo!$A$5:$A$905,0))=0,"",INDEX(Catalogo!$H$5:$H$905,MATCH(A89,Catalogo!$A$5:$A$905,0))))</f>
        <v>33511.089</v>
      </c>
      <c r="I89" s="13">
        <f t="shared" si="12"/>
        <v>1</v>
      </c>
      <c r="J89" s="6">
        <f t="shared" si="13"/>
        <v>33511.089</v>
      </c>
      <c r="K89" s="6">
        <f t="shared" si="14"/>
        <v>812643.90824999998</v>
      </c>
      <c r="L89" s="6">
        <f t="shared" si="15"/>
        <v>0</v>
      </c>
      <c r="M89" t="str">
        <f t="shared" si="16"/>
        <v>Estimado proporcional</v>
      </c>
      <c r="N89" t="s">
        <v>1839</v>
      </c>
      <c r="O89" s="18">
        <v>24.25</v>
      </c>
      <c r="P89">
        <v>3</v>
      </c>
      <c r="Q89">
        <v>100</v>
      </c>
      <c r="R89" s="6">
        <f t="shared" si="17"/>
        <v>1396.2953749999999</v>
      </c>
    </row>
    <row r="90" spans="1:18" ht="30" customHeight="1">
      <c r="A90" s="17" t="s">
        <v>57</v>
      </c>
      <c r="B90" s="5" t="str">
        <f>IF(A90="","",IF(COUNTIF(Catalogo!$A$5:$A$905,A90)=0,"SKU no encontrado",INDEX(Catalogo!$B$5:$B$905,MATCH(A90,Catalogo!$A$5:$A$905,0))))</f>
        <v>PEPSI 70KCAL PET X8 2000CC</v>
      </c>
      <c r="C90">
        <f>IF(OR(A90="",B90="SKU no encontrado"),"",INDEX(Catalogo!$C$5:$C$905,MATCH(A90,Catalogo!$A$5:$A$905,0)))</f>
        <v>8</v>
      </c>
      <c r="D90" s="19">
        <v>46386</v>
      </c>
      <c r="E90" s="20">
        <v>480</v>
      </c>
      <c r="F90" s="20"/>
      <c r="G90" s="12">
        <f>+LotesTrelew[[#This Row],[Final deseado / unidad sugerido]]/1.3</f>
        <v>0</v>
      </c>
      <c r="H90" s="6">
        <f>IF(OR(A90="",B90="SKU no encontrado"),"",IF(INDEX(Catalogo!$H$5:$H$905,MATCH(A90,Catalogo!$A$5:$A$905,0))=0,"",INDEX(Catalogo!$H$5:$H$905,MATCH(A90,Catalogo!$A$5:$A$905,0))))</f>
        <v>29656.170999999998</v>
      </c>
      <c r="I90" s="13">
        <f t="shared" si="12"/>
        <v>1</v>
      </c>
      <c r="J90" s="6">
        <f t="shared" si="13"/>
        <v>29656.170999999998</v>
      </c>
      <c r="K90" s="6">
        <f t="shared" si="14"/>
        <v>14234962.08</v>
      </c>
      <c r="L90" s="6">
        <f t="shared" si="15"/>
        <v>0</v>
      </c>
      <c r="M90" t="str">
        <f t="shared" si="16"/>
        <v>Estimado proporcional</v>
      </c>
      <c r="N90" t="s">
        <v>1839</v>
      </c>
      <c r="O90" s="18">
        <v>480</v>
      </c>
      <c r="P90">
        <v>3</v>
      </c>
      <c r="Q90">
        <v>105</v>
      </c>
      <c r="R90" s="6">
        <f t="shared" si="17"/>
        <v>3707.0213749999998</v>
      </c>
    </row>
    <row r="91" spans="1:18" ht="30" customHeight="1">
      <c r="A91" s="17" t="s">
        <v>330</v>
      </c>
      <c r="B91" s="5" t="str">
        <f>IF(A91="","",IF(COUNTIF(Catalogo!$A$5:$A$905,A91)=0,"SKU no encontrado",INDEX(Catalogo!$B$5:$B$905,MATCH(A91,Catalogo!$A$5:$A$905,0))))</f>
        <v>BRAHMA - 4X6 LAT 473</v>
      </c>
      <c r="C91">
        <f>IF(OR(A91="",B91="SKU no encontrado"),"",INDEX(Catalogo!$C$5:$C$905,MATCH(A91,Catalogo!$A$5:$A$905,0)))</f>
        <v>24</v>
      </c>
      <c r="D91" s="19">
        <v>46388</v>
      </c>
      <c r="E91" s="20">
        <v>262.375</v>
      </c>
      <c r="F91" s="20"/>
      <c r="G91" s="12">
        <f>+LotesTrelew[[#This Row],[Final deseado / unidad sugerido]]/1.3</f>
        <v>0</v>
      </c>
      <c r="H91" s="6">
        <f>IF(OR(A91="",B91="SKU no encontrado"),"",IF(INDEX(Catalogo!$H$5:$H$905,MATCH(A91,Catalogo!$A$5:$A$905,0))=0,"",INDEX(Catalogo!$H$5:$H$905,MATCH(A91,Catalogo!$A$5:$A$905,0))))</f>
        <v>44611.684000000001</v>
      </c>
      <c r="I91" s="13">
        <f t="shared" si="12"/>
        <v>1</v>
      </c>
      <c r="J91" s="6">
        <f t="shared" si="13"/>
        <v>44611.684000000001</v>
      </c>
      <c r="K91" s="6">
        <f t="shared" si="14"/>
        <v>11704990.589500001</v>
      </c>
      <c r="L91" s="6">
        <f t="shared" si="15"/>
        <v>0</v>
      </c>
      <c r="M91" t="str">
        <f t="shared" si="16"/>
        <v>Estimado proporcional</v>
      </c>
      <c r="N91" t="s">
        <v>1839</v>
      </c>
      <c r="O91" s="18">
        <v>262.375</v>
      </c>
      <c r="P91">
        <v>1</v>
      </c>
      <c r="Q91">
        <v>107</v>
      </c>
      <c r="R91" s="6">
        <f t="shared" si="17"/>
        <v>1858.8201666666666</v>
      </c>
    </row>
    <row r="92" spans="1:18" ht="30" customHeight="1">
      <c r="A92" s="17" t="s">
        <v>1079</v>
      </c>
      <c r="B92" s="5" t="str">
        <f>IF(A92="","",IF(COUNTIF(Catalogo!$A$5:$A$905,A92)=0,"SKU no encontrado",INDEX(Catalogo!$B$5:$B$905,MATCH(A92,Catalogo!$A$5:$A$905,0))))</f>
        <v>ARROZ LF MOLINOS ALA X10 500GR</v>
      </c>
      <c r="C92">
        <f>IF(OR(A92="",B92="SKU no encontrado"),"",INDEX(Catalogo!$C$5:$C$905,MATCH(A92,Catalogo!$A$5:$A$905,0)))</f>
        <v>10</v>
      </c>
      <c r="D92" s="19">
        <v>46388</v>
      </c>
      <c r="E92" s="20">
        <v>0.5</v>
      </c>
      <c r="F92" s="20"/>
      <c r="G92" s="12">
        <f>+LotesTrelew[[#This Row],[Final deseado / unidad sugerido]]/1.3</f>
        <v>0</v>
      </c>
      <c r="H92" s="6">
        <f>IF(OR(A92="",B92="SKU no encontrado"),"",IF(INDEX(Catalogo!$H$5:$H$905,MATCH(A92,Catalogo!$A$5:$A$905,0))=0,"",INDEX(Catalogo!$H$5:$H$905,MATCH(A92,Catalogo!$A$5:$A$905,0))))</f>
        <v>12919.833000000001</v>
      </c>
      <c r="I92" s="13">
        <f t="shared" si="12"/>
        <v>1</v>
      </c>
      <c r="J92" s="6">
        <f t="shared" si="13"/>
        <v>12919.833000000001</v>
      </c>
      <c r="K92" s="6">
        <f t="shared" si="14"/>
        <v>6459.9165000000003</v>
      </c>
      <c r="L92" s="6">
        <f t="shared" si="15"/>
        <v>0</v>
      </c>
      <c r="M92" t="str">
        <f t="shared" si="16"/>
        <v>Estimado proporcional</v>
      </c>
      <c r="N92" t="s">
        <v>1839</v>
      </c>
      <c r="O92" s="18">
        <v>0.5</v>
      </c>
      <c r="P92">
        <v>1</v>
      </c>
      <c r="Q92">
        <v>103</v>
      </c>
      <c r="R92" s="6">
        <f t="shared" si="17"/>
        <v>1291.9833000000001</v>
      </c>
    </row>
    <row r="93" spans="1:18" ht="30" customHeight="1">
      <c r="A93" s="17" t="s">
        <v>87</v>
      </c>
      <c r="B93" s="5" t="str">
        <f>IF(A93="","",IF(COUNTIF(Catalogo!$A$5:$A$905,A93)=0,"SKU no encontrado",INDEX(Catalogo!$B$5:$B$905,MATCH(A93,Catalogo!$A$5:$A$905,0))))</f>
        <v>GATORADE UVA * X6 PET 500</v>
      </c>
      <c r="C93">
        <f>IF(OR(A93="",B93="SKU no encontrado"),"",INDEX(Catalogo!$C$5:$C$905,MATCH(A93,Catalogo!$A$5:$A$905,0)))</f>
        <v>6</v>
      </c>
      <c r="D93" s="19">
        <v>46391</v>
      </c>
      <c r="E93" s="20">
        <v>193</v>
      </c>
      <c r="F93" s="20"/>
      <c r="G93" s="12">
        <f>+LotesTrelew[[#This Row],[Final deseado / unidad sugerido]]/1.3</f>
        <v>0</v>
      </c>
      <c r="H93" s="6">
        <f>IF(OR(A93="",B93="SKU no encontrado"),"",IF(INDEX(Catalogo!$H$5:$H$905,MATCH(A93,Catalogo!$A$5:$A$905,0))=0,"",INDEX(Catalogo!$H$5:$H$905,MATCH(A93,Catalogo!$A$5:$A$905,0))))</f>
        <v>12591.147000000001</v>
      </c>
      <c r="I93" s="13">
        <f t="shared" si="12"/>
        <v>1</v>
      </c>
      <c r="J93" s="6">
        <f t="shared" si="13"/>
        <v>12591.147000000001</v>
      </c>
      <c r="K93" s="6">
        <f t="shared" si="14"/>
        <v>2430091.3710000003</v>
      </c>
      <c r="L93" s="6">
        <f t="shared" si="15"/>
        <v>0</v>
      </c>
      <c r="M93" t="str">
        <f t="shared" si="16"/>
        <v>Estimado proporcional</v>
      </c>
      <c r="N93" t="s">
        <v>1839</v>
      </c>
      <c r="O93" s="18">
        <v>193</v>
      </c>
      <c r="P93">
        <v>1</v>
      </c>
      <c r="Q93">
        <v>106</v>
      </c>
      <c r="R93" s="6">
        <f t="shared" si="17"/>
        <v>2098.5245</v>
      </c>
    </row>
    <row r="94" spans="1:18" ht="30" customHeight="1">
      <c r="A94" s="17" t="s">
        <v>663</v>
      </c>
      <c r="B94" s="5" t="str">
        <f>IF(A94="","",IF(COUNTIF(Catalogo!$A$5:$A$905,A94)=0,"SKU no encontrado",INDEX(Catalogo!$B$5:$B$905,MATCH(A94,Catalogo!$A$5:$A$905,0))))</f>
        <v>STELLA ARTOIS PM OW 4X6 330CC</v>
      </c>
      <c r="C94">
        <f>IF(OR(A94="",B94="SKU no encontrado"),"",INDEX(Catalogo!$C$5:$C$905,MATCH(A94,Catalogo!$A$5:$A$905,0)))</f>
        <v>24</v>
      </c>
      <c r="D94" s="19">
        <v>46391</v>
      </c>
      <c r="E94" s="20">
        <v>10.833333333300001</v>
      </c>
      <c r="F94" s="20"/>
      <c r="G94" s="12">
        <f>+LotesTrelew[[#This Row],[Final deseado / unidad sugerido]]/1.3</f>
        <v>0</v>
      </c>
      <c r="H94" s="6">
        <f>IF(OR(A94="",B94="SKU no encontrado"),"",IF(INDEX(Catalogo!$H$5:$H$905,MATCH(A94,Catalogo!$A$5:$A$905,0))=0,"",INDEX(Catalogo!$H$5:$H$905,MATCH(A94,Catalogo!$A$5:$A$905,0))))</f>
        <v>68154.698999999993</v>
      </c>
      <c r="I94" s="13">
        <f t="shared" si="12"/>
        <v>1</v>
      </c>
      <c r="J94" s="6">
        <f t="shared" si="13"/>
        <v>68154.698999999993</v>
      </c>
      <c r="K94" s="6">
        <f t="shared" si="14"/>
        <v>738342.57249772816</v>
      </c>
      <c r="L94" s="6">
        <f t="shared" si="15"/>
        <v>0</v>
      </c>
      <c r="M94" t="str">
        <f t="shared" si="16"/>
        <v>Estimado proporcional</v>
      </c>
      <c r="N94" t="s">
        <v>1839</v>
      </c>
      <c r="O94" s="18">
        <v>10.833333333300001</v>
      </c>
      <c r="P94">
        <v>2</v>
      </c>
      <c r="Q94">
        <v>106</v>
      </c>
      <c r="R94" s="6">
        <f t="shared" si="17"/>
        <v>2839.7791249999996</v>
      </c>
    </row>
    <row r="95" spans="1:18" ht="30" customHeight="1">
      <c r="A95" s="17" t="s">
        <v>998</v>
      </c>
      <c r="B95" s="5" t="str">
        <f>IF(A95="","",IF(COUNTIF(Catalogo!$A$5:$A$905,A95)=0,"SKU no encontrado",INDEX(Catalogo!$B$5:$B$905,MATCH(A95,Catalogo!$A$5:$A$905,0))))</f>
        <v>PATAGONIA VERA IPA OW X6 730CC TERMO</v>
      </c>
      <c r="C95">
        <f>IF(OR(A95="",B95="SKU no encontrado"),"",INDEX(Catalogo!$C$5:$C$905,MATCH(A95,Catalogo!$A$5:$A$905,0)))</f>
        <v>6</v>
      </c>
      <c r="D95" s="19">
        <v>46391</v>
      </c>
      <c r="E95" s="20">
        <v>623</v>
      </c>
      <c r="F95" s="20"/>
      <c r="G95" s="12">
        <f>+LotesTrelew[[#This Row],[Final deseado / unidad sugerido]]/1.3</f>
        <v>0</v>
      </c>
      <c r="H95" s="6">
        <f>IF(OR(A95="",B95="SKU no encontrado"),"",IF(INDEX(Catalogo!$H$5:$H$905,MATCH(A95,Catalogo!$A$5:$A$905,0))=0,"",INDEX(Catalogo!$H$5:$H$905,MATCH(A95,Catalogo!$A$5:$A$905,0))))</f>
        <v>29135.981</v>
      </c>
      <c r="I95" s="13">
        <f t="shared" si="12"/>
        <v>1</v>
      </c>
      <c r="J95" s="6">
        <f t="shared" si="13"/>
        <v>29135.981</v>
      </c>
      <c r="K95" s="6">
        <f t="shared" si="14"/>
        <v>18151716.162999999</v>
      </c>
      <c r="L95" s="6">
        <f t="shared" si="15"/>
        <v>0</v>
      </c>
      <c r="M95" t="str">
        <f t="shared" si="16"/>
        <v>Estimado proporcional</v>
      </c>
      <c r="N95" t="s">
        <v>1839</v>
      </c>
      <c r="O95" s="18">
        <v>623</v>
      </c>
      <c r="P95">
        <v>1</v>
      </c>
      <c r="Q95">
        <v>106</v>
      </c>
      <c r="R95" s="6">
        <f t="shared" si="17"/>
        <v>4855.9968333333336</v>
      </c>
    </row>
    <row r="96" spans="1:18" ht="30" customHeight="1">
      <c r="A96" s="17" t="s">
        <v>85</v>
      </c>
      <c r="B96" s="5" t="str">
        <f>IF(A96="","",IF(COUNTIF(Catalogo!$A$5:$A$905,A96)=0,"SKU no encontrado",INDEX(Catalogo!$B$5:$B$905,MATCH(A96,Catalogo!$A$5:$A$905,0))))</f>
        <v>GATORADE COOLBLU * X6 PET 500</v>
      </c>
      <c r="C96">
        <f>IF(OR(A96="",B96="SKU no encontrado"),"",INDEX(Catalogo!$C$5:$C$905,MATCH(A96,Catalogo!$A$5:$A$905,0)))</f>
        <v>6</v>
      </c>
      <c r="D96" s="19">
        <v>46396</v>
      </c>
      <c r="E96" s="20">
        <v>312</v>
      </c>
      <c r="F96" s="20"/>
      <c r="G96" s="12">
        <f>+LotesTrelew[[#This Row],[Final deseado / unidad sugerido]]/1.3</f>
        <v>0</v>
      </c>
      <c r="H96" s="6">
        <f>IF(OR(A96="",B96="SKU no encontrado"),"",IF(INDEX(Catalogo!$H$5:$H$905,MATCH(A96,Catalogo!$A$5:$A$905,0))=0,"",INDEX(Catalogo!$H$5:$H$905,MATCH(A96,Catalogo!$A$5:$A$905,0))))</f>
        <v>12591.147000000001</v>
      </c>
      <c r="I96" s="13">
        <f t="shared" si="12"/>
        <v>1</v>
      </c>
      <c r="J96" s="6">
        <f t="shared" si="13"/>
        <v>12591.147000000001</v>
      </c>
      <c r="K96" s="6">
        <f t="shared" si="14"/>
        <v>3928437.8640000001</v>
      </c>
      <c r="L96" s="6">
        <f t="shared" si="15"/>
        <v>0</v>
      </c>
      <c r="M96" t="str">
        <f t="shared" si="16"/>
        <v>Estimado proporcional</v>
      </c>
      <c r="N96" t="s">
        <v>1839</v>
      </c>
      <c r="O96" s="18">
        <v>312</v>
      </c>
      <c r="P96">
        <v>1</v>
      </c>
      <c r="Q96">
        <v>111</v>
      </c>
      <c r="R96" s="6">
        <f t="shared" si="17"/>
        <v>2098.5245</v>
      </c>
    </row>
    <row r="97" spans="1:18" ht="30" customHeight="1">
      <c r="A97" s="17" t="s">
        <v>758</v>
      </c>
      <c r="B97" s="5" t="str">
        <f>IF(A97="","",IF(COUNTIF(Catalogo!$A$5:$A$905,A97)=0,"SKU no encontrado",INDEX(Catalogo!$B$5:$B$905,MATCH(A97,Catalogo!$A$5:$A$905,0))))</f>
        <v>QUILMES IPA CAN 4X6 473CC</v>
      </c>
      <c r="C97">
        <f>IF(OR(A97="",B97="SKU no encontrado"),"",INDEX(Catalogo!$C$5:$C$905,MATCH(A97,Catalogo!$A$5:$A$905,0)))</f>
        <v>24</v>
      </c>
      <c r="D97" s="19">
        <v>46396</v>
      </c>
      <c r="E97" s="20">
        <v>348.75</v>
      </c>
      <c r="F97" s="20"/>
      <c r="G97" s="12">
        <f>+LotesTrelew[[#This Row],[Final deseado / unidad sugerido]]/1.3</f>
        <v>0</v>
      </c>
      <c r="H97" s="6">
        <f>IF(OR(A97="",B97="SKU no encontrado"),"",IF(INDEX(Catalogo!$H$5:$H$905,MATCH(A97,Catalogo!$A$5:$A$905,0))=0,"",INDEX(Catalogo!$H$5:$H$905,MATCH(A97,Catalogo!$A$5:$A$905,0))))</f>
        <v>48405.919000000002</v>
      </c>
      <c r="I97" s="13">
        <f t="shared" si="12"/>
        <v>1</v>
      </c>
      <c r="J97" s="6">
        <f t="shared" si="13"/>
        <v>48405.919000000002</v>
      </c>
      <c r="K97" s="6">
        <f t="shared" si="14"/>
        <v>16881564.251249999</v>
      </c>
      <c r="L97" s="6">
        <f t="shared" si="15"/>
        <v>0</v>
      </c>
      <c r="M97" t="str">
        <f t="shared" si="16"/>
        <v>Estimado proporcional</v>
      </c>
      <c r="N97" t="s">
        <v>1839</v>
      </c>
      <c r="O97" s="18">
        <v>348.75</v>
      </c>
      <c r="P97">
        <v>1</v>
      </c>
      <c r="Q97">
        <v>111</v>
      </c>
      <c r="R97" s="6">
        <f t="shared" si="17"/>
        <v>2016.9132916666667</v>
      </c>
    </row>
    <row r="98" spans="1:18" ht="30" customHeight="1">
      <c r="A98" s="17" t="s">
        <v>64</v>
      </c>
      <c r="B98" s="5" t="str">
        <f>IF(A98="","",IF(COUNTIF(Catalogo!$A$5:$A$905,A98)=0,"SKU no encontrado",INDEX(Catalogo!$B$5:$B$905,MATCH(A98,Catalogo!$A$5:$A$905,0))))</f>
        <v>GATORADE MANZANA * X6 PET 500</v>
      </c>
      <c r="C98">
        <f>IF(OR(A98="",B98="SKU no encontrado"),"",INDEX(Catalogo!$C$5:$C$905,MATCH(A98,Catalogo!$A$5:$A$905,0)))</f>
        <v>6</v>
      </c>
      <c r="D98" s="19">
        <v>46397</v>
      </c>
      <c r="E98" s="20">
        <v>85</v>
      </c>
      <c r="F98" s="20"/>
      <c r="G98" s="12">
        <f>+LotesTrelew[[#This Row],[Final deseado / unidad sugerido]]/1.3</f>
        <v>0</v>
      </c>
      <c r="H98" s="6">
        <f>IF(OR(A98="",B98="SKU no encontrado"),"",IF(INDEX(Catalogo!$H$5:$H$905,MATCH(A98,Catalogo!$A$5:$A$905,0))=0,"",INDEX(Catalogo!$H$5:$H$905,MATCH(A98,Catalogo!$A$5:$A$905,0))))</f>
        <v>12591.147000000001</v>
      </c>
      <c r="I98" s="13">
        <f t="shared" si="12"/>
        <v>1</v>
      </c>
      <c r="J98" s="6">
        <f t="shared" si="13"/>
        <v>12591.147000000001</v>
      </c>
      <c r="K98" s="6">
        <f t="shared" si="14"/>
        <v>1070247.4950000001</v>
      </c>
      <c r="L98" s="6">
        <f t="shared" si="15"/>
        <v>0</v>
      </c>
      <c r="M98" t="str">
        <f t="shared" si="16"/>
        <v>Estimado proporcional</v>
      </c>
      <c r="N98" t="s">
        <v>1839</v>
      </c>
      <c r="O98" s="18">
        <v>85</v>
      </c>
      <c r="P98">
        <v>1</v>
      </c>
      <c r="Q98">
        <v>112</v>
      </c>
      <c r="R98" s="6">
        <f t="shared" si="17"/>
        <v>2098.5245</v>
      </c>
    </row>
    <row r="99" spans="1:18" ht="30" customHeight="1">
      <c r="A99" s="17" t="s">
        <v>834</v>
      </c>
      <c r="B99" s="5" t="str">
        <f>IF(A99="","",IF(COUNTIF(Catalogo!$A$5:$A$905,A99)=0,"SKU no encontrado",INDEX(Catalogo!$B$5:$B$905,MATCH(A99,Catalogo!$A$5:$A$905,0))))</f>
        <v>SEVEN-UP NF CAN 130 BUL/PAL 4X6 354CC</v>
      </c>
      <c r="C99">
        <f>IF(OR(A99="",B99="SKU no encontrado"),"",INDEX(Catalogo!$C$5:$C$905,MATCH(A99,Catalogo!$A$5:$A$905,0)))</f>
        <v>24</v>
      </c>
      <c r="D99" s="19">
        <v>46397</v>
      </c>
      <c r="E99" s="20">
        <v>130</v>
      </c>
      <c r="F99" s="20"/>
      <c r="G99" s="12">
        <f>+LotesTrelew[[#This Row],[Final deseado / unidad sugerido]]/1.3</f>
        <v>0</v>
      </c>
      <c r="H99" s="6">
        <f>IF(OR(A99="",B99="SKU no encontrado"),"",IF(INDEX(Catalogo!$H$5:$H$905,MATCH(A99,Catalogo!$A$5:$A$905,0))=0,"",INDEX(Catalogo!$H$5:$H$905,MATCH(A99,Catalogo!$A$5:$A$905,0))))</f>
        <v>33544.110999999997</v>
      </c>
      <c r="I99" s="13">
        <f t="shared" si="12"/>
        <v>1</v>
      </c>
      <c r="J99" s="6">
        <f t="shared" si="13"/>
        <v>33544.110999999997</v>
      </c>
      <c r="K99" s="6">
        <f t="shared" si="14"/>
        <v>4360734.43</v>
      </c>
      <c r="L99" s="6">
        <f t="shared" si="15"/>
        <v>0</v>
      </c>
      <c r="M99" t="str">
        <f t="shared" si="16"/>
        <v>Estimado proporcional</v>
      </c>
      <c r="N99" t="s">
        <v>1839</v>
      </c>
      <c r="O99" s="18">
        <v>130</v>
      </c>
      <c r="P99">
        <v>2</v>
      </c>
      <c r="Q99">
        <v>112</v>
      </c>
      <c r="R99" s="6">
        <f t="shared" si="17"/>
        <v>1397.6712916666665</v>
      </c>
    </row>
    <row r="100" spans="1:18" ht="30" customHeight="1">
      <c r="A100" s="17" t="s">
        <v>386</v>
      </c>
      <c r="B100" s="5" t="str">
        <f>IF(A100="","",IF(COUNTIF(Catalogo!$A$5:$A$905,A100)=0,"SKU no encontrado",INDEX(Catalogo!$B$5:$B$905,MATCH(A100,Catalogo!$A$5:$A$905,0))))</f>
        <v>GATORADE FRU TRO * X6 PET 500#</v>
      </c>
      <c r="C100">
        <f>IF(OR(A100="",B100="SKU no encontrado"),"",INDEX(Catalogo!$C$5:$C$905,MATCH(A100,Catalogo!$A$5:$A$905,0)))</f>
        <v>6</v>
      </c>
      <c r="D100" s="19">
        <v>46398</v>
      </c>
      <c r="E100" s="20">
        <v>5</v>
      </c>
      <c r="F100" s="20"/>
      <c r="G100" s="12">
        <f>+LotesTrelew[[#This Row],[Final deseado / unidad sugerido]]/1.3</f>
        <v>0</v>
      </c>
      <c r="H100" s="6">
        <f>IF(OR(A100="",B100="SKU no encontrado"),"",IF(INDEX(Catalogo!$H$5:$H$905,MATCH(A100,Catalogo!$A$5:$A$905,0))=0,"",INDEX(Catalogo!$H$5:$H$905,MATCH(A100,Catalogo!$A$5:$A$905,0))))</f>
        <v>12591.147000000001</v>
      </c>
      <c r="I100" s="13">
        <f t="shared" si="12"/>
        <v>1</v>
      </c>
      <c r="J100" s="6">
        <f t="shared" si="13"/>
        <v>12591.147000000001</v>
      </c>
      <c r="K100" s="6">
        <f t="shared" si="14"/>
        <v>62955.735000000001</v>
      </c>
      <c r="L100" s="6">
        <f t="shared" si="15"/>
        <v>0</v>
      </c>
      <c r="M100" t="str">
        <f t="shared" si="16"/>
        <v>Estimado proporcional</v>
      </c>
      <c r="N100" t="s">
        <v>1839</v>
      </c>
      <c r="O100" s="18">
        <v>5</v>
      </c>
      <c r="P100">
        <v>1</v>
      </c>
      <c r="Q100">
        <v>113</v>
      </c>
      <c r="R100" s="6">
        <f t="shared" si="17"/>
        <v>2098.5245</v>
      </c>
    </row>
    <row r="101" spans="1:18" ht="30" customHeight="1">
      <c r="A101" s="17" t="s">
        <v>633</v>
      </c>
      <c r="B101" s="5" t="str">
        <f>IF(A101="","",IF(COUNTIF(Catalogo!$A$5:$A$905,A101)=0,"SKU no encontrado",INDEX(Catalogo!$B$5:$B$905,MATCH(A101,Catalogo!$A$5:$A$905,0))))</f>
        <v>STELLA ARTOIS OW X6 710CC</v>
      </c>
      <c r="C101">
        <f>IF(OR(A101="",B101="SKU no encontrado"),"",INDEX(Catalogo!$C$5:$C$905,MATCH(A101,Catalogo!$A$5:$A$905,0)))</f>
        <v>6</v>
      </c>
      <c r="D101" s="19">
        <v>46401</v>
      </c>
      <c r="E101" s="20">
        <v>5.5</v>
      </c>
      <c r="F101" s="20"/>
      <c r="G101" s="12">
        <f>+LotesTrelew[[#This Row],[Final deseado / unidad sugerido]]/1.3</f>
        <v>0</v>
      </c>
      <c r="H101" s="6">
        <f>IF(OR(A101="",B101="SKU no encontrado"),"",IF(INDEX(Catalogo!$H$5:$H$905,MATCH(A101,Catalogo!$A$5:$A$905,0))=0,"",INDEX(Catalogo!$H$5:$H$905,MATCH(A101,Catalogo!$A$5:$A$905,0))))</f>
        <v>26454.031999999999</v>
      </c>
      <c r="I101" s="13">
        <f t="shared" ref="I101:I132" si="18">IF(OR(N101="ELIMINAR",H101="",G101="",G101&lt;0,C101&lt;=0,G101*C101&gt;H101,E101&gt;O101),"",1-G101*C101/H101)</f>
        <v>1</v>
      </c>
      <c r="J101" s="6">
        <f t="shared" ref="J101:J132" si="19">IF(I101="","",H101-G101*C101)</f>
        <v>26454.031999999999</v>
      </c>
      <c r="K101" s="6">
        <f t="shared" ref="K101:K132" si="20">IF(OR(J101="",E101="",E101&lt;=0),"",J101*E101)</f>
        <v>145497.17600000001</v>
      </c>
      <c r="L101" s="6">
        <f t="shared" ref="L101:L132" si="21">IF(OR(I101="",C101&lt;=0),"",G101*C101)</f>
        <v>0</v>
      </c>
      <c r="M101" t="str">
        <f t="shared" ref="M101:M132" si="22">IF(N101="ELIMINAR","ELIMINAR según origen",IF(H101="","Sin precio válido",IF(C101&lt;=0,"Sin unidades por bulto",IF(G101="","Completar precio unitario",IF(OR(G101&lt;0,G101*C101&gt;H101),"Revisar precio unitario",IF(OR(E101&lt;=0,E101&gt;O101),"Revisar bultos vs. stock","Estimado proporcional"))))))</f>
        <v>Estimado proporcional</v>
      </c>
      <c r="N101" t="s">
        <v>1839</v>
      </c>
      <c r="O101" s="18">
        <v>5.5</v>
      </c>
      <c r="P101">
        <v>1</v>
      </c>
      <c r="Q101">
        <v>116</v>
      </c>
      <c r="R101" s="6">
        <f t="shared" ref="R101:R132" si="23">IF(OR(H101="",C101&lt;=0),"",H101/C101)</f>
        <v>4409.0053333333335</v>
      </c>
    </row>
    <row r="102" spans="1:18" ht="30" customHeight="1">
      <c r="A102" s="17" t="s">
        <v>462</v>
      </c>
      <c r="B102" s="5" t="str">
        <f>IF(A102="","",IF(COUNTIF(Catalogo!$A$5:$A$905,A102)=0,"SKU no encontrado",INDEX(Catalogo!$B$5:$B$905,MATCH(A102,Catalogo!$A$5:$A$905,0))))</f>
        <v>ECO DE LOS ANDES CG PET X12 500 MIX 203</v>
      </c>
      <c r="C102">
        <f>IF(OR(A102="",B102="SKU no encontrado"),"",INDEX(Catalogo!$C$5:$C$905,MATCH(A102,Catalogo!$A$5:$A$905,0)))</f>
        <v>12</v>
      </c>
      <c r="D102" s="19">
        <v>46404</v>
      </c>
      <c r="E102" s="20">
        <v>114</v>
      </c>
      <c r="F102" s="20"/>
      <c r="G102" s="12">
        <f>+LotesTrelew[[#This Row],[Final deseado / unidad sugerido]]/1.3</f>
        <v>0</v>
      </c>
      <c r="H102" s="6">
        <f>IF(OR(A102="",B102="SKU no encontrado"),"",IF(INDEX(Catalogo!$H$5:$H$905,MATCH(A102,Catalogo!$A$5:$A$905,0))=0,"",INDEX(Catalogo!$H$5:$H$905,MATCH(A102,Catalogo!$A$5:$A$905,0))))</f>
        <v>18843.681</v>
      </c>
      <c r="I102" s="13">
        <f t="shared" si="18"/>
        <v>1</v>
      </c>
      <c r="J102" s="6">
        <f t="shared" si="19"/>
        <v>18843.681</v>
      </c>
      <c r="K102" s="6">
        <f t="shared" si="20"/>
        <v>2148179.6340000001</v>
      </c>
      <c r="L102" s="6">
        <f t="shared" si="21"/>
        <v>0</v>
      </c>
      <c r="M102" t="str">
        <f t="shared" si="22"/>
        <v>Estimado proporcional</v>
      </c>
      <c r="N102" t="s">
        <v>1839</v>
      </c>
      <c r="O102" s="18">
        <v>114</v>
      </c>
      <c r="P102">
        <v>1</v>
      </c>
      <c r="Q102">
        <v>119</v>
      </c>
      <c r="R102" s="6">
        <f t="shared" si="23"/>
        <v>1570.30675</v>
      </c>
    </row>
    <row r="103" spans="1:18" ht="30" customHeight="1">
      <c r="A103" s="17" t="s">
        <v>700</v>
      </c>
      <c r="B103" s="5" t="str">
        <f>IF(A103="","",IF(COUNTIF(Catalogo!$A$5:$A$905,A103)=0,"SKU no encontrado",INDEX(Catalogo!$B$5:$B$905,MATCH(A103,Catalogo!$A$5:$A$905,0))))</f>
        <v>GATORADE COOL BLUE PET X6 1250CC</v>
      </c>
      <c r="C103">
        <f>IF(OR(A103="",B103="SKU no encontrado"),"",INDEX(Catalogo!$C$5:$C$905,MATCH(A103,Catalogo!$A$5:$A$905,0)))</f>
        <v>6</v>
      </c>
      <c r="D103" s="19">
        <v>46404</v>
      </c>
      <c r="E103" s="20">
        <v>116</v>
      </c>
      <c r="F103" s="20"/>
      <c r="G103" s="12">
        <f>+LotesTrelew[[#This Row],[Final deseado / unidad sugerido]]/1.3</f>
        <v>0</v>
      </c>
      <c r="H103" s="6">
        <f>IF(OR(A103="",B103="SKU no encontrado"),"",IF(INDEX(Catalogo!$H$5:$H$905,MATCH(A103,Catalogo!$A$5:$A$905,0))=0,"",INDEX(Catalogo!$H$5:$H$905,MATCH(A103,Catalogo!$A$5:$A$905,0))))</f>
        <v>26114.945</v>
      </c>
      <c r="I103" s="13">
        <f t="shared" si="18"/>
        <v>1</v>
      </c>
      <c r="J103" s="6">
        <f t="shared" si="19"/>
        <v>26114.945</v>
      </c>
      <c r="K103" s="6">
        <f t="shared" si="20"/>
        <v>3029333.62</v>
      </c>
      <c r="L103" s="6">
        <f t="shared" si="21"/>
        <v>0</v>
      </c>
      <c r="M103" t="str">
        <f t="shared" si="22"/>
        <v>Estimado proporcional</v>
      </c>
      <c r="N103" t="s">
        <v>1839</v>
      </c>
      <c r="O103" s="18">
        <v>116</v>
      </c>
      <c r="P103">
        <v>1</v>
      </c>
      <c r="Q103">
        <v>119</v>
      </c>
      <c r="R103" s="6">
        <f t="shared" si="23"/>
        <v>4352.4908333333333</v>
      </c>
    </row>
    <row r="104" spans="1:18" ht="30" customHeight="1">
      <c r="A104" s="17" t="s">
        <v>358</v>
      </c>
      <c r="B104" s="5" t="str">
        <f>IF(A104="","",IF(COUNTIF(Catalogo!$A$5:$A$905,A104)=0,"SKU no encontrado",INDEX(Catalogo!$B$5:$B$905,MATCH(A104,Catalogo!$A$5:$A$905,0))))</f>
        <v>MIRINDA MANZANA * X6 PET3000</v>
      </c>
      <c r="C104">
        <f>IF(OR(A104="",B104="SKU no encontrado"),"",INDEX(Catalogo!$C$5:$C$905,MATCH(A104,Catalogo!$A$5:$A$905,0)))</f>
        <v>6</v>
      </c>
      <c r="D104" s="19">
        <v>46406</v>
      </c>
      <c r="E104" s="20">
        <v>101</v>
      </c>
      <c r="F104" s="20"/>
      <c r="G104" s="12">
        <f>+LotesTrelew[[#This Row],[Final deseado / unidad sugerido]]/1.3</f>
        <v>0</v>
      </c>
      <c r="H104" s="6">
        <f>IF(OR(A104="",B104="SKU no encontrado"),"",IF(INDEX(Catalogo!$H$5:$H$905,MATCH(A104,Catalogo!$A$5:$A$905,0))=0,"",INDEX(Catalogo!$H$5:$H$905,MATCH(A104,Catalogo!$A$5:$A$905,0))))</f>
        <v>16404.333999999999</v>
      </c>
      <c r="I104" s="13">
        <f t="shared" si="18"/>
        <v>1</v>
      </c>
      <c r="J104" s="6">
        <f t="shared" si="19"/>
        <v>16404.333999999999</v>
      </c>
      <c r="K104" s="6">
        <f t="shared" si="20"/>
        <v>1656837.7339999999</v>
      </c>
      <c r="L104" s="6">
        <f t="shared" si="21"/>
        <v>0</v>
      </c>
      <c r="M104" t="str">
        <f t="shared" si="22"/>
        <v>Estimado proporcional</v>
      </c>
      <c r="N104" t="s">
        <v>1839</v>
      </c>
      <c r="O104" s="18">
        <v>101</v>
      </c>
      <c r="P104">
        <v>1</v>
      </c>
      <c r="Q104">
        <v>121</v>
      </c>
      <c r="R104" s="6">
        <f t="shared" si="23"/>
        <v>2734.0556666666666</v>
      </c>
    </row>
    <row r="105" spans="1:18" ht="30" customHeight="1">
      <c r="A105" s="17" t="s">
        <v>907</v>
      </c>
      <c r="B105" s="5" t="str">
        <f>IF(A105="","",IF(COUNTIF(Catalogo!$A$5:$A$905,A105)=0,"SKU no encontrado",INDEX(Catalogo!$B$5:$B$905,MATCH(A105,Catalogo!$A$5:$A$905,0))))</f>
        <v>PATAGONIA LAGER DEL SUR OW X6 730CC</v>
      </c>
      <c r="C105">
        <f>IF(OR(A105="",B105="SKU no encontrado"),"",INDEX(Catalogo!$C$5:$C$905,MATCH(A105,Catalogo!$A$5:$A$905,0)))</f>
        <v>6</v>
      </c>
      <c r="D105" s="19">
        <v>46406</v>
      </c>
      <c r="E105" s="20">
        <v>355.5</v>
      </c>
      <c r="F105" s="20"/>
      <c r="G105" s="12">
        <f>+LotesTrelew[[#This Row],[Final deseado / unidad sugerido]]/1.3</f>
        <v>0</v>
      </c>
      <c r="H105" s="6">
        <f>IF(OR(A105="",B105="SKU no encontrado"),"",IF(INDEX(Catalogo!$H$5:$H$905,MATCH(A105,Catalogo!$A$5:$A$905,0))=0,"",INDEX(Catalogo!$H$5:$H$905,MATCH(A105,Catalogo!$A$5:$A$905,0))))</f>
        <v>29135.981</v>
      </c>
      <c r="I105" s="13">
        <f t="shared" si="18"/>
        <v>1</v>
      </c>
      <c r="J105" s="6">
        <f t="shared" si="19"/>
        <v>29135.981</v>
      </c>
      <c r="K105" s="6">
        <f t="shared" si="20"/>
        <v>10357841.2455</v>
      </c>
      <c r="L105" s="6">
        <f t="shared" si="21"/>
        <v>0</v>
      </c>
      <c r="M105" t="str">
        <f t="shared" si="22"/>
        <v>Estimado proporcional</v>
      </c>
      <c r="N105" t="s">
        <v>1839</v>
      </c>
      <c r="O105" s="18">
        <v>355.5</v>
      </c>
      <c r="P105">
        <v>1</v>
      </c>
      <c r="Q105">
        <v>121</v>
      </c>
      <c r="R105" s="6">
        <f t="shared" si="23"/>
        <v>4855.9968333333336</v>
      </c>
    </row>
    <row r="106" spans="1:18" ht="30" customHeight="1">
      <c r="A106" s="17" t="s">
        <v>887</v>
      </c>
      <c r="B106" s="5" t="str">
        <f>IF(A106="","",IF(COUNTIF(Catalogo!$A$5:$A$905,A106)=0,"SKU no encontrado",INDEX(Catalogo!$B$5:$B$905,MATCH(A106,Catalogo!$A$5:$A$905,0))))</f>
        <v>ANDES ORIGEN RUBIA 2.0 CAN 4X4 710CC</v>
      </c>
      <c r="C106">
        <f>IF(OR(A106="",B106="SKU no encontrado"),"",INDEX(Catalogo!$C$5:$C$905,MATCH(A106,Catalogo!$A$5:$A$905,0)))</f>
        <v>16</v>
      </c>
      <c r="D106" s="19">
        <v>46407</v>
      </c>
      <c r="E106" s="20">
        <v>192</v>
      </c>
      <c r="F106" s="20"/>
      <c r="G106" s="12">
        <f>+LotesTrelew[[#This Row],[Final deseado / unidad sugerido]]/1.3</f>
        <v>0</v>
      </c>
      <c r="H106" s="6">
        <f>IF(OR(A106="",B106="SKU no encontrado"),"",IF(INDEX(Catalogo!$H$5:$H$905,MATCH(A106,Catalogo!$A$5:$A$905,0))=0,"",INDEX(Catalogo!$H$5:$H$905,MATCH(A106,Catalogo!$A$5:$A$905,0))))</f>
        <v>54426.142999999996</v>
      </c>
      <c r="I106" s="13">
        <f t="shared" si="18"/>
        <v>1</v>
      </c>
      <c r="J106" s="6">
        <f t="shared" si="19"/>
        <v>54426.142999999996</v>
      </c>
      <c r="K106" s="6">
        <f t="shared" si="20"/>
        <v>10449819.456</v>
      </c>
      <c r="L106" s="6">
        <f t="shared" si="21"/>
        <v>0</v>
      </c>
      <c r="M106" t="str">
        <f t="shared" si="22"/>
        <v>Estimado proporcional</v>
      </c>
      <c r="N106" t="s">
        <v>1839</v>
      </c>
      <c r="O106" s="18">
        <v>192</v>
      </c>
      <c r="P106">
        <v>2</v>
      </c>
      <c r="Q106">
        <v>122</v>
      </c>
      <c r="R106" s="6">
        <f t="shared" si="23"/>
        <v>3401.6339374999998</v>
      </c>
    </row>
    <row r="107" spans="1:18" ht="30" customHeight="1">
      <c r="A107" s="17" t="s">
        <v>576</v>
      </c>
      <c r="B107" s="5" t="str">
        <f>IF(A107="","",IF(COUNTIF(Catalogo!$A$5:$A$905,A107)=0,"SKU no encontrado",INDEX(Catalogo!$B$5:$B$905,MATCH(A107,Catalogo!$A$5:$A$905,0))))</f>
        <v>PATAGONIA VERA IPA EURO KEG 20L</v>
      </c>
      <c r="C107">
        <f>IF(OR(A107="",B107="SKU no encontrado"),"",INDEX(Catalogo!$C$5:$C$905,MATCH(A107,Catalogo!$A$5:$A$905,0)))</f>
        <v>1</v>
      </c>
      <c r="D107" s="19">
        <v>46408</v>
      </c>
      <c r="E107" s="20">
        <v>1</v>
      </c>
      <c r="F107" s="20"/>
      <c r="G107" s="12">
        <f>+LotesTrelew[[#This Row],[Final deseado / unidad sugerido]]/1.3</f>
        <v>0</v>
      </c>
      <c r="H107" s="6">
        <f>IF(OR(A107="",B107="SKU no encontrado"),"",IF(INDEX(Catalogo!$H$5:$H$905,MATCH(A107,Catalogo!$A$5:$A$905,0))=0,"",INDEX(Catalogo!$H$5:$H$905,MATCH(A107,Catalogo!$A$5:$A$905,0))))</f>
        <v>145134.34400000001</v>
      </c>
      <c r="I107" s="13">
        <f t="shared" si="18"/>
        <v>1</v>
      </c>
      <c r="J107" s="6">
        <f t="shared" si="19"/>
        <v>145134.34400000001</v>
      </c>
      <c r="K107" s="6">
        <f t="shared" si="20"/>
        <v>145134.34400000001</v>
      </c>
      <c r="L107" s="6">
        <f t="shared" si="21"/>
        <v>0</v>
      </c>
      <c r="M107" t="str">
        <f t="shared" si="22"/>
        <v>Estimado proporcional</v>
      </c>
      <c r="N107" t="s">
        <v>1839</v>
      </c>
      <c r="O107" s="18">
        <v>1</v>
      </c>
      <c r="P107">
        <v>1</v>
      </c>
      <c r="Q107">
        <v>123</v>
      </c>
      <c r="R107" s="6">
        <f t="shared" si="23"/>
        <v>145134.34400000001</v>
      </c>
    </row>
    <row r="108" spans="1:18" ht="30" customHeight="1">
      <c r="A108" s="17" t="s">
        <v>56</v>
      </c>
      <c r="B108" s="5" t="str">
        <f>IF(A108="","",IF(COUNTIF(Catalogo!$A$5:$A$905,A108)=0,"SKU no encontrado",INDEX(Catalogo!$B$5:$B$905,MATCH(A108,Catalogo!$A$5:$A$905,0))))</f>
        <v>ANDES ORIGEN IPA RET X12 1000</v>
      </c>
      <c r="C108">
        <f>IF(OR(A108="",B108="SKU no encontrado"),"",INDEX(Catalogo!$C$5:$C$905,MATCH(A108,Catalogo!$A$5:$A$905,0)))</f>
        <v>12</v>
      </c>
      <c r="D108" s="19">
        <v>46411</v>
      </c>
      <c r="E108" s="20">
        <v>300</v>
      </c>
      <c r="F108" s="20"/>
      <c r="G108" s="12">
        <f>+LotesTrelew[[#This Row],[Final deseado / unidad sugerido]]/1.3</f>
        <v>0</v>
      </c>
      <c r="H108" s="6">
        <f>IF(OR(A108="",B108="SKU no encontrado"),"",IF(INDEX(Catalogo!$H$5:$H$905,MATCH(A108,Catalogo!$A$5:$A$905,0))=0,"",INDEX(Catalogo!$H$5:$H$905,MATCH(A108,Catalogo!$A$5:$A$905,0))))</f>
        <v>50984.146000000001</v>
      </c>
      <c r="I108" s="13">
        <f t="shared" si="18"/>
        <v>1</v>
      </c>
      <c r="J108" s="6">
        <f t="shared" si="19"/>
        <v>50984.146000000001</v>
      </c>
      <c r="K108" s="6">
        <f t="shared" si="20"/>
        <v>15295243.800000001</v>
      </c>
      <c r="L108" s="6">
        <f t="shared" si="21"/>
        <v>0</v>
      </c>
      <c r="M108" t="str">
        <f t="shared" si="22"/>
        <v>Estimado proporcional</v>
      </c>
      <c r="N108" t="s">
        <v>1839</v>
      </c>
      <c r="O108" s="18">
        <v>300</v>
      </c>
      <c r="P108">
        <v>2</v>
      </c>
      <c r="Q108">
        <v>126</v>
      </c>
      <c r="R108" s="6">
        <f t="shared" si="23"/>
        <v>4248.6788333333334</v>
      </c>
    </row>
    <row r="109" spans="1:18" ht="30" customHeight="1">
      <c r="A109" s="17" t="s">
        <v>56</v>
      </c>
      <c r="B109" s="5" t="str">
        <f>IF(A109="","",IF(COUNTIF(Catalogo!$A$5:$A$905,A109)=0,"SKU no encontrado",INDEX(Catalogo!$B$5:$B$905,MATCH(A109,Catalogo!$A$5:$A$905,0))))</f>
        <v>ANDES ORIGEN IPA RET X12 1000</v>
      </c>
      <c r="C109">
        <f>IF(OR(A109="",B109="SKU no encontrado"),"",INDEX(Catalogo!$C$5:$C$905,MATCH(A109,Catalogo!$A$5:$A$905,0)))</f>
        <v>12</v>
      </c>
      <c r="D109" s="19">
        <v>46412</v>
      </c>
      <c r="E109" s="20">
        <v>50</v>
      </c>
      <c r="F109" s="20"/>
      <c r="G109" s="12">
        <f>+LotesTrelew[[#This Row],[Final deseado / unidad sugerido]]/1.3</f>
        <v>0</v>
      </c>
      <c r="H109" s="6">
        <f>IF(OR(A109="",B109="SKU no encontrado"),"",IF(INDEX(Catalogo!$H$5:$H$905,MATCH(A109,Catalogo!$A$5:$A$905,0))=0,"",INDEX(Catalogo!$H$5:$H$905,MATCH(A109,Catalogo!$A$5:$A$905,0))))</f>
        <v>50984.146000000001</v>
      </c>
      <c r="I109" s="13">
        <f t="shared" si="18"/>
        <v>1</v>
      </c>
      <c r="J109" s="6">
        <f t="shared" si="19"/>
        <v>50984.146000000001</v>
      </c>
      <c r="K109" s="6">
        <f t="shared" si="20"/>
        <v>2549207.2999999998</v>
      </c>
      <c r="L109" s="6">
        <f t="shared" si="21"/>
        <v>0</v>
      </c>
      <c r="M109" t="str">
        <f t="shared" si="22"/>
        <v>Estimado proporcional</v>
      </c>
      <c r="N109" t="s">
        <v>1839</v>
      </c>
      <c r="O109" s="18">
        <v>50</v>
      </c>
      <c r="P109">
        <v>3</v>
      </c>
      <c r="Q109">
        <v>127</v>
      </c>
      <c r="R109" s="6">
        <f t="shared" si="23"/>
        <v>4248.6788333333334</v>
      </c>
    </row>
    <row r="110" spans="1:18" ht="30" customHeight="1">
      <c r="A110" s="17" t="s">
        <v>523</v>
      </c>
      <c r="B110" s="5" t="str">
        <f>IF(A110="","",IF(COUNTIF(Catalogo!$A$5:$A$905,A110)=0,"SKU no encontrado",INDEX(Catalogo!$B$5:$B$905,MATCH(A110,Catalogo!$A$5:$A$905,0))))</f>
        <v>ANDES ORIGEN NEGRA CAN 4X6 473</v>
      </c>
      <c r="C110">
        <f>IF(OR(A110="",B110="SKU no encontrado"),"",INDEX(Catalogo!$C$5:$C$905,MATCH(A110,Catalogo!$A$5:$A$905,0)))</f>
        <v>24</v>
      </c>
      <c r="D110" s="19">
        <v>46414</v>
      </c>
      <c r="E110" s="20">
        <v>120.2083333333</v>
      </c>
      <c r="F110" s="20"/>
      <c r="G110" s="12">
        <f>+LotesTrelew[[#This Row],[Final deseado / unidad sugerido]]/1.3</f>
        <v>0</v>
      </c>
      <c r="H110" s="6">
        <f>IF(OR(A110="",B110="SKU no encontrado"),"",IF(INDEX(Catalogo!$H$5:$H$905,MATCH(A110,Catalogo!$A$5:$A$905,0))=0,"",INDEX(Catalogo!$H$5:$H$905,MATCH(A110,Catalogo!$A$5:$A$905,0))))</f>
        <v>63068.307000000001</v>
      </c>
      <c r="I110" s="13">
        <f t="shared" si="18"/>
        <v>1</v>
      </c>
      <c r="J110" s="6">
        <f t="shared" si="19"/>
        <v>63068.307000000001</v>
      </c>
      <c r="K110" s="6">
        <f t="shared" si="20"/>
        <v>7581336.0706228977</v>
      </c>
      <c r="L110" s="6">
        <f t="shared" si="21"/>
        <v>0</v>
      </c>
      <c r="M110" t="str">
        <f t="shared" si="22"/>
        <v>Estimado proporcional</v>
      </c>
      <c r="N110" t="s">
        <v>1839</v>
      </c>
      <c r="O110" s="18">
        <v>120.2083333333</v>
      </c>
      <c r="P110">
        <v>1</v>
      </c>
      <c r="Q110">
        <v>129</v>
      </c>
      <c r="R110" s="6">
        <f t="shared" si="23"/>
        <v>2627.846125</v>
      </c>
    </row>
    <row r="111" spans="1:18" ht="30" customHeight="1">
      <c r="A111" s="17" t="s">
        <v>324</v>
      </c>
      <c r="B111" s="5" t="str">
        <f>IF(A111="","",IF(COUNTIF(Catalogo!$A$5:$A$905,A111)=0,"SKU no encontrado",INDEX(Catalogo!$B$5:$B$905,MATCH(A111,Catalogo!$A$5:$A$905,0))))</f>
        <v>PASO DLT POMELO * X6 PET1500#</v>
      </c>
      <c r="C111">
        <f>IF(OR(A111="",B111="SKU no encontrado"),"",INDEX(Catalogo!$C$5:$C$905,MATCH(A111,Catalogo!$A$5:$A$905,0)))</f>
        <v>6</v>
      </c>
      <c r="D111" s="19">
        <v>46417</v>
      </c>
      <c r="E111" s="20">
        <v>468.6666666667</v>
      </c>
      <c r="F111" s="20"/>
      <c r="G111" s="12">
        <f>+LotesTrelew[[#This Row],[Final deseado / unidad sugerido]]/1.3</f>
        <v>0</v>
      </c>
      <c r="H111" s="6">
        <f>IF(OR(A111="",B111="SKU no encontrado"),"",IF(INDEX(Catalogo!$H$5:$H$905,MATCH(A111,Catalogo!$A$5:$A$905,0))=0,"",INDEX(Catalogo!$H$5:$H$905,MATCH(A111,Catalogo!$A$5:$A$905,0))))</f>
        <v>21688.986000000001</v>
      </c>
      <c r="I111" s="13">
        <f t="shared" si="18"/>
        <v>1</v>
      </c>
      <c r="J111" s="6">
        <f t="shared" si="19"/>
        <v>21688.986000000001</v>
      </c>
      <c r="K111" s="6">
        <f t="shared" si="20"/>
        <v>10164904.772000723</v>
      </c>
      <c r="L111" s="6">
        <f t="shared" si="21"/>
        <v>0</v>
      </c>
      <c r="M111" t="str">
        <f t="shared" si="22"/>
        <v>Estimado proporcional</v>
      </c>
      <c r="N111" t="s">
        <v>1839</v>
      </c>
      <c r="O111" s="18">
        <v>468.6666666667</v>
      </c>
      <c r="P111">
        <v>1</v>
      </c>
      <c r="Q111">
        <v>132</v>
      </c>
      <c r="R111" s="6">
        <f t="shared" si="23"/>
        <v>3614.8310000000001</v>
      </c>
    </row>
    <row r="112" spans="1:18" ht="30" customHeight="1">
      <c r="A112" s="17" t="s">
        <v>922</v>
      </c>
      <c r="B112" s="5" t="str">
        <f>IF(A112="","",IF(COUNTIF(Catalogo!$A$5:$A$905,A112)=0,"SKU no encontrado",INDEX(Catalogo!$B$5:$B$905,MATCH(A112,Catalogo!$A$5:$A$905,0))))</f>
        <v>MICHELOB ULTRA GLUT FREE CAN 4X6 473CC</v>
      </c>
      <c r="C112">
        <f>IF(OR(A112="",B112="SKU no encontrado"),"",INDEX(Catalogo!$C$5:$C$905,MATCH(A112,Catalogo!$A$5:$A$905,0)))</f>
        <v>24</v>
      </c>
      <c r="D112" s="19">
        <v>46418</v>
      </c>
      <c r="E112" s="20">
        <v>307.5</v>
      </c>
      <c r="F112" s="20"/>
      <c r="G112" s="12">
        <f>+LotesTrelew[[#This Row],[Final deseado / unidad sugerido]]/1.3</f>
        <v>0</v>
      </c>
      <c r="H112" s="6">
        <f>IF(OR(A112="",B112="SKU no encontrado"),"",IF(INDEX(Catalogo!$H$5:$H$905,MATCH(A112,Catalogo!$A$5:$A$905,0))=0,"",INDEX(Catalogo!$H$5:$H$905,MATCH(A112,Catalogo!$A$5:$A$905,0))))</f>
        <v>51547.457000000002</v>
      </c>
      <c r="I112" s="13">
        <f t="shared" si="18"/>
        <v>1</v>
      </c>
      <c r="J112" s="6">
        <f t="shared" si="19"/>
        <v>51547.457000000002</v>
      </c>
      <c r="K112" s="6">
        <f t="shared" si="20"/>
        <v>15850843.0275</v>
      </c>
      <c r="L112" s="6">
        <f t="shared" si="21"/>
        <v>0</v>
      </c>
      <c r="M112" t="str">
        <f t="shared" si="22"/>
        <v>Estimado proporcional</v>
      </c>
      <c r="N112" t="s">
        <v>1839</v>
      </c>
      <c r="O112" s="18">
        <v>307.5</v>
      </c>
      <c r="P112">
        <v>1</v>
      </c>
      <c r="Q112">
        <v>133</v>
      </c>
      <c r="R112" s="6">
        <f t="shared" si="23"/>
        <v>2147.8107083333334</v>
      </c>
    </row>
    <row r="113" spans="1:18" ht="30" customHeight="1">
      <c r="A113" s="17" t="s">
        <v>452</v>
      </c>
      <c r="B113" s="5" t="str">
        <f>IF(A113="","",IF(COUNTIF(Catalogo!$A$5:$A$905,A113)=0,"SKU no encontrado",INDEX(Catalogo!$B$5:$B$905,MATCH(A113,Catalogo!$A$5:$A$905,0))))</f>
        <v>GATORADE FRUTAS TROP PET X6 750 204</v>
      </c>
      <c r="C113">
        <f>IF(OR(A113="",B113="SKU no encontrado"),"",INDEX(Catalogo!$C$5:$C$905,MATCH(A113,Catalogo!$A$5:$A$905,0)))</f>
        <v>6</v>
      </c>
      <c r="D113" s="19">
        <v>46419</v>
      </c>
      <c r="E113" s="20">
        <v>202</v>
      </c>
      <c r="F113" s="20"/>
      <c r="G113" s="12">
        <f>+LotesTrelew[[#This Row],[Final deseado / unidad sugerido]]/1.3</f>
        <v>0</v>
      </c>
      <c r="H113" s="6">
        <f>IF(OR(A113="",B113="SKU no encontrado"),"",IF(INDEX(Catalogo!$H$5:$H$905,MATCH(A113,Catalogo!$A$5:$A$905,0))=0,"",INDEX(Catalogo!$H$5:$H$905,MATCH(A113,Catalogo!$A$5:$A$905,0))))</f>
        <v>17021.356</v>
      </c>
      <c r="I113" s="13">
        <f t="shared" si="18"/>
        <v>1</v>
      </c>
      <c r="J113" s="6">
        <f t="shared" si="19"/>
        <v>17021.356</v>
      </c>
      <c r="K113" s="6">
        <f t="shared" si="20"/>
        <v>3438313.912</v>
      </c>
      <c r="L113" s="6">
        <f t="shared" si="21"/>
        <v>0</v>
      </c>
      <c r="M113" t="str">
        <f t="shared" si="22"/>
        <v>Estimado proporcional</v>
      </c>
      <c r="N113" t="s">
        <v>1839</v>
      </c>
      <c r="O113" s="18">
        <v>202</v>
      </c>
      <c r="P113">
        <v>1</v>
      </c>
      <c r="Q113">
        <v>134</v>
      </c>
      <c r="R113" s="6">
        <f t="shared" si="23"/>
        <v>2836.8926666666666</v>
      </c>
    </row>
    <row r="114" spans="1:18" ht="30" customHeight="1">
      <c r="A114" s="17" t="s">
        <v>452</v>
      </c>
      <c r="B114" s="5" t="str">
        <f>IF(A114="","",IF(COUNTIF(Catalogo!$A$5:$A$905,A114)=0,"SKU no encontrado",INDEX(Catalogo!$B$5:$B$905,MATCH(A114,Catalogo!$A$5:$A$905,0))))</f>
        <v>GATORADE FRUTAS TROP PET X6 750 204</v>
      </c>
      <c r="C114">
        <f>IF(OR(A114="",B114="SKU no encontrado"),"",INDEX(Catalogo!$C$5:$C$905,MATCH(A114,Catalogo!$A$5:$A$905,0)))</f>
        <v>6</v>
      </c>
      <c r="D114" s="19">
        <v>46420</v>
      </c>
      <c r="E114" s="20">
        <v>148</v>
      </c>
      <c r="F114" s="20"/>
      <c r="G114" s="12">
        <f>+LotesTrelew[[#This Row],[Final deseado / unidad sugerido]]/1.3</f>
        <v>0</v>
      </c>
      <c r="H114" s="6">
        <f>IF(OR(A114="",B114="SKU no encontrado"),"",IF(INDEX(Catalogo!$H$5:$H$905,MATCH(A114,Catalogo!$A$5:$A$905,0))=0,"",INDEX(Catalogo!$H$5:$H$905,MATCH(A114,Catalogo!$A$5:$A$905,0))))</f>
        <v>17021.356</v>
      </c>
      <c r="I114" s="13">
        <f t="shared" si="18"/>
        <v>1</v>
      </c>
      <c r="J114" s="6">
        <f t="shared" si="19"/>
        <v>17021.356</v>
      </c>
      <c r="K114" s="6">
        <f t="shared" si="20"/>
        <v>2519160.6880000001</v>
      </c>
      <c r="L114" s="6">
        <f t="shared" si="21"/>
        <v>0</v>
      </c>
      <c r="M114" t="str">
        <f t="shared" si="22"/>
        <v>Estimado proporcional</v>
      </c>
      <c r="N114" t="s">
        <v>1839</v>
      </c>
      <c r="O114" s="18">
        <v>148</v>
      </c>
      <c r="P114">
        <v>2</v>
      </c>
      <c r="Q114">
        <v>135</v>
      </c>
      <c r="R114" s="6">
        <f t="shared" si="23"/>
        <v>2836.8926666666666</v>
      </c>
    </row>
    <row r="115" spans="1:18" ht="30" customHeight="1">
      <c r="A115" s="17" t="s">
        <v>59</v>
      </c>
      <c r="B115" s="5" t="str">
        <f>IF(A115="","",IF(COUNTIF(Catalogo!$A$5:$A$905,A115)=0,"SKU no encontrado",INDEX(Catalogo!$B$5:$B$905,MATCH(A115,Catalogo!$A$5:$A$905,0))))</f>
        <v>STELLA ART NOIRE PM CAN 4X6 473CC CART</v>
      </c>
      <c r="C115">
        <f>IF(OR(A115="",B115="SKU no encontrado"),"",INDEX(Catalogo!$C$5:$C$905,MATCH(A115,Catalogo!$A$5:$A$905,0)))</f>
        <v>24</v>
      </c>
      <c r="D115" s="19">
        <v>46420</v>
      </c>
      <c r="E115" s="20">
        <v>129.25</v>
      </c>
      <c r="F115" s="20"/>
      <c r="G115" s="12">
        <f>+LotesTrelew[[#This Row],[Final deseado / unidad sugerido]]/1.3</f>
        <v>0</v>
      </c>
      <c r="H115" s="6">
        <f>IF(OR(A115="",B115="SKU no encontrado"),"",IF(INDEX(Catalogo!$H$5:$H$905,MATCH(A115,Catalogo!$A$5:$A$905,0))=0,"",INDEX(Catalogo!$H$5:$H$905,MATCH(A115,Catalogo!$A$5:$A$905,0))))</f>
        <v>72010.180999999997</v>
      </c>
      <c r="I115" s="13">
        <f t="shared" si="18"/>
        <v>1</v>
      </c>
      <c r="J115" s="6">
        <f t="shared" si="19"/>
        <v>72010.180999999997</v>
      </c>
      <c r="K115" s="6">
        <f t="shared" si="20"/>
        <v>9307315.8942499999</v>
      </c>
      <c r="L115" s="6">
        <f t="shared" si="21"/>
        <v>0</v>
      </c>
      <c r="M115" t="str">
        <f t="shared" si="22"/>
        <v>Estimado proporcional</v>
      </c>
      <c r="N115" t="s">
        <v>1839</v>
      </c>
      <c r="O115" s="18">
        <v>129.25</v>
      </c>
      <c r="P115">
        <v>1</v>
      </c>
      <c r="Q115">
        <v>135</v>
      </c>
      <c r="R115" s="6">
        <f t="shared" si="23"/>
        <v>3000.4242083333334</v>
      </c>
    </row>
    <row r="116" spans="1:18" ht="30" customHeight="1">
      <c r="A116" s="17" t="s">
        <v>1026</v>
      </c>
      <c r="B116" s="5" t="str">
        <f>IF(A116="","",IF(COUNTIF(Catalogo!$A$5:$A$905,A116)=0,"SKU no encontrado",INDEX(Catalogo!$B$5:$B$905,MATCH(A116,Catalogo!$A$5:$A$905,0))))</f>
        <v>PDT POMELO PET X8 2000CC</v>
      </c>
      <c r="C116">
        <f>IF(OR(A116="",B116="SKU no encontrado"),"",INDEX(Catalogo!$C$5:$C$905,MATCH(A116,Catalogo!$A$5:$A$905,0)))</f>
        <v>8</v>
      </c>
      <c r="D116" s="19">
        <v>46421</v>
      </c>
      <c r="E116" s="20">
        <v>229</v>
      </c>
      <c r="F116" s="20"/>
      <c r="G116" s="12">
        <f>+LotesTrelew[[#This Row],[Final deseado / unidad sugerido]]/1.3</f>
        <v>0</v>
      </c>
      <c r="H116" s="6">
        <f>IF(OR(A116="",B116="SKU no encontrado"),"",IF(INDEX(Catalogo!$H$5:$H$905,MATCH(A116,Catalogo!$A$5:$A$905,0))=0,"",INDEX(Catalogo!$H$5:$H$905,MATCH(A116,Catalogo!$A$5:$A$905,0))))</f>
        <v>27070.505000000001</v>
      </c>
      <c r="I116" s="13">
        <f t="shared" si="18"/>
        <v>1</v>
      </c>
      <c r="J116" s="6">
        <f t="shared" si="19"/>
        <v>27070.505000000001</v>
      </c>
      <c r="K116" s="6">
        <f t="shared" si="20"/>
        <v>6199145.6450000005</v>
      </c>
      <c r="L116" s="6">
        <f t="shared" si="21"/>
        <v>0</v>
      </c>
      <c r="M116" t="str">
        <f t="shared" si="22"/>
        <v>Estimado proporcional</v>
      </c>
      <c r="N116" t="s">
        <v>1839</v>
      </c>
      <c r="O116" s="18">
        <v>229</v>
      </c>
      <c r="P116">
        <v>1</v>
      </c>
      <c r="Q116">
        <v>136</v>
      </c>
      <c r="R116" s="6">
        <f t="shared" si="23"/>
        <v>3383.8131250000001</v>
      </c>
    </row>
    <row r="117" spans="1:18" ht="30" customHeight="1">
      <c r="A117" s="17" t="s">
        <v>1026</v>
      </c>
      <c r="B117" s="5" t="str">
        <f>IF(A117="","",IF(COUNTIF(Catalogo!$A$5:$A$905,A117)=0,"SKU no encontrado",INDEX(Catalogo!$B$5:$B$905,MATCH(A117,Catalogo!$A$5:$A$905,0))))</f>
        <v>PDT POMELO PET X8 2000CC</v>
      </c>
      <c r="C117">
        <f>IF(OR(A117="",B117="SKU no encontrado"),"",INDEX(Catalogo!$C$5:$C$905,MATCH(A117,Catalogo!$A$5:$A$905,0)))</f>
        <v>8</v>
      </c>
      <c r="D117" s="19">
        <v>46422</v>
      </c>
      <c r="E117" s="20">
        <v>120</v>
      </c>
      <c r="F117" s="20"/>
      <c r="G117" s="12">
        <f>+LotesTrelew[[#This Row],[Final deseado / unidad sugerido]]/1.3</f>
        <v>0</v>
      </c>
      <c r="H117" s="6">
        <f>IF(OR(A117="",B117="SKU no encontrado"),"",IF(INDEX(Catalogo!$H$5:$H$905,MATCH(A117,Catalogo!$A$5:$A$905,0))=0,"",INDEX(Catalogo!$H$5:$H$905,MATCH(A117,Catalogo!$A$5:$A$905,0))))</f>
        <v>27070.505000000001</v>
      </c>
      <c r="I117" s="13">
        <f t="shared" si="18"/>
        <v>1</v>
      </c>
      <c r="J117" s="6">
        <f t="shared" si="19"/>
        <v>27070.505000000001</v>
      </c>
      <c r="K117" s="6">
        <f t="shared" si="20"/>
        <v>3248460.6</v>
      </c>
      <c r="L117" s="6">
        <f t="shared" si="21"/>
        <v>0</v>
      </c>
      <c r="M117" t="str">
        <f t="shared" si="22"/>
        <v>Estimado proporcional</v>
      </c>
      <c r="N117" t="s">
        <v>1839</v>
      </c>
      <c r="O117" s="18">
        <v>120</v>
      </c>
      <c r="P117">
        <v>2</v>
      </c>
      <c r="Q117">
        <v>137</v>
      </c>
      <c r="R117" s="6">
        <f t="shared" si="23"/>
        <v>3383.8131250000001</v>
      </c>
    </row>
    <row r="118" spans="1:18" ht="30" customHeight="1">
      <c r="A118" s="17" t="s">
        <v>1051</v>
      </c>
      <c r="B118" s="5" t="str">
        <f>IF(A118="","",IF(COUNTIF(Catalogo!$A$5:$A$905,A118)=0,"SKU no encontrado",INDEX(Catalogo!$B$5:$B$905,MATCH(A118,Catalogo!$A$5:$A$905,0))))</f>
        <v>QUILMES 1890 CAN 4X4 710CC</v>
      </c>
      <c r="C118">
        <f>IF(OR(A118="",B118="SKU no encontrado"),"",INDEX(Catalogo!$C$5:$C$905,MATCH(A118,Catalogo!$A$5:$A$905,0)))</f>
        <v>16</v>
      </c>
      <c r="D118" s="19">
        <v>46422</v>
      </c>
      <c r="E118" s="20">
        <v>565.25</v>
      </c>
      <c r="F118" s="20"/>
      <c r="G118" s="12">
        <f>+LotesTrelew[[#This Row],[Final deseado / unidad sugerido]]/1.3</f>
        <v>0</v>
      </c>
      <c r="H118" s="6">
        <f>IF(OR(A118="",B118="SKU no encontrado"),"",IF(INDEX(Catalogo!$H$5:$H$905,MATCH(A118,Catalogo!$A$5:$A$905,0))=0,"",INDEX(Catalogo!$H$5:$H$905,MATCH(A118,Catalogo!$A$5:$A$905,0))))</f>
        <v>37137.404000000002</v>
      </c>
      <c r="I118" s="13">
        <f t="shared" si="18"/>
        <v>1</v>
      </c>
      <c r="J118" s="6">
        <f t="shared" si="19"/>
        <v>37137.404000000002</v>
      </c>
      <c r="K118" s="6">
        <f t="shared" si="20"/>
        <v>20991917.611000001</v>
      </c>
      <c r="L118" s="6">
        <f t="shared" si="21"/>
        <v>0</v>
      </c>
      <c r="M118" t="str">
        <f t="shared" si="22"/>
        <v>Estimado proporcional</v>
      </c>
      <c r="N118" t="s">
        <v>1839</v>
      </c>
      <c r="O118" s="18">
        <v>565.25</v>
      </c>
      <c r="P118">
        <v>1</v>
      </c>
      <c r="Q118">
        <v>137</v>
      </c>
      <c r="R118" s="6">
        <f t="shared" si="23"/>
        <v>2321.0877500000001</v>
      </c>
    </row>
    <row r="119" spans="1:18" ht="30" customHeight="1">
      <c r="A119" s="17" t="s">
        <v>653</v>
      </c>
      <c r="B119" s="5" t="str">
        <f>IF(A119="","",IF(COUNTIF(Catalogo!$A$5:$A$905,A119)=0,"SKU no encontrado",INDEX(Catalogo!$B$5:$B$905,MATCH(A119,Catalogo!$A$5:$A$905,0))))</f>
        <v>STELLA ARTOIS PM CAN 4X6 473CC CART</v>
      </c>
      <c r="C119">
        <f>IF(OR(A119="",B119="SKU no encontrado"),"",INDEX(Catalogo!$C$5:$C$905,MATCH(A119,Catalogo!$A$5:$A$905,0)))</f>
        <v>24</v>
      </c>
      <c r="D119" s="19">
        <v>46424</v>
      </c>
      <c r="E119" s="20">
        <v>283.7083333333</v>
      </c>
      <c r="F119" s="20"/>
      <c r="G119" s="12">
        <f>+LotesTrelew[[#This Row],[Final deseado / unidad sugerido]]/1.3</f>
        <v>0</v>
      </c>
      <c r="H119" s="6">
        <f>IF(OR(A119="",B119="SKU no encontrado"),"",IF(INDEX(Catalogo!$H$5:$H$905,MATCH(A119,Catalogo!$A$5:$A$905,0))=0,"",INDEX(Catalogo!$H$5:$H$905,MATCH(A119,Catalogo!$A$5:$A$905,0))))</f>
        <v>72010.180999999997</v>
      </c>
      <c r="I119" s="13">
        <f t="shared" si="18"/>
        <v>1</v>
      </c>
      <c r="J119" s="6">
        <f t="shared" si="19"/>
        <v>72010.180999999997</v>
      </c>
      <c r="K119" s="6">
        <f t="shared" si="20"/>
        <v>20429888.434539266</v>
      </c>
      <c r="L119" s="6">
        <f t="shared" si="21"/>
        <v>0</v>
      </c>
      <c r="M119" t="str">
        <f t="shared" si="22"/>
        <v>Estimado proporcional</v>
      </c>
      <c r="N119" t="s">
        <v>1839</v>
      </c>
      <c r="O119" s="18">
        <v>283.7083333333</v>
      </c>
      <c r="P119">
        <v>1</v>
      </c>
      <c r="Q119">
        <v>139</v>
      </c>
      <c r="R119" s="6">
        <f t="shared" si="23"/>
        <v>3000.4242083333334</v>
      </c>
    </row>
    <row r="120" spans="1:18" ht="30" customHeight="1">
      <c r="A120" s="17" t="s">
        <v>58</v>
      </c>
      <c r="B120" s="5" t="str">
        <f>IF(A120="","",IF(COUNTIF(Catalogo!$A$5:$A$905,A120)=0,"SKU no encontrado",INDEX(Catalogo!$B$5:$B$905,MATCH(A120,Catalogo!$A$5:$A$905,0))))</f>
        <v>STELLA PURE GOLD CAN 4X6 473CC T</v>
      </c>
      <c r="C120">
        <f>IF(OR(A120="",B120="SKU no encontrado"),"",INDEX(Catalogo!$C$5:$C$905,MATCH(A120,Catalogo!$A$5:$A$905,0)))</f>
        <v>24</v>
      </c>
      <c r="D120" s="19">
        <v>46424</v>
      </c>
      <c r="E120" s="20">
        <v>25.458333333300001</v>
      </c>
      <c r="F120" s="20"/>
      <c r="G120" s="12">
        <f>+LotesTrelew[[#This Row],[Final deseado / unidad sugerido]]/1.3</f>
        <v>0</v>
      </c>
      <c r="H120" s="6">
        <f>IF(OR(A120="",B120="SKU no encontrado"),"",IF(INDEX(Catalogo!$H$5:$H$905,MATCH(A120,Catalogo!$A$5:$A$905,0))=0,"",INDEX(Catalogo!$H$5:$H$905,MATCH(A120,Catalogo!$A$5:$A$905,0))))</f>
        <v>72010.180999999997</v>
      </c>
      <c r="I120" s="13">
        <f t="shared" si="18"/>
        <v>1</v>
      </c>
      <c r="J120" s="6">
        <f t="shared" si="19"/>
        <v>72010.180999999997</v>
      </c>
      <c r="K120" s="6">
        <f t="shared" si="20"/>
        <v>1833259.1912892663</v>
      </c>
      <c r="L120" s="6">
        <f t="shared" si="21"/>
        <v>0</v>
      </c>
      <c r="M120" t="str">
        <f t="shared" si="22"/>
        <v>Estimado proporcional</v>
      </c>
      <c r="N120" t="s">
        <v>1839</v>
      </c>
      <c r="O120" s="18">
        <v>25.458333333300001</v>
      </c>
      <c r="P120">
        <v>1</v>
      </c>
      <c r="Q120">
        <v>139</v>
      </c>
      <c r="R120" s="6">
        <f t="shared" si="23"/>
        <v>3000.4242083333334</v>
      </c>
    </row>
    <row r="121" spans="1:18" ht="30" customHeight="1">
      <c r="A121" s="17" t="s">
        <v>61</v>
      </c>
      <c r="B121" s="5" t="str">
        <f>IF(A121="","",IF(COUNTIF(Catalogo!$A$5:$A$905,A121)=0,"SKU no encontrado",INDEX(Catalogo!$B$5:$B$905,MATCH(A121,Catalogo!$A$5:$A$905,0))))</f>
        <v>MIRINDA MANZANA * X8 PET2250</v>
      </c>
      <c r="C121">
        <f>IF(OR(A121="",B121="SKU no encontrado"),"",INDEX(Catalogo!$C$5:$C$905,MATCH(A121,Catalogo!$A$5:$A$905,0)))</f>
        <v>8</v>
      </c>
      <c r="D121" s="19">
        <v>46427</v>
      </c>
      <c r="E121" s="20">
        <v>60</v>
      </c>
      <c r="F121" s="20"/>
      <c r="G121" s="12">
        <f>+LotesTrelew[[#This Row],[Final deseado / unidad sugerido]]/1.3</f>
        <v>0</v>
      </c>
      <c r="H121" s="6">
        <f>IF(OR(A121="",B121="SKU no encontrado"),"",IF(INDEX(Catalogo!$H$5:$H$905,MATCH(A121,Catalogo!$A$5:$A$905,0))=0,"",INDEX(Catalogo!$H$5:$H$905,MATCH(A121,Catalogo!$A$5:$A$905,0))))</f>
        <v>19048.438999999998</v>
      </c>
      <c r="I121" s="13">
        <f t="shared" si="18"/>
        <v>1</v>
      </c>
      <c r="J121" s="6">
        <f t="shared" si="19"/>
        <v>19048.438999999998</v>
      </c>
      <c r="K121" s="6">
        <f t="shared" si="20"/>
        <v>1142906.3399999999</v>
      </c>
      <c r="L121" s="6">
        <f t="shared" si="21"/>
        <v>0</v>
      </c>
      <c r="M121" t="str">
        <f t="shared" si="22"/>
        <v>Estimado proporcional</v>
      </c>
      <c r="N121" t="s">
        <v>1839</v>
      </c>
      <c r="O121" s="18">
        <v>60</v>
      </c>
      <c r="P121">
        <v>2</v>
      </c>
      <c r="Q121">
        <v>142</v>
      </c>
      <c r="R121" s="6">
        <f t="shared" si="23"/>
        <v>2381.0548749999998</v>
      </c>
    </row>
    <row r="122" spans="1:18" ht="30" customHeight="1">
      <c r="A122" s="17" t="s">
        <v>885</v>
      </c>
      <c r="B122" s="5" t="str">
        <f>IF(A122="","",IF(COUNTIF(Catalogo!$A$5:$A$905,A122)=0,"SKU no encontrado",INDEX(Catalogo!$B$5:$B$905,MATCH(A122,Catalogo!$A$5:$A$905,0))))</f>
        <v>ANDES ORIGEN RUBIA 2.0 CAN 4X6 473CC</v>
      </c>
      <c r="C122">
        <f>IF(OR(A122="",B122="SKU no encontrado"),"",INDEX(Catalogo!$C$5:$C$905,MATCH(A122,Catalogo!$A$5:$A$905,0)))</f>
        <v>24</v>
      </c>
      <c r="D122" s="19">
        <v>46429</v>
      </c>
      <c r="E122" s="20">
        <v>236.5833333333</v>
      </c>
      <c r="F122" s="20"/>
      <c r="G122" s="12">
        <f>+LotesTrelew[[#This Row],[Final deseado / unidad sugerido]]/1.3</f>
        <v>0</v>
      </c>
      <c r="H122" s="6">
        <f>IF(OR(A122="",B122="SKU no encontrado"),"",IF(INDEX(Catalogo!$H$5:$H$905,MATCH(A122,Catalogo!$A$5:$A$905,0))=0,"",INDEX(Catalogo!$H$5:$H$905,MATCH(A122,Catalogo!$A$5:$A$905,0))))</f>
        <v>57611.010999999999</v>
      </c>
      <c r="I122" s="13">
        <f t="shared" si="18"/>
        <v>1</v>
      </c>
      <c r="J122" s="6">
        <f t="shared" si="19"/>
        <v>57611.010999999999</v>
      </c>
      <c r="K122" s="6">
        <f t="shared" si="20"/>
        <v>13629805.019081414</v>
      </c>
      <c r="L122" s="6">
        <f t="shared" si="21"/>
        <v>0</v>
      </c>
      <c r="M122" t="str">
        <f t="shared" si="22"/>
        <v>Estimado proporcional</v>
      </c>
      <c r="N122" t="s">
        <v>1839</v>
      </c>
      <c r="O122" s="18">
        <v>236.5833333333</v>
      </c>
      <c r="P122">
        <v>1</v>
      </c>
      <c r="Q122">
        <v>144</v>
      </c>
      <c r="R122" s="6">
        <f t="shared" si="23"/>
        <v>2400.4587916666665</v>
      </c>
    </row>
    <row r="123" spans="1:18" ht="30" customHeight="1">
      <c r="A123" s="17" t="s">
        <v>905</v>
      </c>
      <c r="B123" s="5" t="str">
        <f>IF(A123="","",IF(COUNTIF(Catalogo!$A$5:$A$905,A123)=0,"SKU no encontrado",INDEX(Catalogo!$B$5:$B$905,MATCH(A123,Catalogo!$A$5:$A$905,0))))</f>
        <v>PATAGONIA LAGER DEL SUR CAN 4X6 473CC</v>
      </c>
      <c r="C123">
        <f>IF(OR(A123="",B123="SKU no encontrado"),"",INDEX(Catalogo!$C$5:$C$905,MATCH(A123,Catalogo!$A$5:$A$905,0)))</f>
        <v>24</v>
      </c>
      <c r="D123" s="19">
        <v>46431</v>
      </c>
      <c r="E123" s="20">
        <v>13.5</v>
      </c>
      <c r="F123" s="20"/>
      <c r="G123" s="12">
        <f>+LotesTrelew[[#This Row],[Final deseado / unidad sugerido]]/1.3</f>
        <v>0</v>
      </c>
      <c r="H123" s="6">
        <f>IF(OR(A123="",B123="SKU no encontrado"),"",IF(INDEX(Catalogo!$H$5:$H$905,MATCH(A123,Catalogo!$A$5:$A$905,0))=0,"",INDEX(Catalogo!$H$5:$H$905,MATCH(A123,Catalogo!$A$5:$A$905,0))))</f>
        <v>79485.894</v>
      </c>
      <c r="I123" s="13">
        <f t="shared" si="18"/>
        <v>1</v>
      </c>
      <c r="J123" s="6">
        <f t="shared" si="19"/>
        <v>79485.894</v>
      </c>
      <c r="K123" s="6">
        <f t="shared" si="20"/>
        <v>1073059.5689999999</v>
      </c>
      <c r="L123" s="6">
        <f t="shared" si="21"/>
        <v>0</v>
      </c>
      <c r="M123" t="str">
        <f t="shared" si="22"/>
        <v>Estimado proporcional</v>
      </c>
      <c r="N123" t="s">
        <v>1839</v>
      </c>
      <c r="O123" s="18">
        <v>13.5</v>
      </c>
      <c r="P123">
        <v>1</v>
      </c>
      <c r="Q123">
        <v>146</v>
      </c>
      <c r="R123" s="6">
        <f t="shared" si="23"/>
        <v>3311.9122499999999</v>
      </c>
    </row>
    <row r="124" spans="1:18" ht="30" customHeight="1">
      <c r="A124" s="17" t="s">
        <v>326</v>
      </c>
      <c r="B124" s="5" t="str">
        <f>IF(A124="","",IF(COUNTIF(Catalogo!$A$5:$A$905,A124)=0,"SKU no encontrado",INDEX(Catalogo!$B$5:$B$905,MATCH(A124,Catalogo!$A$5:$A$905,0))))</f>
        <v>PASO DLT TONICA * X6 PET1500#</v>
      </c>
      <c r="C124">
        <f>IF(OR(A124="",B124="SKU no encontrado"),"",INDEX(Catalogo!$C$5:$C$905,MATCH(A124,Catalogo!$A$5:$A$905,0)))</f>
        <v>6</v>
      </c>
      <c r="D124" s="19">
        <v>46433</v>
      </c>
      <c r="E124" s="20">
        <v>232</v>
      </c>
      <c r="F124" s="20"/>
      <c r="G124" s="12">
        <f>+LotesTrelew[[#This Row],[Final deseado / unidad sugerido]]/1.3</f>
        <v>0</v>
      </c>
      <c r="H124" s="6">
        <f>IF(OR(A124="",B124="SKU no encontrado"),"",IF(INDEX(Catalogo!$H$5:$H$905,MATCH(A124,Catalogo!$A$5:$A$905,0))=0,"",INDEX(Catalogo!$H$5:$H$905,MATCH(A124,Catalogo!$A$5:$A$905,0))))</f>
        <v>21688.986000000001</v>
      </c>
      <c r="I124" s="13">
        <f t="shared" si="18"/>
        <v>1</v>
      </c>
      <c r="J124" s="6">
        <f t="shared" si="19"/>
        <v>21688.986000000001</v>
      </c>
      <c r="K124" s="6">
        <f t="shared" si="20"/>
        <v>5031844.7520000003</v>
      </c>
      <c r="L124" s="6">
        <f t="shared" si="21"/>
        <v>0</v>
      </c>
      <c r="M124" t="str">
        <f t="shared" si="22"/>
        <v>Estimado proporcional</v>
      </c>
      <c r="N124" t="s">
        <v>1839</v>
      </c>
      <c r="O124" s="18">
        <v>232</v>
      </c>
      <c r="P124">
        <v>1</v>
      </c>
      <c r="Q124">
        <v>148</v>
      </c>
      <c r="R124" s="6">
        <f t="shared" si="23"/>
        <v>3614.8310000000001</v>
      </c>
    </row>
    <row r="125" spans="1:18" ht="30" customHeight="1">
      <c r="A125" s="17" t="s">
        <v>326</v>
      </c>
      <c r="B125" s="5" t="str">
        <f>IF(A125="","",IF(COUNTIF(Catalogo!$A$5:$A$905,A125)=0,"SKU no encontrado",INDEX(Catalogo!$B$5:$B$905,MATCH(A125,Catalogo!$A$5:$A$905,0))))</f>
        <v>PASO DLT TONICA * X6 PET1500#</v>
      </c>
      <c r="C125">
        <f>IF(OR(A125="",B125="SKU no encontrado"),"",INDEX(Catalogo!$C$5:$C$905,MATCH(A125,Catalogo!$A$5:$A$905,0)))</f>
        <v>6</v>
      </c>
      <c r="D125" s="19">
        <v>46434</v>
      </c>
      <c r="E125" s="20">
        <v>229</v>
      </c>
      <c r="F125" s="20"/>
      <c r="G125" s="12">
        <f>+LotesTrelew[[#This Row],[Final deseado / unidad sugerido]]/1.3</f>
        <v>0</v>
      </c>
      <c r="H125" s="6">
        <f>IF(OR(A125="",B125="SKU no encontrado"),"",IF(INDEX(Catalogo!$H$5:$H$905,MATCH(A125,Catalogo!$A$5:$A$905,0))=0,"",INDEX(Catalogo!$H$5:$H$905,MATCH(A125,Catalogo!$A$5:$A$905,0))))</f>
        <v>21688.986000000001</v>
      </c>
      <c r="I125" s="13">
        <f t="shared" si="18"/>
        <v>1</v>
      </c>
      <c r="J125" s="6">
        <f t="shared" si="19"/>
        <v>21688.986000000001</v>
      </c>
      <c r="K125" s="6">
        <f t="shared" si="20"/>
        <v>4966777.7939999998</v>
      </c>
      <c r="L125" s="6">
        <f t="shared" si="21"/>
        <v>0</v>
      </c>
      <c r="M125" t="str">
        <f t="shared" si="22"/>
        <v>Estimado proporcional</v>
      </c>
      <c r="N125" t="s">
        <v>1839</v>
      </c>
      <c r="O125" s="18">
        <v>229</v>
      </c>
      <c r="P125">
        <v>2</v>
      </c>
      <c r="Q125">
        <v>149</v>
      </c>
      <c r="R125" s="6">
        <f t="shared" si="23"/>
        <v>3614.8310000000001</v>
      </c>
    </row>
    <row r="126" spans="1:18" ht="30" customHeight="1">
      <c r="A126" s="17" t="s">
        <v>986</v>
      </c>
      <c r="B126" s="5" t="str">
        <f>IF(A126="","",IF(COUNTIF(Catalogo!$A$5:$A$905,A126)=0,"SKU no encontrado",INDEX(Catalogo!$B$5:$B$905,MATCH(A126,Catalogo!$A$5:$A$905,0))))</f>
        <v>QUILMES BAJO CERO CAN 4X6 473CC TT</v>
      </c>
      <c r="C126">
        <f>IF(OR(A126="",B126="SKU no encontrado"),"",INDEX(Catalogo!$C$5:$C$905,MATCH(A126,Catalogo!$A$5:$A$905,0)))</f>
        <v>24</v>
      </c>
      <c r="D126" s="19">
        <v>46434</v>
      </c>
      <c r="E126" s="20">
        <v>64.25</v>
      </c>
      <c r="F126" s="20"/>
      <c r="G126" s="12">
        <f>+LotesTrelew[[#This Row],[Final deseado / unidad sugerido]]/1.3</f>
        <v>0</v>
      </c>
      <c r="H126" s="6">
        <f>IF(OR(A126="",B126="SKU no encontrado"),"",IF(INDEX(Catalogo!$H$5:$H$905,MATCH(A126,Catalogo!$A$5:$A$905,0))=0,"",INDEX(Catalogo!$H$5:$H$905,MATCH(A126,Catalogo!$A$5:$A$905,0))))</f>
        <v>38904.855000000003</v>
      </c>
      <c r="I126" s="13">
        <f t="shared" si="18"/>
        <v>1</v>
      </c>
      <c r="J126" s="6">
        <f t="shared" si="19"/>
        <v>38904.855000000003</v>
      </c>
      <c r="K126" s="6">
        <f t="shared" si="20"/>
        <v>2499636.9337500003</v>
      </c>
      <c r="L126" s="6">
        <f t="shared" si="21"/>
        <v>0</v>
      </c>
      <c r="M126" t="str">
        <f t="shared" si="22"/>
        <v>Estimado proporcional</v>
      </c>
      <c r="N126" t="s">
        <v>1839</v>
      </c>
      <c r="O126" s="18">
        <v>64.25</v>
      </c>
      <c r="P126">
        <v>1</v>
      </c>
      <c r="Q126">
        <v>149</v>
      </c>
      <c r="R126" s="6">
        <f t="shared" si="23"/>
        <v>1621.0356250000002</v>
      </c>
    </row>
    <row r="127" spans="1:18" ht="30" customHeight="1">
      <c r="A127" s="17" t="s">
        <v>560</v>
      </c>
      <c r="B127" s="5" t="str">
        <f>IF(A127="","",IF(COUNTIF(Catalogo!$A$5:$A$905,A127)=0,"SKU no encontrado",INDEX(Catalogo!$B$5:$B$905,MATCH(A127,Catalogo!$A$5:$A$905,0))))</f>
        <v>ANDES ORIGEN IPA CAN 4X6 473</v>
      </c>
      <c r="C127">
        <f>IF(OR(A127="",B127="SKU no encontrado"),"",INDEX(Catalogo!$C$5:$C$905,MATCH(A127,Catalogo!$A$5:$A$905,0)))</f>
        <v>24</v>
      </c>
      <c r="D127" s="19">
        <v>46436</v>
      </c>
      <c r="E127" s="20">
        <v>600</v>
      </c>
      <c r="F127" s="20"/>
      <c r="G127" s="12">
        <f>+LotesTrelew[[#This Row],[Final deseado / unidad sugerido]]/1.3</f>
        <v>0</v>
      </c>
      <c r="H127" s="6">
        <f>IF(OR(A127="",B127="SKU no encontrado"),"",IF(INDEX(Catalogo!$H$5:$H$905,MATCH(A127,Catalogo!$A$5:$A$905,0))=0,"",INDEX(Catalogo!$H$5:$H$905,MATCH(A127,Catalogo!$A$5:$A$905,0))))</f>
        <v>63068.307000000001</v>
      </c>
      <c r="I127" s="13">
        <f t="shared" si="18"/>
        <v>1</v>
      </c>
      <c r="J127" s="6">
        <f t="shared" si="19"/>
        <v>63068.307000000001</v>
      </c>
      <c r="K127" s="6">
        <f t="shared" si="20"/>
        <v>37840984.200000003</v>
      </c>
      <c r="L127" s="6">
        <f t="shared" si="21"/>
        <v>0</v>
      </c>
      <c r="M127" t="str">
        <f t="shared" si="22"/>
        <v>Estimado proporcional</v>
      </c>
      <c r="N127" t="s">
        <v>1839</v>
      </c>
      <c r="O127" s="18">
        <v>600</v>
      </c>
      <c r="P127">
        <v>2</v>
      </c>
      <c r="Q127">
        <v>151</v>
      </c>
      <c r="R127" s="6">
        <f t="shared" si="23"/>
        <v>2627.846125</v>
      </c>
    </row>
    <row r="128" spans="1:18" ht="30" customHeight="1">
      <c r="A128" s="17" t="s">
        <v>545</v>
      </c>
      <c r="B128" s="5" t="str">
        <f>IF(A128="","",IF(COUNTIF(Catalogo!$A$5:$A$905,A128)=0,"SKU no encontrado",INDEX(Catalogo!$B$5:$B$905,MATCH(A128,Catalogo!$A$5:$A$905,0))))</f>
        <v>BUD CAN 4X6 473 CMQ</v>
      </c>
      <c r="C128">
        <f>IF(OR(A128="",B128="SKU no encontrado"),"",INDEX(Catalogo!$C$5:$C$905,MATCH(A128,Catalogo!$A$5:$A$905,0)))</f>
        <v>24</v>
      </c>
      <c r="D128" s="19">
        <v>46437</v>
      </c>
      <c r="E128" s="20">
        <v>323.0416666667</v>
      </c>
      <c r="F128" s="20"/>
      <c r="G128" s="12">
        <f>+LotesTrelew[[#This Row],[Final deseado / unidad sugerido]]/1.3</f>
        <v>0</v>
      </c>
      <c r="H128" s="6">
        <f>IF(OR(A128="",B128="SKU no encontrado"),"",IF(INDEX(Catalogo!$H$5:$H$905,MATCH(A128,Catalogo!$A$5:$A$905,0))=0,"",INDEX(Catalogo!$H$5:$H$905,MATCH(A128,Catalogo!$A$5:$A$905,0))))</f>
        <v>48363.239000000001</v>
      </c>
      <c r="I128" s="13">
        <f t="shared" si="18"/>
        <v>1</v>
      </c>
      <c r="J128" s="6">
        <f t="shared" si="19"/>
        <v>48363.239000000001</v>
      </c>
      <c r="K128" s="6">
        <f t="shared" si="20"/>
        <v>15623341.331959946</v>
      </c>
      <c r="L128" s="6">
        <f t="shared" si="21"/>
        <v>0</v>
      </c>
      <c r="M128" t="str">
        <f t="shared" si="22"/>
        <v>Estimado proporcional</v>
      </c>
      <c r="N128" t="s">
        <v>1839</v>
      </c>
      <c r="O128" s="18">
        <v>323.0416666667</v>
      </c>
      <c r="P128">
        <v>1</v>
      </c>
      <c r="Q128">
        <v>152</v>
      </c>
      <c r="R128" s="6">
        <f t="shared" si="23"/>
        <v>2015.1349583333333</v>
      </c>
    </row>
    <row r="129" spans="1:18" ht="30" customHeight="1">
      <c r="A129" s="17" t="s">
        <v>808</v>
      </c>
      <c r="B129" s="5" t="str">
        <f>IF(A129="","",IF(COUNTIF(Catalogo!$A$5:$A$905,A129)=0,"SKU no encontrado",INDEX(Catalogo!$B$5:$B$905,MATCH(A129,Catalogo!$A$5:$A$905,0))))</f>
        <v>QUILMES 1890 CAN X24 473CC SMK</v>
      </c>
      <c r="C129">
        <f>IF(OR(A129="",B129="SKU no encontrado"),"",INDEX(Catalogo!$C$5:$C$905,MATCH(A129,Catalogo!$A$5:$A$905,0)))</f>
        <v>24</v>
      </c>
      <c r="D129" s="19">
        <v>46447</v>
      </c>
      <c r="E129" s="20">
        <v>1712.375</v>
      </c>
      <c r="F129" s="20"/>
      <c r="G129" s="12">
        <f>+LotesTrelew[[#This Row],[Final deseado / unidad sugerido]]/1.3</f>
        <v>0</v>
      </c>
      <c r="H129" s="6">
        <f>IF(OR(A129="",B129="SKU no encontrado"),"",IF(INDEX(Catalogo!$H$5:$H$905,MATCH(A129,Catalogo!$A$5:$A$905,0))=0,"",INDEX(Catalogo!$H$5:$H$905,MATCH(A129,Catalogo!$A$5:$A$905,0))))</f>
        <v>38819.690999999999</v>
      </c>
      <c r="I129" s="13">
        <f t="shared" si="18"/>
        <v>1</v>
      </c>
      <c r="J129" s="6">
        <f t="shared" si="19"/>
        <v>38819.690999999999</v>
      </c>
      <c r="K129" s="6">
        <f t="shared" si="20"/>
        <v>66473868.376125</v>
      </c>
      <c r="L129" s="6">
        <f t="shared" si="21"/>
        <v>0</v>
      </c>
      <c r="M129" t="str">
        <f t="shared" si="22"/>
        <v>Estimado proporcional</v>
      </c>
      <c r="N129" t="s">
        <v>1839</v>
      </c>
      <c r="O129" s="18">
        <v>1712.375</v>
      </c>
      <c r="P129">
        <v>1</v>
      </c>
      <c r="Q129">
        <v>166</v>
      </c>
      <c r="R129" s="6">
        <f t="shared" si="23"/>
        <v>1617.4871249999999</v>
      </c>
    </row>
    <row r="130" spans="1:18" ht="30" customHeight="1">
      <c r="A130" s="17" t="s">
        <v>330</v>
      </c>
      <c r="B130" s="5" t="str">
        <f>IF(A130="","",IF(COUNTIF(Catalogo!$A$5:$A$905,A130)=0,"SKU no encontrado",INDEX(Catalogo!$B$5:$B$905,MATCH(A130,Catalogo!$A$5:$A$905,0))))</f>
        <v>BRAHMA - 4X6 LAT 473</v>
      </c>
      <c r="C130">
        <f>IF(OR(A130="",B130="SKU no encontrado"),"",INDEX(Catalogo!$C$5:$C$905,MATCH(A130,Catalogo!$A$5:$A$905,0)))</f>
        <v>24</v>
      </c>
      <c r="D130" s="19">
        <v>46449</v>
      </c>
      <c r="E130" s="20">
        <v>100</v>
      </c>
      <c r="F130" s="20"/>
      <c r="G130" s="12">
        <f>+LotesTrelew[[#This Row],[Final deseado / unidad sugerido]]/1.3</f>
        <v>0</v>
      </c>
      <c r="H130" s="6">
        <f>IF(OR(A130="",B130="SKU no encontrado"),"",IF(INDEX(Catalogo!$H$5:$H$905,MATCH(A130,Catalogo!$A$5:$A$905,0))=0,"",INDEX(Catalogo!$H$5:$H$905,MATCH(A130,Catalogo!$A$5:$A$905,0))))</f>
        <v>44611.684000000001</v>
      </c>
      <c r="I130" s="13">
        <f t="shared" si="18"/>
        <v>1</v>
      </c>
      <c r="J130" s="6">
        <f t="shared" si="19"/>
        <v>44611.684000000001</v>
      </c>
      <c r="K130" s="6">
        <f t="shared" si="20"/>
        <v>4461168.4000000004</v>
      </c>
      <c r="L130" s="6">
        <f t="shared" si="21"/>
        <v>0</v>
      </c>
      <c r="M130" t="str">
        <f t="shared" si="22"/>
        <v>Estimado proporcional</v>
      </c>
      <c r="N130" t="s">
        <v>1839</v>
      </c>
      <c r="O130" s="18">
        <v>100</v>
      </c>
      <c r="P130">
        <v>2</v>
      </c>
      <c r="Q130">
        <v>168</v>
      </c>
      <c r="R130" s="6">
        <f t="shared" si="23"/>
        <v>1858.8201666666666</v>
      </c>
    </row>
    <row r="131" spans="1:18" ht="30" customHeight="1">
      <c r="A131" s="17" t="s">
        <v>330</v>
      </c>
      <c r="B131" s="5" t="str">
        <f>IF(A131="","",IF(COUNTIF(Catalogo!$A$5:$A$905,A131)=0,"SKU no encontrado",INDEX(Catalogo!$B$5:$B$905,MATCH(A131,Catalogo!$A$5:$A$905,0))))</f>
        <v>BRAHMA - 4X6 LAT 473</v>
      </c>
      <c r="C131">
        <f>IF(OR(A131="",B131="SKU no encontrado"),"",INDEX(Catalogo!$C$5:$C$905,MATCH(A131,Catalogo!$A$5:$A$905,0)))</f>
        <v>24</v>
      </c>
      <c r="D131" s="19">
        <v>46454</v>
      </c>
      <c r="E131" s="20">
        <v>200</v>
      </c>
      <c r="F131" s="20"/>
      <c r="G131" s="12">
        <f>+LotesTrelew[[#This Row],[Final deseado / unidad sugerido]]/1.3</f>
        <v>0</v>
      </c>
      <c r="H131" s="6">
        <f>IF(OR(A131="",B131="SKU no encontrado"),"",IF(INDEX(Catalogo!$H$5:$H$905,MATCH(A131,Catalogo!$A$5:$A$905,0))=0,"",INDEX(Catalogo!$H$5:$H$905,MATCH(A131,Catalogo!$A$5:$A$905,0))))</f>
        <v>44611.684000000001</v>
      </c>
      <c r="I131" s="13">
        <f t="shared" si="18"/>
        <v>1</v>
      </c>
      <c r="J131" s="6">
        <f t="shared" si="19"/>
        <v>44611.684000000001</v>
      </c>
      <c r="K131" s="6">
        <f t="shared" si="20"/>
        <v>8922336.8000000007</v>
      </c>
      <c r="L131" s="6">
        <f t="shared" si="21"/>
        <v>0</v>
      </c>
      <c r="M131" t="str">
        <f t="shared" si="22"/>
        <v>Estimado proporcional</v>
      </c>
      <c r="N131" t="s">
        <v>1839</v>
      </c>
      <c r="O131" s="18">
        <v>200</v>
      </c>
      <c r="P131">
        <v>3</v>
      </c>
      <c r="Q131">
        <v>173</v>
      </c>
      <c r="R131" s="6">
        <f t="shared" si="23"/>
        <v>1858.8201666666666</v>
      </c>
    </row>
    <row r="132" spans="1:18" ht="30" customHeight="1">
      <c r="A132" s="17" t="s">
        <v>521</v>
      </c>
      <c r="B132" s="5" t="str">
        <f>IF(A132="","",IF(COUNTIF(Catalogo!$A$5:$A$905,A132)=0,"SKU no encontrado",INDEX(Catalogo!$B$5:$B$905,MATCH(A132,Catalogo!$A$5:$A$905,0))))</f>
        <v>ANDES ORIGEN ROJA CAN 4X6 473</v>
      </c>
      <c r="C132">
        <f>IF(OR(A132="",B132="SKU no encontrado"),"",INDEX(Catalogo!$C$5:$C$905,MATCH(A132,Catalogo!$A$5:$A$905,0)))</f>
        <v>24</v>
      </c>
      <c r="D132" s="19">
        <v>46458</v>
      </c>
      <c r="E132" s="20">
        <v>248.1666666667</v>
      </c>
      <c r="F132" s="20"/>
      <c r="G132" s="12">
        <f>+LotesTrelew[[#This Row],[Final deseado / unidad sugerido]]/1.3</f>
        <v>0</v>
      </c>
      <c r="H132" s="6">
        <f>IF(OR(A132="",B132="SKU no encontrado"),"",IF(INDEX(Catalogo!$H$5:$H$905,MATCH(A132,Catalogo!$A$5:$A$905,0))=0,"",INDEX(Catalogo!$H$5:$H$905,MATCH(A132,Catalogo!$A$5:$A$905,0))))</f>
        <v>63068.307000000001</v>
      </c>
      <c r="I132" s="13">
        <f t="shared" si="18"/>
        <v>1</v>
      </c>
      <c r="J132" s="6">
        <f t="shared" si="19"/>
        <v>63068.307000000001</v>
      </c>
      <c r="K132" s="6">
        <f t="shared" si="20"/>
        <v>15651451.520502102</v>
      </c>
      <c r="L132" s="6">
        <f t="shared" si="21"/>
        <v>0</v>
      </c>
      <c r="M132" t="str">
        <f t="shared" si="22"/>
        <v>Estimado proporcional</v>
      </c>
      <c r="N132" t="s">
        <v>1839</v>
      </c>
      <c r="O132" s="18">
        <v>248.1666666667</v>
      </c>
      <c r="P132">
        <v>1</v>
      </c>
      <c r="Q132">
        <v>173</v>
      </c>
      <c r="R132" s="6">
        <f t="shared" si="23"/>
        <v>2627.846125</v>
      </c>
    </row>
    <row r="133" spans="1:18" ht="30" customHeight="1">
      <c r="A133" s="17" t="s">
        <v>808</v>
      </c>
      <c r="B133" s="5" t="str">
        <f>IF(A133="","",IF(COUNTIF(Catalogo!$A$5:$A$905,A133)=0,"SKU no encontrado",INDEX(Catalogo!$B$5:$B$905,MATCH(A133,Catalogo!$A$5:$A$905,0))))</f>
        <v>QUILMES 1890 CAN X24 473CC SMK</v>
      </c>
      <c r="C133">
        <f>IF(OR(A133="",B133="SKU no encontrado"),"",INDEX(Catalogo!$C$5:$C$905,MATCH(A133,Catalogo!$A$5:$A$905,0)))</f>
        <v>24</v>
      </c>
      <c r="D133" s="19">
        <v>46458</v>
      </c>
      <c r="E133" s="20">
        <v>428.5416666667</v>
      </c>
      <c r="F133" s="20"/>
      <c r="G133" s="12">
        <f>+LotesTrelew[[#This Row],[Final deseado / unidad sugerido]]/1.3</f>
        <v>0</v>
      </c>
      <c r="H133" s="6">
        <f>IF(OR(A133="",B133="SKU no encontrado"),"",IF(INDEX(Catalogo!$H$5:$H$905,MATCH(A133,Catalogo!$A$5:$A$905,0))=0,"",INDEX(Catalogo!$H$5:$H$905,MATCH(A133,Catalogo!$A$5:$A$905,0))))</f>
        <v>38819.690999999999</v>
      </c>
      <c r="I133" s="13">
        <f t="shared" ref="I133:I164" si="24">IF(OR(N133="ELIMINAR",H133="",G133="",G133&lt;0,C133&lt;=0,G133*C133&gt;H133,E133&gt;O133),"",1-G133*C133/H133)</f>
        <v>1</v>
      </c>
      <c r="J133" s="6">
        <f t="shared" ref="J133:J164" si="25">IF(I133="","",H133-G133*C133)</f>
        <v>38819.690999999999</v>
      </c>
      <c r="K133" s="6">
        <f t="shared" ref="K133:K164" si="26">IF(OR(J133="",E133="",E133&lt;=0),"",J133*E133)</f>
        <v>16635855.080626294</v>
      </c>
      <c r="L133" s="6">
        <f t="shared" ref="L133:L164" si="27">IF(OR(I133="",C133&lt;=0),"",G133*C133)</f>
        <v>0</v>
      </c>
      <c r="M133" t="str">
        <f t="shared" ref="M133:M164" si="28">IF(N133="ELIMINAR","ELIMINAR según origen",IF(H133="","Sin precio válido",IF(C133&lt;=0,"Sin unidades por bulto",IF(G133="","Completar precio unitario",IF(OR(G133&lt;0,G133*C133&gt;H133),"Revisar precio unitario",IF(OR(E133&lt;=0,E133&gt;O133),"Revisar bultos vs. stock","Estimado proporcional"))))))</f>
        <v>Estimado proporcional</v>
      </c>
      <c r="N133" t="s">
        <v>1839</v>
      </c>
      <c r="O133" s="18">
        <v>428.5416666667</v>
      </c>
      <c r="P133">
        <v>2</v>
      </c>
      <c r="Q133">
        <v>177</v>
      </c>
      <c r="R133" s="6">
        <f t="shared" ref="R133:R164" si="29">IF(OR(H133="",C133&lt;=0),"",H133/C133)</f>
        <v>1617.4871249999999</v>
      </c>
    </row>
    <row r="134" spans="1:18" ht="30" customHeight="1">
      <c r="A134" s="17" t="s">
        <v>806</v>
      </c>
      <c r="B134" s="5" t="str">
        <f>IF(A134="","",IF(COUNTIF(Catalogo!$A$5:$A$905,A134)=0,"SKU no encontrado",INDEX(Catalogo!$B$5:$B$905,MATCH(A134,Catalogo!$A$5:$A$905,0))))</f>
        <v>QUILMES 1890 RET X12 1L SMK</v>
      </c>
      <c r="C134">
        <f>IF(OR(A134="",B134="SKU no encontrado"),"",INDEX(Catalogo!$C$5:$C$905,MATCH(A134,Catalogo!$A$5:$A$905,0)))</f>
        <v>12</v>
      </c>
      <c r="D134" s="19">
        <v>46459</v>
      </c>
      <c r="E134" s="20">
        <v>1242.3333333333001</v>
      </c>
      <c r="F134" s="20"/>
      <c r="G134" s="12">
        <f>+LotesTrelew[[#This Row],[Final deseado / unidad sugerido]]/1.3</f>
        <v>0</v>
      </c>
      <c r="H134" s="6">
        <f>IF(OR(A134="",B134="SKU no encontrado"),"",IF(INDEX(Catalogo!$H$5:$H$905,MATCH(A134,Catalogo!$A$5:$A$905,0))=0,"",INDEX(Catalogo!$H$5:$H$905,MATCH(A134,Catalogo!$A$5:$A$905,0))))</f>
        <v>32491.339</v>
      </c>
      <c r="I134" s="13">
        <f t="shared" si="24"/>
        <v>1</v>
      </c>
      <c r="J134" s="6">
        <f t="shared" si="25"/>
        <v>32491.339</v>
      </c>
      <c r="K134" s="6">
        <f t="shared" si="26"/>
        <v>40365073.484332249</v>
      </c>
      <c r="L134" s="6">
        <f t="shared" si="27"/>
        <v>0</v>
      </c>
      <c r="M134" t="str">
        <f t="shared" si="28"/>
        <v>Estimado proporcional</v>
      </c>
      <c r="N134" t="s">
        <v>1839</v>
      </c>
      <c r="O134" s="18">
        <v>1242.3333333333001</v>
      </c>
      <c r="P134">
        <v>1</v>
      </c>
      <c r="Q134">
        <v>178</v>
      </c>
      <c r="R134" s="6">
        <f t="shared" si="29"/>
        <v>2707.6115833333333</v>
      </c>
    </row>
    <row r="135" spans="1:18" ht="30" customHeight="1">
      <c r="A135" s="17" t="s">
        <v>312</v>
      </c>
      <c r="B135" s="5" t="str">
        <f>IF(A135="","",IF(COUNTIF(Catalogo!$A$5:$A$905,A135)=0,"SKU no encontrado",INDEX(Catalogo!$B$5:$B$905,MATCH(A135,Catalogo!$A$5:$A$905,0))))</f>
        <v>QUILMES - X12 1000RET</v>
      </c>
      <c r="C135">
        <f>IF(OR(A135="",B135="SKU no encontrado"),"",INDEX(Catalogo!$C$5:$C$905,MATCH(A135,Catalogo!$A$5:$A$905,0)))</f>
        <v>12</v>
      </c>
      <c r="D135" s="19">
        <v>46460</v>
      </c>
      <c r="E135" s="20">
        <v>1091.0833333333001</v>
      </c>
      <c r="F135" s="20"/>
      <c r="G135" s="12">
        <f>+LotesTrelew[[#This Row],[Final deseado / unidad sugerido]]/1.3</f>
        <v>0</v>
      </c>
      <c r="H135" s="6">
        <f>IF(OR(A135="",B135="SKU no encontrado"),"",IF(INDEX(Catalogo!$H$5:$H$905,MATCH(A135,Catalogo!$A$5:$A$905,0))=0,"",INDEX(Catalogo!$H$5:$H$905,MATCH(A135,Catalogo!$A$5:$A$905,0))))</f>
        <v>39858.839</v>
      </c>
      <c r="I135" s="13">
        <f t="shared" si="24"/>
        <v>1</v>
      </c>
      <c r="J135" s="6">
        <f t="shared" si="25"/>
        <v>39858.839</v>
      </c>
      <c r="K135" s="6">
        <f t="shared" si="26"/>
        <v>43489314.918915339</v>
      </c>
      <c r="L135" s="6">
        <f t="shared" si="27"/>
        <v>0</v>
      </c>
      <c r="M135" t="str">
        <f t="shared" si="28"/>
        <v>Estimado proporcional</v>
      </c>
      <c r="N135" t="s">
        <v>1839</v>
      </c>
      <c r="O135" s="18">
        <v>1091.0833333333001</v>
      </c>
      <c r="P135">
        <v>1</v>
      </c>
      <c r="Q135">
        <v>179</v>
      </c>
      <c r="R135" s="6">
        <f t="shared" si="29"/>
        <v>3321.5699166666668</v>
      </c>
    </row>
    <row r="136" spans="1:18" ht="30" customHeight="1">
      <c r="A136" s="17" t="s">
        <v>806</v>
      </c>
      <c r="B136" s="5" t="str">
        <f>IF(A136="","",IF(COUNTIF(Catalogo!$A$5:$A$905,A136)=0,"SKU no encontrado",INDEX(Catalogo!$B$5:$B$905,MATCH(A136,Catalogo!$A$5:$A$905,0))))</f>
        <v>QUILMES 1890 RET X12 1L SMK</v>
      </c>
      <c r="C136">
        <f>IF(OR(A136="",B136="SKU no encontrado"),"",INDEX(Catalogo!$C$5:$C$905,MATCH(A136,Catalogo!$A$5:$A$905,0)))</f>
        <v>12</v>
      </c>
      <c r="D136" s="19">
        <v>46460</v>
      </c>
      <c r="E136" s="20">
        <v>900</v>
      </c>
      <c r="F136" s="20"/>
      <c r="G136" s="12">
        <f>+LotesTrelew[[#This Row],[Final deseado / unidad sugerido]]/1.3</f>
        <v>0</v>
      </c>
      <c r="H136" s="6">
        <f>IF(OR(A136="",B136="SKU no encontrado"),"",IF(INDEX(Catalogo!$H$5:$H$905,MATCH(A136,Catalogo!$A$5:$A$905,0))=0,"",INDEX(Catalogo!$H$5:$H$905,MATCH(A136,Catalogo!$A$5:$A$905,0))))</f>
        <v>32491.339</v>
      </c>
      <c r="I136" s="13">
        <f t="shared" si="24"/>
        <v>1</v>
      </c>
      <c r="J136" s="6">
        <f t="shared" si="25"/>
        <v>32491.339</v>
      </c>
      <c r="K136" s="6">
        <f t="shared" si="26"/>
        <v>29242205.100000001</v>
      </c>
      <c r="L136" s="6">
        <f t="shared" si="27"/>
        <v>0</v>
      </c>
      <c r="M136" t="str">
        <f t="shared" si="28"/>
        <v>Estimado proporcional</v>
      </c>
      <c r="N136" t="s">
        <v>1839</v>
      </c>
      <c r="O136" s="18">
        <v>900</v>
      </c>
      <c r="P136">
        <v>2</v>
      </c>
      <c r="Q136">
        <v>179</v>
      </c>
      <c r="R136" s="6">
        <f t="shared" si="29"/>
        <v>2707.6115833333333</v>
      </c>
    </row>
    <row r="137" spans="1:18" ht="30" customHeight="1">
      <c r="A137" s="17" t="s">
        <v>312</v>
      </c>
      <c r="B137" s="5" t="str">
        <f>IF(A137="","",IF(COUNTIF(Catalogo!$A$5:$A$905,A137)=0,"SKU no encontrado",INDEX(Catalogo!$B$5:$B$905,MATCH(A137,Catalogo!$A$5:$A$905,0))))</f>
        <v>QUILMES - X12 1000RET</v>
      </c>
      <c r="C137">
        <f>IF(OR(A137="",B137="SKU no encontrado"),"",INDEX(Catalogo!$C$5:$C$905,MATCH(A137,Catalogo!$A$5:$A$905,0)))</f>
        <v>12</v>
      </c>
      <c r="D137" s="19">
        <v>46461</v>
      </c>
      <c r="E137" s="20">
        <v>203</v>
      </c>
      <c r="F137" s="20"/>
      <c r="G137" s="12">
        <f>+LotesTrelew[[#This Row],[Final deseado / unidad sugerido]]/1.3</f>
        <v>0</v>
      </c>
      <c r="H137" s="6">
        <f>IF(OR(A137="",B137="SKU no encontrado"),"",IF(INDEX(Catalogo!$H$5:$H$905,MATCH(A137,Catalogo!$A$5:$A$905,0))=0,"",INDEX(Catalogo!$H$5:$H$905,MATCH(A137,Catalogo!$A$5:$A$905,0))))</f>
        <v>39858.839</v>
      </c>
      <c r="I137" s="13">
        <f t="shared" si="24"/>
        <v>1</v>
      </c>
      <c r="J137" s="6">
        <f t="shared" si="25"/>
        <v>39858.839</v>
      </c>
      <c r="K137" s="6">
        <f t="shared" si="26"/>
        <v>8091344.3169999998</v>
      </c>
      <c r="L137" s="6">
        <f t="shared" si="27"/>
        <v>0</v>
      </c>
      <c r="M137" t="str">
        <f t="shared" si="28"/>
        <v>Estimado proporcional</v>
      </c>
      <c r="N137" t="s">
        <v>1839</v>
      </c>
      <c r="O137" s="18">
        <v>203</v>
      </c>
      <c r="P137">
        <v>2</v>
      </c>
      <c r="Q137">
        <v>180</v>
      </c>
      <c r="R137" s="6">
        <f t="shared" si="29"/>
        <v>3321.5699166666668</v>
      </c>
    </row>
    <row r="138" spans="1:18" ht="30" customHeight="1">
      <c r="A138" s="17" t="s">
        <v>316</v>
      </c>
      <c r="B138" s="5" t="str">
        <f>IF(A138="","",IF(COUNTIF(Catalogo!$A$5:$A$905,A138)=0,"SKU no encontrado",INDEX(Catalogo!$B$5:$B$905,MATCH(A138,Catalogo!$A$5:$A$905,0))))</f>
        <v>BRAHMA - X12 1000RET#</v>
      </c>
      <c r="C138">
        <f>IF(OR(A138="",B138="SKU no encontrado"),"",INDEX(Catalogo!$C$5:$C$905,MATCH(A138,Catalogo!$A$5:$A$905,0)))</f>
        <v>12</v>
      </c>
      <c r="D138" s="19">
        <v>46466</v>
      </c>
      <c r="E138" s="20">
        <v>384.1666666667</v>
      </c>
      <c r="F138" s="20"/>
      <c r="G138" s="12">
        <f>+LotesTrelew[[#This Row],[Final deseado / unidad sugerido]]/1.3</f>
        <v>0</v>
      </c>
      <c r="H138" s="6">
        <f>IF(OR(A138="",B138="SKU no encontrado"),"",IF(INDEX(Catalogo!$H$5:$H$905,MATCH(A138,Catalogo!$A$5:$A$905,0))=0,"",INDEX(Catalogo!$H$5:$H$905,MATCH(A138,Catalogo!$A$5:$A$905,0))))</f>
        <v>37981.633000000002</v>
      </c>
      <c r="I138" s="13">
        <f t="shared" si="24"/>
        <v>1</v>
      </c>
      <c r="J138" s="6">
        <f t="shared" si="25"/>
        <v>37981.633000000002</v>
      </c>
      <c r="K138" s="6">
        <f t="shared" si="26"/>
        <v>14591277.344167933</v>
      </c>
      <c r="L138" s="6">
        <f t="shared" si="27"/>
        <v>0</v>
      </c>
      <c r="M138" t="str">
        <f t="shared" si="28"/>
        <v>Estimado proporcional</v>
      </c>
      <c r="N138" t="s">
        <v>1839</v>
      </c>
      <c r="O138" s="18">
        <v>384.1666666667</v>
      </c>
      <c r="P138">
        <v>1</v>
      </c>
      <c r="Q138">
        <v>185</v>
      </c>
      <c r="R138" s="6">
        <f t="shared" si="29"/>
        <v>3165.1360833333333</v>
      </c>
    </row>
    <row r="139" spans="1:18" ht="30" customHeight="1">
      <c r="A139" s="17" t="s">
        <v>836</v>
      </c>
      <c r="B139" s="5" t="str">
        <f>IF(A139="","",IF(COUNTIF(Catalogo!$A$5:$A$905,A139)=0,"SKU no encontrado",INDEX(Catalogo!$B$5:$B$905,MATCH(A139,Catalogo!$A$5:$A$905,0))))</f>
        <v>CORONA CAN 4X6 473CC AR</v>
      </c>
      <c r="C139">
        <f>IF(OR(A139="",B139="SKU no encontrado"),"",INDEX(Catalogo!$C$5:$C$905,MATCH(A139,Catalogo!$A$5:$A$905,0)))</f>
        <v>24</v>
      </c>
      <c r="D139" s="19">
        <v>46469</v>
      </c>
      <c r="E139" s="20">
        <v>88</v>
      </c>
      <c r="F139" s="20"/>
      <c r="G139" s="12">
        <f>+LotesTrelew[[#This Row],[Final deseado / unidad sugerido]]/1.3</f>
        <v>0</v>
      </c>
      <c r="H139" s="6">
        <f>IF(OR(A139="",B139="SKU no encontrado"),"",IF(INDEX(Catalogo!$H$5:$H$905,MATCH(A139,Catalogo!$A$5:$A$905,0))=0,"",INDEX(Catalogo!$H$5:$H$905,MATCH(A139,Catalogo!$A$5:$A$905,0))))</f>
        <v>81838.585999999996</v>
      </c>
      <c r="I139" s="13">
        <f t="shared" si="24"/>
        <v>1</v>
      </c>
      <c r="J139" s="6">
        <f t="shared" si="25"/>
        <v>81838.585999999996</v>
      </c>
      <c r="K139" s="6">
        <f t="shared" si="26"/>
        <v>7201795.568</v>
      </c>
      <c r="L139" s="6">
        <f t="shared" si="27"/>
        <v>0</v>
      </c>
      <c r="M139" t="str">
        <f t="shared" si="28"/>
        <v>Estimado proporcional</v>
      </c>
      <c r="N139" t="s">
        <v>1839</v>
      </c>
      <c r="O139" s="18">
        <v>88</v>
      </c>
      <c r="P139">
        <v>1</v>
      </c>
      <c r="Q139">
        <v>184</v>
      </c>
      <c r="R139" s="6">
        <f t="shared" si="29"/>
        <v>3409.9410833333332</v>
      </c>
    </row>
    <row r="140" spans="1:18" ht="30" customHeight="1">
      <c r="A140" s="17" t="s">
        <v>891</v>
      </c>
      <c r="B140" s="5" t="str">
        <f>IF(A140="","",IF(COUNTIF(Catalogo!$A$5:$A$905,A140)=0,"SKU no encontrado",INDEX(Catalogo!$B$5:$B$905,MATCH(A140,Catalogo!$A$5:$A$905,0))))</f>
        <v>QUILMES CLASICA CAN 4X4 710CC</v>
      </c>
      <c r="C140">
        <f>IF(OR(A140="",B140="SKU no encontrado"),"",INDEX(Catalogo!$C$5:$C$905,MATCH(A140,Catalogo!$A$5:$A$905,0)))</f>
        <v>16</v>
      </c>
      <c r="D140" s="19">
        <v>46471</v>
      </c>
      <c r="E140" s="20">
        <v>437.875</v>
      </c>
      <c r="F140" s="20"/>
      <c r="G140" s="12">
        <f>+LotesTrelew[[#This Row],[Final deseado / unidad sugerido]]/1.3</f>
        <v>0</v>
      </c>
      <c r="H140" s="6">
        <f>IF(OR(A140="",B140="SKU no encontrado"),"",IF(INDEX(Catalogo!$H$5:$H$905,MATCH(A140,Catalogo!$A$5:$A$905,0))=0,"",INDEX(Catalogo!$H$5:$H$905,MATCH(A140,Catalogo!$A$5:$A$905,0))))</f>
        <v>45830.072</v>
      </c>
      <c r="I140" s="13">
        <f t="shared" si="24"/>
        <v>1</v>
      </c>
      <c r="J140" s="6">
        <f t="shared" si="25"/>
        <v>45830.072</v>
      </c>
      <c r="K140" s="6">
        <f t="shared" si="26"/>
        <v>20067842.776999999</v>
      </c>
      <c r="L140" s="6">
        <f t="shared" si="27"/>
        <v>0</v>
      </c>
      <c r="M140" t="str">
        <f t="shared" si="28"/>
        <v>Estimado proporcional</v>
      </c>
      <c r="N140" t="s">
        <v>1839</v>
      </c>
      <c r="O140" s="18">
        <v>437.875</v>
      </c>
      <c r="P140">
        <v>1</v>
      </c>
      <c r="Q140">
        <v>186</v>
      </c>
      <c r="R140" s="6">
        <f t="shared" si="29"/>
        <v>2864.3795</v>
      </c>
    </row>
    <row r="141" spans="1:18" ht="30" customHeight="1">
      <c r="A141" s="17" t="s">
        <v>312</v>
      </c>
      <c r="B141" s="5" t="str">
        <f>IF(A141="","",IF(COUNTIF(Catalogo!$A$5:$A$905,A141)=0,"SKU no encontrado",INDEX(Catalogo!$B$5:$B$905,MATCH(A141,Catalogo!$A$5:$A$905,0))))</f>
        <v>QUILMES - X12 1000RET</v>
      </c>
      <c r="C141">
        <f>IF(OR(A141="",B141="SKU no encontrado"),"",INDEX(Catalogo!$C$5:$C$905,MATCH(A141,Catalogo!$A$5:$A$905,0)))</f>
        <v>12</v>
      </c>
      <c r="D141" s="19">
        <v>46474</v>
      </c>
      <c r="E141" s="20">
        <v>700</v>
      </c>
      <c r="F141" s="20"/>
      <c r="G141" s="12">
        <f>+LotesTrelew[[#This Row],[Final deseado / unidad sugerido]]/1.3</f>
        <v>0</v>
      </c>
      <c r="H141" s="6">
        <f>IF(OR(A141="",B141="SKU no encontrado"),"",IF(INDEX(Catalogo!$H$5:$H$905,MATCH(A141,Catalogo!$A$5:$A$905,0))=0,"",INDEX(Catalogo!$H$5:$H$905,MATCH(A141,Catalogo!$A$5:$A$905,0))))</f>
        <v>39858.839</v>
      </c>
      <c r="I141" s="13">
        <f t="shared" si="24"/>
        <v>1</v>
      </c>
      <c r="J141" s="6">
        <f t="shared" si="25"/>
        <v>39858.839</v>
      </c>
      <c r="K141" s="6">
        <f t="shared" si="26"/>
        <v>27901187.300000001</v>
      </c>
      <c r="L141" s="6">
        <f t="shared" si="27"/>
        <v>0</v>
      </c>
      <c r="M141" t="str">
        <f t="shared" si="28"/>
        <v>Estimado proporcional</v>
      </c>
      <c r="N141" t="s">
        <v>1839</v>
      </c>
      <c r="O141" s="18">
        <v>700</v>
      </c>
      <c r="P141">
        <v>3</v>
      </c>
      <c r="Q141">
        <v>193</v>
      </c>
      <c r="R141" s="6">
        <f t="shared" si="29"/>
        <v>3321.5699166666668</v>
      </c>
    </row>
    <row r="142" spans="1:18" ht="30" customHeight="1">
      <c r="A142" s="17" t="s">
        <v>55</v>
      </c>
      <c r="B142" s="5" t="str">
        <f>IF(A142="","",IF(COUNTIF(Catalogo!$A$5:$A$905,A142)=0,"SKU no encontrado",INDEX(Catalogo!$B$5:$B$905,MATCH(A142,Catalogo!$A$5:$A$905,0))))</f>
        <v>QUILMES - 4X6 LAT 473</v>
      </c>
      <c r="C142">
        <f>IF(OR(A142="",B142="SKU no encontrado"),"",INDEX(Catalogo!$C$5:$C$905,MATCH(A142,Catalogo!$A$5:$A$905,0)))</f>
        <v>24</v>
      </c>
      <c r="D142" s="19">
        <v>46480</v>
      </c>
      <c r="E142" s="20">
        <v>961.83333333329995</v>
      </c>
      <c r="F142" s="20"/>
      <c r="G142" s="12">
        <f>+LotesTrelew[[#This Row],[Final deseado / unidad sugerido]]/1.3</f>
        <v>0</v>
      </c>
      <c r="H142" s="6">
        <f>IF(OR(A142="",B142="SKU no encontrado"),"",IF(INDEX(Catalogo!$H$5:$H$905,MATCH(A142,Catalogo!$A$5:$A$905,0))=0,"",INDEX(Catalogo!$H$5:$H$905,MATCH(A142,Catalogo!$A$5:$A$905,0))))</f>
        <v>48405.919000000002</v>
      </c>
      <c r="I142" s="13">
        <f t="shared" si="24"/>
        <v>1</v>
      </c>
      <c r="J142" s="6">
        <f t="shared" si="25"/>
        <v>48405.919000000002</v>
      </c>
      <c r="K142" s="6">
        <f t="shared" si="26"/>
        <v>46558426.424831718</v>
      </c>
      <c r="L142" s="6">
        <f t="shared" si="27"/>
        <v>0</v>
      </c>
      <c r="M142" t="str">
        <f t="shared" si="28"/>
        <v>Estimado proporcional</v>
      </c>
      <c r="N142" t="s">
        <v>1839</v>
      </c>
      <c r="O142" s="18">
        <v>961.83333333329995</v>
      </c>
      <c r="P142">
        <v>1</v>
      </c>
      <c r="Q142">
        <v>199</v>
      </c>
      <c r="R142" s="6">
        <f t="shared" si="29"/>
        <v>2016.9132916666667</v>
      </c>
    </row>
    <row r="143" spans="1:18" ht="30" customHeight="1">
      <c r="A143" s="17" t="s">
        <v>543</v>
      </c>
      <c r="B143" s="5" t="str">
        <f>IF(A143="","",IF(COUNTIF(Catalogo!$A$5:$A$905,A143)=0,"SKU no encontrado",INDEX(Catalogo!$B$5:$B$905,MATCH(A143,Catalogo!$A$5:$A$905,0))))</f>
        <v>BUD RET X12 1000 CMQ</v>
      </c>
      <c r="C143">
        <f>IF(OR(A143="",B143="SKU no encontrado"),"",INDEX(Catalogo!$C$5:$C$905,MATCH(A143,Catalogo!$A$5:$A$905,0)))</f>
        <v>12</v>
      </c>
      <c r="D143" s="19">
        <v>46480</v>
      </c>
      <c r="E143" s="20">
        <v>187.6666666667</v>
      </c>
      <c r="F143" s="20"/>
      <c r="G143" s="12">
        <f>+LotesTrelew[[#This Row],[Final deseado / unidad sugerido]]/1.3</f>
        <v>0</v>
      </c>
      <c r="H143" s="6">
        <f>IF(OR(A143="",B143="SKU no encontrado"),"",IF(INDEX(Catalogo!$H$5:$H$905,MATCH(A143,Catalogo!$A$5:$A$905,0))=0,"",INDEX(Catalogo!$H$5:$H$905,MATCH(A143,Catalogo!$A$5:$A$905,0))))</f>
        <v>39858.839</v>
      </c>
      <c r="I143" s="13">
        <f t="shared" si="24"/>
        <v>1</v>
      </c>
      <c r="J143" s="6">
        <f t="shared" si="25"/>
        <v>39858.839</v>
      </c>
      <c r="K143" s="6">
        <f t="shared" si="26"/>
        <v>7480175.452334662</v>
      </c>
      <c r="L143" s="6">
        <f t="shared" si="27"/>
        <v>0</v>
      </c>
      <c r="M143" t="str">
        <f t="shared" si="28"/>
        <v>Estimado proporcional</v>
      </c>
      <c r="N143" t="s">
        <v>1839</v>
      </c>
      <c r="O143" s="18">
        <v>187.6666666667</v>
      </c>
      <c r="P143">
        <v>1</v>
      </c>
      <c r="Q143">
        <v>195</v>
      </c>
      <c r="R143" s="6">
        <f t="shared" si="29"/>
        <v>3321.5699166666668</v>
      </c>
    </row>
    <row r="144" spans="1:18" ht="30" customHeight="1">
      <c r="A144" s="17" t="s">
        <v>450</v>
      </c>
      <c r="B144" s="5" t="str">
        <f>IF(A144="","",IF(COUNTIF(Catalogo!$A$5:$A$905,A144)=0,"SKU no encontrado",INDEX(Catalogo!$B$5:$B$905,MATCH(A144,Catalogo!$A$5:$A$905,0))))</f>
        <v>GATORADE MANZANA PET X6 750 204</v>
      </c>
      <c r="C144">
        <f>IF(OR(A144="",B144="SKU no encontrado"),"",INDEX(Catalogo!$C$5:$C$905,MATCH(A144,Catalogo!$A$5:$A$905,0)))</f>
        <v>6</v>
      </c>
      <c r="D144" s="19">
        <v>46481</v>
      </c>
      <c r="E144" s="20">
        <v>302</v>
      </c>
      <c r="F144" s="20"/>
      <c r="G144" s="12">
        <f>+LotesTrelew[[#This Row],[Final deseado / unidad sugerido]]/1.3</f>
        <v>0</v>
      </c>
      <c r="H144" s="6">
        <f>IF(OR(A144="",B144="SKU no encontrado"),"",IF(INDEX(Catalogo!$H$5:$H$905,MATCH(A144,Catalogo!$A$5:$A$905,0))=0,"",INDEX(Catalogo!$H$5:$H$905,MATCH(A144,Catalogo!$A$5:$A$905,0))))</f>
        <v>17021.356</v>
      </c>
      <c r="I144" s="13">
        <f t="shared" si="24"/>
        <v>1</v>
      </c>
      <c r="J144" s="6">
        <f t="shared" si="25"/>
        <v>17021.356</v>
      </c>
      <c r="K144" s="6">
        <f t="shared" si="26"/>
        <v>5140449.5120000001</v>
      </c>
      <c r="L144" s="6">
        <f t="shared" si="27"/>
        <v>0</v>
      </c>
      <c r="M144" t="str">
        <f t="shared" si="28"/>
        <v>Estimado proporcional</v>
      </c>
      <c r="N144" t="s">
        <v>1839</v>
      </c>
      <c r="O144" s="18">
        <v>302</v>
      </c>
      <c r="P144">
        <v>1</v>
      </c>
      <c r="Q144">
        <v>196</v>
      </c>
      <c r="R144" s="6">
        <f t="shared" si="29"/>
        <v>2836.8926666666666</v>
      </c>
    </row>
    <row r="145" spans="1:18" ht="30" customHeight="1">
      <c r="A145" s="17" t="s">
        <v>655</v>
      </c>
      <c r="B145" s="5" t="str">
        <f>IF(A145="","",IF(COUNTIF(Catalogo!$A$5:$A$905,A145)=0,"SKU no encontrado",INDEX(Catalogo!$B$5:$B$905,MATCH(A145,Catalogo!$A$5:$A$905,0))))</f>
        <v>STELLA ARTOIS PM RET X12 975CC</v>
      </c>
      <c r="C145">
        <f>IF(OR(A145="",B145="SKU no encontrado"),"",INDEX(Catalogo!$C$5:$C$905,MATCH(A145,Catalogo!$A$5:$A$905,0)))</f>
        <v>12</v>
      </c>
      <c r="D145" s="19">
        <v>46482</v>
      </c>
      <c r="E145" s="20">
        <v>342</v>
      </c>
      <c r="F145" s="20"/>
      <c r="G145" s="12">
        <f>+LotesTrelew[[#This Row],[Final deseado / unidad sugerido]]/1.3</f>
        <v>0</v>
      </c>
      <c r="H145" s="6">
        <f>IF(OR(A145="",B145="SKU no encontrado"),"",IF(INDEX(Catalogo!$H$5:$H$905,MATCH(A145,Catalogo!$A$5:$A$905,0))=0,"",INDEX(Catalogo!$H$5:$H$905,MATCH(A145,Catalogo!$A$5:$A$905,0))))</f>
        <v>59336.406999999999</v>
      </c>
      <c r="I145" s="13">
        <f t="shared" si="24"/>
        <v>1</v>
      </c>
      <c r="J145" s="6">
        <f t="shared" si="25"/>
        <v>59336.406999999999</v>
      </c>
      <c r="K145" s="6">
        <f t="shared" si="26"/>
        <v>20293051.193999998</v>
      </c>
      <c r="L145" s="6">
        <f t="shared" si="27"/>
        <v>0</v>
      </c>
      <c r="M145" t="str">
        <f t="shared" si="28"/>
        <v>Estimado proporcional</v>
      </c>
      <c r="N145" t="s">
        <v>1839</v>
      </c>
      <c r="O145" s="18">
        <v>342</v>
      </c>
      <c r="P145">
        <v>1</v>
      </c>
      <c r="Q145">
        <v>201</v>
      </c>
      <c r="R145" s="6">
        <f t="shared" si="29"/>
        <v>4944.7005833333333</v>
      </c>
    </row>
    <row r="146" spans="1:18" ht="30" customHeight="1">
      <c r="A146" s="17" t="s">
        <v>55</v>
      </c>
      <c r="B146" s="5" t="str">
        <f>IF(A146="","",IF(COUNTIF(Catalogo!$A$5:$A$905,A146)=0,"SKU no encontrado",INDEX(Catalogo!$B$5:$B$905,MATCH(A146,Catalogo!$A$5:$A$905,0))))</f>
        <v>QUILMES - 4X6 LAT 473</v>
      </c>
      <c r="C146">
        <f>IF(OR(A146="",B146="SKU no encontrado"),"",INDEX(Catalogo!$C$5:$C$905,MATCH(A146,Catalogo!$A$5:$A$905,0)))</f>
        <v>24</v>
      </c>
      <c r="D146" s="19">
        <v>46485</v>
      </c>
      <c r="E146" s="20">
        <v>600</v>
      </c>
      <c r="F146" s="20"/>
      <c r="G146" s="12">
        <f>+LotesTrelew[[#This Row],[Final deseado / unidad sugerido]]/1.3</f>
        <v>0</v>
      </c>
      <c r="H146" s="6">
        <f>IF(OR(A146="",B146="SKU no encontrado"),"",IF(INDEX(Catalogo!$H$5:$H$905,MATCH(A146,Catalogo!$A$5:$A$905,0))=0,"",INDEX(Catalogo!$H$5:$H$905,MATCH(A146,Catalogo!$A$5:$A$905,0))))</f>
        <v>48405.919000000002</v>
      </c>
      <c r="I146" s="13">
        <f t="shared" si="24"/>
        <v>1</v>
      </c>
      <c r="J146" s="6">
        <f t="shared" si="25"/>
        <v>48405.919000000002</v>
      </c>
      <c r="K146" s="6">
        <f t="shared" si="26"/>
        <v>29043551.400000002</v>
      </c>
      <c r="L146" s="6">
        <f t="shared" si="27"/>
        <v>0</v>
      </c>
      <c r="M146" t="str">
        <f t="shared" si="28"/>
        <v>Estimado proporcional</v>
      </c>
      <c r="N146" t="s">
        <v>1839</v>
      </c>
      <c r="O146" s="18">
        <v>600</v>
      </c>
      <c r="P146">
        <v>2</v>
      </c>
      <c r="Q146">
        <v>204</v>
      </c>
      <c r="R146" s="6">
        <f t="shared" si="29"/>
        <v>2016.9132916666667</v>
      </c>
    </row>
    <row r="147" spans="1:18" ht="30" customHeight="1">
      <c r="A147" s="17" t="s">
        <v>891</v>
      </c>
      <c r="B147" s="5" t="str">
        <f>IF(A147="","",IF(COUNTIF(Catalogo!$A$5:$A$905,A147)=0,"SKU no encontrado",INDEX(Catalogo!$B$5:$B$905,MATCH(A147,Catalogo!$A$5:$A$905,0))))</f>
        <v>QUILMES CLASICA CAN 4X4 710CC</v>
      </c>
      <c r="C147">
        <f>IF(OR(A147="",B147="SKU no encontrado"),"",INDEX(Catalogo!$C$5:$C$905,MATCH(A147,Catalogo!$A$5:$A$905,0)))</f>
        <v>16</v>
      </c>
      <c r="D147" s="19">
        <v>46485</v>
      </c>
      <c r="E147" s="20">
        <v>1152</v>
      </c>
      <c r="F147" s="20"/>
      <c r="G147" s="12">
        <f>+LotesTrelew[[#This Row],[Final deseado / unidad sugerido]]/1.3</f>
        <v>0</v>
      </c>
      <c r="H147" s="6">
        <f>IF(OR(A147="",B147="SKU no encontrado"),"",IF(INDEX(Catalogo!$H$5:$H$905,MATCH(A147,Catalogo!$A$5:$A$905,0))=0,"",INDEX(Catalogo!$H$5:$H$905,MATCH(A147,Catalogo!$A$5:$A$905,0))))</f>
        <v>45830.072</v>
      </c>
      <c r="I147" s="13">
        <f t="shared" si="24"/>
        <v>1</v>
      </c>
      <c r="J147" s="6">
        <f t="shared" si="25"/>
        <v>45830.072</v>
      </c>
      <c r="K147" s="6">
        <f t="shared" si="26"/>
        <v>52796242.943999998</v>
      </c>
      <c r="L147" s="6">
        <f t="shared" si="27"/>
        <v>0</v>
      </c>
      <c r="M147" t="str">
        <f t="shared" si="28"/>
        <v>Estimado proporcional</v>
      </c>
      <c r="N147" t="s">
        <v>1839</v>
      </c>
      <c r="O147" s="18">
        <v>1152</v>
      </c>
      <c r="P147">
        <v>2</v>
      </c>
      <c r="Q147">
        <v>200</v>
      </c>
      <c r="R147" s="6">
        <f t="shared" si="29"/>
        <v>2864.3795</v>
      </c>
    </row>
    <row r="148" spans="1:18" ht="30" customHeight="1">
      <c r="A148" s="17" t="s">
        <v>448</v>
      </c>
      <c r="B148" s="5" t="str">
        <f>IF(A148="","",IF(COUNTIF(Catalogo!$A$5:$A$905,A148)=0,"SKU no encontrado",INDEX(Catalogo!$B$5:$B$905,MATCH(A148,Catalogo!$A$5:$A$905,0))))</f>
        <v>GATORADE COOL BLUE PET X6 750 204</v>
      </c>
      <c r="C148">
        <f>IF(OR(A148="",B148="SKU no encontrado"),"",INDEX(Catalogo!$C$5:$C$905,MATCH(A148,Catalogo!$A$5:$A$905,0)))</f>
        <v>6</v>
      </c>
      <c r="D148" s="19">
        <v>46487</v>
      </c>
      <c r="E148" s="20">
        <v>147</v>
      </c>
      <c r="F148" s="20"/>
      <c r="G148" s="12">
        <f>+LotesTrelew[[#This Row],[Final deseado / unidad sugerido]]/1.3</f>
        <v>0</v>
      </c>
      <c r="H148" s="6">
        <f>IF(OR(A148="",B148="SKU no encontrado"),"",IF(INDEX(Catalogo!$H$5:$H$905,MATCH(A148,Catalogo!$A$5:$A$905,0))=0,"",INDEX(Catalogo!$H$5:$H$905,MATCH(A148,Catalogo!$A$5:$A$905,0))))</f>
        <v>17021.356</v>
      </c>
      <c r="I148" s="13">
        <f t="shared" si="24"/>
        <v>1</v>
      </c>
      <c r="J148" s="6">
        <f t="shared" si="25"/>
        <v>17021.356</v>
      </c>
      <c r="K148" s="6">
        <f t="shared" si="26"/>
        <v>2502139.3319999999</v>
      </c>
      <c r="L148" s="6">
        <f t="shared" si="27"/>
        <v>0</v>
      </c>
      <c r="M148" t="str">
        <f t="shared" si="28"/>
        <v>Estimado proporcional</v>
      </c>
      <c r="N148" t="s">
        <v>1839</v>
      </c>
      <c r="O148" s="18">
        <v>147</v>
      </c>
      <c r="P148">
        <v>1</v>
      </c>
      <c r="Q148">
        <v>202</v>
      </c>
      <c r="R148" s="6">
        <f t="shared" si="29"/>
        <v>2836.8926666666666</v>
      </c>
    </row>
    <row r="149" spans="1:18" ht="30" customHeight="1">
      <c r="A149" s="17" t="s">
        <v>60</v>
      </c>
      <c r="B149" s="5" t="str">
        <f>IF(A149="","",IF(COUNTIF(Catalogo!$A$5:$A$905,A149)=0,"SKU no encontrado",INDEX(Catalogo!$B$5:$B$905,MATCH(A149,Catalogo!$A$5:$A$905,0))))</f>
        <v>BRAHMA CAN 4X4 710CC</v>
      </c>
      <c r="C149">
        <f>IF(OR(A149="",B149="SKU no encontrado"),"",INDEX(Catalogo!$C$5:$C$905,MATCH(A149,Catalogo!$A$5:$A$905,0)))</f>
        <v>16</v>
      </c>
      <c r="D149" s="19">
        <v>46489</v>
      </c>
      <c r="E149" s="20">
        <v>348.8125</v>
      </c>
      <c r="F149" s="20"/>
      <c r="G149" s="12">
        <f>+LotesTrelew[[#This Row],[Final deseado / unidad sugerido]]/1.3</f>
        <v>0</v>
      </c>
      <c r="H149" s="6">
        <f>IF(OR(A149="",B149="SKU no encontrado"),"",IF(INDEX(Catalogo!$H$5:$H$905,MATCH(A149,Catalogo!$A$5:$A$905,0))=0,"",INDEX(Catalogo!$H$5:$H$905,MATCH(A149,Catalogo!$A$5:$A$905,0))))</f>
        <v>44562.415000000001</v>
      </c>
      <c r="I149" s="13">
        <f t="shared" si="24"/>
        <v>1</v>
      </c>
      <c r="J149" s="6">
        <f t="shared" si="25"/>
        <v>44562.415000000001</v>
      </c>
      <c r="K149" s="6">
        <f t="shared" si="26"/>
        <v>15543927.382187501</v>
      </c>
      <c r="L149" s="6">
        <f t="shared" si="27"/>
        <v>0</v>
      </c>
      <c r="M149" t="str">
        <f t="shared" si="28"/>
        <v>Estimado proporcional</v>
      </c>
      <c r="N149" t="s">
        <v>1839</v>
      </c>
      <c r="O149" s="18">
        <v>348.8125</v>
      </c>
      <c r="P149">
        <v>1</v>
      </c>
      <c r="Q149">
        <v>204</v>
      </c>
      <c r="R149" s="6">
        <f t="shared" si="29"/>
        <v>2785.1509375000001</v>
      </c>
    </row>
    <row r="150" spans="1:18" ht="30" customHeight="1">
      <c r="A150" s="17" t="s">
        <v>960</v>
      </c>
      <c r="B150" s="5" t="str">
        <f>IF(A150="","",IF(COUNTIF(Catalogo!$A$5:$A$905,A150)=0,"SKU no encontrado",INDEX(Catalogo!$B$5:$B$905,MATCH(A150,Catalogo!$A$5:$A$905,0))))</f>
        <v>3P-LECHE PARC DESCREM APOSTOLES X12 1L</v>
      </c>
      <c r="C150">
        <f>IF(OR(A150="",B150="SKU no encontrado"),"",INDEX(Catalogo!$C$5:$C$905,MATCH(A150,Catalogo!$A$5:$A$905,0)))</f>
        <v>12</v>
      </c>
      <c r="D150" s="19">
        <v>46489</v>
      </c>
      <c r="E150" s="20">
        <v>22</v>
      </c>
      <c r="F150" s="20"/>
      <c r="G150" s="12">
        <f>+LotesTrelew[[#This Row],[Final deseado / unidad sugerido]]/1.3</f>
        <v>0</v>
      </c>
      <c r="H150" s="6">
        <f>IF(OR(A150="",B150="SKU no encontrado"),"",IF(INDEX(Catalogo!$H$5:$H$905,MATCH(A150,Catalogo!$A$5:$A$905,0))=0,"",INDEX(Catalogo!$H$5:$H$905,MATCH(A150,Catalogo!$A$5:$A$905,0))))</f>
        <v>24610.850999999999</v>
      </c>
      <c r="I150" s="13">
        <f t="shared" si="24"/>
        <v>1</v>
      </c>
      <c r="J150" s="6">
        <f t="shared" si="25"/>
        <v>24610.850999999999</v>
      </c>
      <c r="K150" s="6">
        <f t="shared" si="26"/>
        <v>541438.72199999995</v>
      </c>
      <c r="L150" s="6">
        <f t="shared" si="27"/>
        <v>0</v>
      </c>
      <c r="M150" t="str">
        <f t="shared" si="28"/>
        <v>Estimado proporcional</v>
      </c>
      <c r="N150" t="s">
        <v>1839</v>
      </c>
      <c r="O150" s="18">
        <v>22</v>
      </c>
      <c r="P150">
        <v>1</v>
      </c>
      <c r="Q150">
        <v>196</v>
      </c>
      <c r="R150" s="6">
        <f t="shared" si="29"/>
        <v>2050.90425</v>
      </c>
    </row>
    <row r="151" spans="1:18" ht="30" customHeight="1">
      <c r="A151" s="17" t="s">
        <v>964</v>
      </c>
      <c r="B151" s="5" t="str">
        <f>IF(A151="","",IF(COUNTIF(Catalogo!$A$5:$A$905,A151)=0,"SKU no encontrado",INDEX(Catalogo!$B$5:$B$905,MATCH(A151,Catalogo!$A$5:$A$905,0))))</f>
        <v>3P-LECHE UAT P.DESCREM ANGELITA X12 1L</v>
      </c>
      <c r="C151">
        <f>IF(OR(A151="",B151="SKU no encontrado"),"",INDEX(Catalogo!$C$5:$C$905,MATCH(A151,Catalogo!$A$5:$A$905,0)))</f>
        <v>12</v>
      </c>
      <c r="D151" s="19">
        <v>46490</v>
      </c>
      <c r="E151" s="20">
        <v>27</v>
      </c>
      <c r="F151" s="20"/>
      <c r="G151" s="12">
        <f>+LotesTrelew[[#This Row],[Final deseado / unidad sugerido]]/1.3</f>
        <v>0</v>
      </c>
      <c r="H151" s="6">
        <f>IF(OR(A151="",B151="SKU no encontrado"),"",IF(INDEX(Catalogo!$H$5:$H$905,MATCH(A151,Catalogo!$A$5:$A$905,0))=0,"",INDEX(Catalogo!$H$5:$H$905,MATCH(A151,Catalogo!$A$5:$A$905,0))))</f>
        <v>24610.850999999999</v>
      </c>
      <c r="I151" s="13">
        <f t="shared" si="24"/>
        <v>1</v>
      </c>
      <c r="J151" s="6">
        <f t="shared" si="25"/>
        <v>24610.850999999999</v>
      </c>
      <c r="K151" s="6">
        <f t="shared" si="26"/>
        <v>664492.97699999996</v>
      </c>
      <c r="L151" s="6">
        <f t="shared" si="27"/>
        <v>0</v>
      </c>
      <c r="M151" t="str">
        <f t="shared" si="28"/>
        <v>Estimado proporcional</v>
      </c>
      <c r="N151" t="s">
        <v>1839</v>
      </c>
      <c r="O151" s="18">
        <v>27</v>
      </c>
      <c r="P151">
        <v>1</v>
      </c>
      <c r="Q151">
        <v>197</v>
      </c>
      <c r="R151" s="6">
        <f t="shared" si="29"/>
        <v>2050.90425</v>
      </c>
    </row>
    <row r="152" spans="1:18" ht="30" customHeight="1">
      <c r="A152" s="17" t="s">
        <v>60</v>
      </c>
      <c r="B152" s="5" t="str">
        <f>IF(A152="","",IF(COUNTIF(Catalogo!$A$5:$A$905,A152)=0,"SKU no encontrado",INDEX(Catalogo!$B$5:$B$905,MATCH(A152,Catalogo!$A$5:$A$905,0))))</f>
        <v>BRAHMA CAN 4X4 710CC</v>
      </c>
      <c r="C152">
        <f>IF(OR(A152="",B152="SKU no encontrado"),"",INDEX(Catalogo!$C$5:$C$905,MATCH(A152,Catalogo!$A$5:$A$905,0)))</f>
        <v>16</v>
      </c>
      <c r="D152" s="19">
        <v>46491</v>
      </c>
      <c r="E152" s="20">
        <v>768</v>
      </c>
      <c r="F152" s="20"/>
      <c r="G152" s="12">
        <f>+LotesTrelew[[#This Row],[Final deseado / unidad sugerido]]/1.3</f>
        <v>0</v>
      </c>
      <c r="H152" s="6">
        <f>IF(OR(A152="",B152="SKU no encontrado"),"",IF(INDEX(Catalogo!$H$5:$H$905,MATCH(A152,Catalogo!$A$5:$A$905,0))=0,"",INDEX(Catalogo!$H$5:$H$905,MATCH(A152,Catalogo!$A$5:$A$905,0))))</f>
        <v>44562.415000000001</v>
      </c>
      <c r="I152" s="13">
        <f t="shared" si="24"/>
        <v>1</v>
      </c>
      <c r="J152" s="6">
        <f t="shared" si="25"/>
        <v>44562.415000000001</v>
      </c>
      <c r="K152" s="6">
        <f t="shared" si="26"/>
        <v>34223934.719999999</v>
      </c>
      <c r="L152" s="6">
        <f t="shared" si="27"/>
        <v>0</v>
      </c>
      <c r="M152" t="str">
        <f t="shared" si="28"/>
        <v>Estimado proporcional</v>
      </c>
      <c r="N152" t="s">
        <v>1839</v>
      </c>
      <c r="O152" s="18">
        <v>768</v>
      </c>
      <c r="P152">
        <v>2</v>
      </c>
      <c r="Q152">
        <v>206</v>
      </c>
      <c r="R152" s="6">
        <f t="shared" si="29"/>
        <v>2785.1509375000001</v>
      </c>
    </row>
    <row r="153" spans="1:18" ht="30" customHeight="1">
      <c r="A153" s="17" t="s">
        <v>1059</v>
      </c>
      <c r="B153" s="5" t="str">
        <f>IF(A153="","",IF(COUNTIF(Catalogo!$A$5:$A$905,A153)=0,"SKU no encontrado",INDEX(Catalogo!$B$5:$B$905,MATCH(A153,Catalogo!$A$5:$A$905,0))))</f>
        <v>RB ZERO CAN 6X4 250CC</v>
      </c>
      <c r="C153">
        <f>IF(OR(A153="",B153="SKU no encontrado"),"",INDEX(Catalogo!$C$5:$C$905,MATCH(A153,Catalogo!$A$5:$A$905,0)))</f>
        <v>24</v>
      </c>
      <c r="D153" s="19">
        <v>46492</v>
      </c>
      <c r="E153" s="20">
        <v>64.5</v>
      </c>
      <c r="F153" s="20"/>
      <c r="G153" s="12">
        <f>+LotesTrelew[[#This Row],[Final deseado / unidad sugerido]]/1.3</f>
        <v>0</v>
      </c>
      <c r="H153" s="6">
        <f>IF(OR(A153="",B153="SKU no encontrado"),"",IF(INDEX(Catalogo!$H$5:$H$905,MATCH(A153,Catalogo!$A$5:$A$905,0))=0,"",INDEX(Catalogo!$H$5:$H$905,MATCH(A153,Catalogo!$A$5:$A$905,0))))</f>
        <v>65853.251000000004</v>
      </c>
      <c r="I153" s="13">
        <f t="shared" si="24"/>
        <v>1</v>
      </c>
      <c r="J153" s="6">
        <f t="shared" si="25"/>
        <v>65853.251000000004</v>
      </c>
      <c r="K153" s="6">
        <f t="shared" si="26"/>
        <v>4247534.6895000003</v>
      </c>
      <c r="L153" s="6">
        <f t="shared" si="27"/>
        <v>0</v>
      </c>
      <c r="M153" t="str">
        <f t="shared" si="28"/>
        <v>Estimado proporcional</v>
      </c>
      <c r="N153" t="s">
        <v>1839</v>
      </c>
      <c r="O153" s="18">
        <v>64.5</v>
      </c>
      <c r="P153">
        <v>1</v>
      </c>
      <c r="Q153">
        <v>207</v>
      </c>
      <c r="R153" s="6">
        <f t="shared" si="29"/>
        <v>2743.8854583333336</v>
      </c>
    </row>
    <row r="154" spans="1:18" ht="30" customHeight="1">
      <c r="A154" s="17" t="s">
        <v>637</v>
      </c>
      <c r="B154" s="5" t="str">
        <f>IF(A154="","",IF(COUNTIF(Catalogo!$A$5:$A$905,A154)=0,"SKU no encontrado",INDEX(Catalogo!$B$5:$B$905,MATCH(A154,Catalogo!$A$5:$A$905,0))))</f>
        <v>CORONA 4X6 OW 330CC PROMO</v>
      </c>
      <c r="C154">
        <f>IF(OR(A154="",B154="SKU no encontrado"),"",INDEX(Catalogo!$C$5:$C$905,MATCH(A154,Catalogo!$A$5:$A$905,0)))</f>
        <v>24</v>
      </c>
      <c r="D154" s="19">
        <v>46493</v>
      </c>
      <c r="E154" s="20">
        <v>185.5</v>
      </c>
      <c r="F154" s="20"/>
      <c r="G154" s="12">
        <f>+LotesTrelew[[#This Row],[Final deseado / unidad sugerido]]/1.3</f>
        <v>0</v>
      </c>
      <c r="H154" s="6">
        <f>IF(OR(A154="",B154="SKU no encontrado"),"",IF(INDEX(Catalogo!$H$5:$H$905,MATCH(A154,Catalogo!$A$5:$A$905,0))=0,"",INDEX(Catalogo!$H$5:$H$905,MATCH(A154,Catalogo!$A$5:$A$905,0))))</f>
        <v>74267.078999999998</v>
      </c>
      <c r="I154" s="13">
        <f t="shared" si="24"/>
        <v>1</v>
      </c>
      <c r="J154" s="6">
        <f t="shared" si="25"/>
        <v>74267.078999999998</v>
      </c>
      <c r="K154" s="6">
        <f t="shared" si="26"/>
        <v>13776543.1545</v>
      </c>
      <c r="L154" s="6">
        <f t="shared" si="27"/>
        <v>0</v>
      </c>
      <c r="M154" t="str">
        <f t="shared" si="28"/>
        <v>Estimado proporcional</v>
      </c>
      <c r="N154" t="s">
        <v>1839</v>
      </c>
      <c r="O154" s="18">
        <v>185.5</v>
      </c>
      <c r="P154">
        <v>1</v>
      </c>
      <c r="Q154">
        <v>208</v>
      </c>
      <c r="R154" s="6">
        <f t="shared" si="29"/>
        <v>3094.4616249999999</v>
      </c>
    </row>
    <row r="155" spans="1:18" ht="30" customHeight="1">
      <c r="A155" s="17" t="s">
        <v>806</v>
      </c>
      <c r="B155" s="5" t="str">
        <f>IF(A155="","",IF(COUNTIF(Catalogo!$A$5:$A$905,A155)=0,"SKU no encontrado",INDEX(Catalogo!$B$5:$B$905,MATCH(A155,Catalogo!$A$5:$A$905,0))))</f>
        <v>QUILMES 1890 RET X12 1L SMK</v>
      </c>
      <c r="C155">
        <f>IF(OR(A155="",B155="SKU no encontrado"),"",INDEX(Catalogo!$C$5:$C$905,MATCH(A155,Catalogo!$A$5:$A$905,0)))</f>
        <v>12</v>
      </c>
      <c r="D155" s="19">
        <v>46494</v>
      </c>
      <c r="E155" s="20">
        <v>1100</v>
      </c>
      <c r="F155" s="20"/>
      <c r="G155" s="12">
        <f>+LotesTrelew[[#This Row],[Final deseado / unidad sugerido]]/1.3</f>
        <v>0</v>
      </c>
      <c r="H155" s="6">
        <f>IF(OR(A155="",B155="SKU no encontrado"),"",IF(INDEX(Catalogo!$H$5:$H$905,MATCH(A155,Catalogo!$A$5:$A$905,0))=0,"",INDEX(Catalogo!$H$5:$H$905,MATCH(A155,Catalogo!$A$5:$A$905,0))))</f>
        <v>32491.339</v>
      </c>
      <c r="I155" s="13">
        <f t="shared" si="24"/>
        <v>1</v>
      </c>
      <c r="J155" s="6">
        <f t="shared" si="25"/>
        <v>32491.339</v>
      </c>
      <c r="K155" s="6">
        <f t="shared" si="26"/>
        <v>35740472.899999999</v>
      </c>
      <c r="L155" s="6">
        <f t="shared" si="27"/>
        <v>0</v>
      </c>
      <c r="M155" t="str">
        <f t="shared" si="28"/>
        <v>Estimado proporcional</v>
      </c>
      <c r="N155" t="s">
        <v>1839</v>
      </c>
      <c r="O155" s="18">
        <v>1100</v>
      </c>
      <c r="P155">
        <v>3</v>
      </c>
      <c r="Q155">
        <v>213</v>
      </c>
      <c r="R155" s="6">
        <f t="shared" si="29"/>
        <v>2707.6115833333333</v>
      </c>
    </row>
    <row r="156" spans="1:18" ht="30" customHeight="1">
      <c r="A156" s="17" t="s">
        <v>698</v>
      </c>
      <c r="B156" s="5" t="str">
        <f>IF(A156="","",IF(COUNTIF(Catalogo!$A$5:$A$905,A156)=0,"SKU no encontrado",INDEX(Catalogo!$B$5:$B$905,MATCH(A156,Catalogo!$A$5:$A$905,0))))</f>
        <v>GATORADE FRUTAS PET X6 1250CC</v>
      </c>
      <c r="C156">
        <f>IF(OR(A156="",B156="SKU no encontrado"),"",INDEX(Catalogo!$C$5:$C$905,MATCH(A156,Catalogo!$A$5:$A$905,0)))</f>
        <v>6</v>
      </c>
      <c r="D156" s="19">
        <v>46495</v>
      </c>
      <c r="E156" s="20">
        <v>55</v>
      </c>
      <c r="F156" s="20"/>
      <c r="G156" s="12">
        <f>+LotesTrelew[[#This Row],[Final deseado / unidad sugerido]]/1.3</f>
        <v>0</v>
      </c>
      <c r="H156" s="6">
        <f>IF(OR(A156="",B156="SKU no encontrado"),"",IF(INDEX(Catalogo!$H$5:$H$905,MATCH(A156,Catalogo!$A$5:$A$905,0))=0,"",INDEX(Catalogo!$H$5:$H$905,MATCH(A156,Catalogo!$A$5:$A$905,0))))</f>
        <v>26114.945</v>
      </c>
      <c r="I156" s="13">
        <f t="shared" si="24"/>
        <v>1</v>
      </c>
      <c r="J156" s="6">
        <f t="shared" si="25"/>
        <v>26114.945</v>
      </c>
      <c r="K156" s="6">
        <f t="shared" si="26"/>
        <v>1436321.9750000001</v>
      </c>
      <c r="L156" s="6">
        <f t="shared" si="27"/>
        <v>0</v>
      </c>
      <c r="M156" t="str">
        <f t="shared" si="28"/>
        <v>Estimado proporcional</v>
      </c>
      <c r="N156" t="s">
        <v>1839</v>
      </c>
      <c r="O156" s="18">
        <v>55</v>
      </c>
      <c r="P156">
        <v>1</v>
      </c>
      <c r="Q156">
        <v>210</v>
      </c>
      <c r="R156" s="6">
        <f t="shared" si="29"/>
        <v>4352.4908333333333</v>
      </c>
    </row>
    <row r="157" spans="1:18" ht="30" customHeight="1">
      <c r="A157" s="17" t="s">
        <v>808</v>
      </c>
      <c r="B157" s="5" t="str">
        <f>IF(A157="","",IF(COUNTIF(Catalogo!$A$5:$A$905,A157)=0,"SKU no encontrado",INDEX(Catalogo!$B$5:$B$905,MATCH(A157,Catalogo!$A$5:$A$905,0))))</f>
        <v>QUILMES 1890 CAN X24 473CC SMK</v>
      </c>
      <c r="C157">
        <f>IF(OR(A157="",B157="SKU no encontrado"),"",INDEX(Catalogo!$C$5:$C$905,MATCH(A157,Catalogo!$A$5:$A$905,0)))</f>
        <v>24</v>
      </c>
      <c r="D157" s="19">
        <v>46495</v>
      </c>
      <c r="E157" s="20">
        <v>2200</v>
      </c>
      <c r="F157" s="20"/>
      <c r="G157" s="12">
        <f>+LotesTrelew[[#This Row],[Final deseado / unidad sugerido]]/1.3</f>
        <v>0</v>
      </c>
      <c r="H157" s="6">
        <f>IF(OR(A157="",B157="SKU no encontrado"),"",IF(INDEX(Catalogo!$H$5:$H$905,MATCH(A157,Catalogo!$A$5:$A$905,0))=0,"",INDEX(Catalogo!$H$5:$H$905,MATCH(A157,Catalogo!$A$5:$A$905,0))))</f>
        <v>38819.690999999999</v>
      </c>
      <c r="I157" s="13">
        <f t="shared" si="24"/>
        <v>1</v>
      </c>
      <c r="J157" s="6">
        <f t="shared" si="25"/>
        <v>38819.690999999999</v>
      </c>
      <c r="K157" s="6">
        <f t="shared" si="26"/>
        <v>85403320.200000003</v>
      </c>
      <c r="L157" s="6">
        <f t="shared" si="27"/>
        <v>0</v>
      </c>
      <c r="M157" t="str">
        <f t="shared" si="28"/>
        <v>Estimado proporcional</v>
      </c>
      <c r="N157" t="s">
        <v>1839</v>
      </c>
      <c r="O157" s="18">
        <v>2200</v>
      </c>
      <c r="P157">
        <v>3</v>
      </c>
      <c r="Q157">
        <v>214</v>
      </c>
      <c r="R157" s="6">
        <f t="shared" si="29"/>
        <v>1617.4871249999999</v>
      </c>
    </row>
    <row r="158" spans="1:18" ht="30" customHeight="1">
      <c r="A158" s="17" t="s">
        <v>958</v>
      </c>
      <c r="B158" s="5" t="str">
        <f>IF(A158="","",IF(COUNTIF(Catalogo!$A$5:$A$905,A158)=0,"SKU no encontrado",INDEX(Catalogo!$B$5:$B$905,MATCH(A158,Catalogo!$A$5:$A$905,0))))</f>
        <v>3P-LECHE LIVIANA 2% APOSTOLES X12 1L</v>
      </c>
      <c r="C158">
        <f>IF(OR(A158="",B158="SKU no encontrado"),"",INDEX(Catalogo!$C$5:$C$905,MATCH(A158,Catalogo!$A$5:$A$905,0)))</f>
        <v>12</v>
      </c>
      <c r="D158" s="19">
        <v>46497</v>
      </c>
      <c r="E158" s="20">
        <v>34</v>
      </c>
      <c r="F158" s="20"/>
      <c r="G158" s="12">
        <f>+LotesTrelew[[#This Row],[Final deseado / unidad sugerido]]/1.3</f>
        <v>0</v>
      </c>
      <c r="H158" s="6">
        <f>IF(OR(A158="",B158="SKU no encontrado"),"",IF(INDEX(Catalogo!$H$5:$H$905,MATCH(A158,Catalogo!$A$5:$A$905,0))=0,"",INDEX(Catalogo!$H$5:$H$905,MATCH(A158,Catalogo!$A$5:$A$905,0))))</f>
        <v>24610.850999999999</v>
      </c>
      <c r="I158" s="13">
        <f t="shared" si="24"/>
        <v>1</v>
      </c>
      <c r="J158" s="6">
        <f t="shared" si="25"/>
        <v>24610.850999999999</v>
      </c>
      <c r="K158" s="6">
        <f t="shared" si="26"/>
        <v>836768.93400000001</v>
      </c>
      <c r="L158" s="6">
        <f t="shared" si="27"/>
        <v>0</v>
      </c>
      <c r="M158" t="str">
        <f t="shared" si="28"/>
        <v>Estimado proporcional</v>
      </c>
      <c r="N158" t="s">
        <v>1839</v>
      </c>
      <c r="O158" s="18">
        <v>34</v>
      </c>
      <c r="P158">
        <v>1</v>
      </c>
      <c r="Q158">
        <v>212</v>
      </c>
      <c r="R158" s="6">
        <f t="shared" si="29"/>
        <v>2050.90425</v>
      </c>
    </row>
    <row r="159" spans="1:18" ht="30" customHeight="1">
      <c r="A159" s="17" t="s">
        <v>962</v>
      </c>
      <c r="B159" s="5" t="str">
        <f>IF(A159="","",IF(COUNTIF(Catalogo!$A$5:$A$905,A159)=0,"SKU no encontrado",INDEX(Catalogo!$B$5:$B$905,MATCH(A159,Catalogo!$A$5:$A$905,0))))</f>
        <v>3P-LECHE CLASICA LIVIANA ANGELITA X12 1L</v>
      </c>
      <c r="C159">
        <f>IF(OR(A159="",B159="SKU no encontrado"),"",INDEX(Catalogo!$C$5:$C$905,MATCH(A159,Catalogo!$A$5:$A$905,0)))</f>
        <v>12</v>
      </c>
      <c r="D159" s="19">
        <v>46498</v>
      </c>
      <c r="E159" s="20">
        <v>169</v>
      </c>
      <c r="F159" s="20"/>
      <c r="G159" s="12">
        <f>+LotesTrelew[[#This Row],[Final deseado / unidad sugerido]]/1.3</f>
        <v>0</v>
      </c>
      <c r="H159" s="6">
        <f>IF(OR(A159="",B159="SKU no encontrado"),"",IF(INDEX(Catalogo!$H$5:$H$905,MATCH(A159,Catalogo!$A$5:$A$905,0))=0,"",INDEX(Catalogo!$H$5:$H$905,MATCH(A159,Catalogo!$A$5:$A$905,0))))</f>
        <v>24610.850999999999</v>
      </c>
      <c r="I159" s="13">
        <f t="shared" si="24"/>
        <v>1</v>
      </c>
      <c r="J159" s="6">
        <f t="shared" si="25"/>
        <v>24610.850999999999</v>
      </c>
      <c r="K159" s="6">
        <f t="shared" si="26"/>
        <v>4159233.8189999997</v>
      </c>
      <c r="L159" s="6">
        <f t="shared" si="27"/>
        <v>0</v>
      </c>
      <c r="M159" t="str">
        <f t="shared" si="28"/>
        <v>Estimado proporcional</v>
      </c>
      <c r="N159" t="s">
        <v>1839</v>
      </c>
      <c r="O159" s="18">
        <v>169</v>
      </c>
      <c r="P159">
        <v>1</v>
      </c>
      <c r="Q159">
        <v>213</v>
      </c>
      <c r="R159" s="6">
        <f t="shared" si="29"/>
        <v>2050.90425</v>
      </c>
    </row>
    <row r="160" spans="1:18" ht="30" customHeight="1">
      <c r="A160" s="17" t="s">
        <v>55</v>
      </c>
      <c r="B160" s="5" t="str">
        <f>IF(A160="","",IF(COUNTIF(Catalogo!$A$5:$A$905,A160)=0,"SKU no encontrado",INDEX(Catalogo!$B$5:$B$905,MATCH(A160,Catalogo!$A$5:$A$905,0))))</f>
        <v>QUILMES - 4X6 LAT 473</v>
      </c>
      <c r="C160">
        <f>IF(OR(A160="",B160="SKU no encontrado"),"",INDEX(Catalogo!$C$5:$C$905,MATCH(A160,Catalogo!$A$5:$A$905,0)))</f>
        <v>24</v>
      </c>
      <c r="D160" s="19">
        <v>46499</v>
      </c>
      <c r="E160" s="20">
        <v>400</v>
      </c>
      <c r="F160" s="20"/>
      <c r="G160" s="12">
        <f>+LotesTrelew[[#This Row],[Final deseado / unidad sugerido]]/1.3</f>
        <v>0</v>
      </c>
      <c r="H160" s="6">
        <f>IF(OR(A160="",B160="SKU no encontrado"),"",IF(INDEX(Catalogo!$H$5:$H$905,MATCH(A160,Catalogo!$A$5:$A$905,0))=0,"",INDEX(Catalogo!$H$5:$H$905,MATCH(A160,Catalogo!$A$5:$A$905,0))))</f>
        <v>48405.919000000002</v>
      </c>
      <c r="I160" s="13">
        <f t="shared" si="24"/>
        <v>1</v>
      </c>
      <c r="J160" s="6">
        <f t="shared" si="25"/>
        <v>48405.919000000002</v>
      </c>
      <c r="K160" s="6">
        <f t="shared" si="26"/>
        <v>19362367.600000001</v>
      </c>
      <c r="L160" s="6">
        <f t="shared" si="27"/>
        <v>0</v>
      </c>
      <c r="M160" t="str">
        <f t="shared" si="28"/>
        <v>Estimado proporcional</v>
      </c>
      <c r="N160" t="s">
        <v>1839</v>
      </c>
      <c r="O160" s="18">
        <v>400</v>
      </c>
      <c r="P160">
        <v>3</v>
      </c>
      <c r="Q160">
        <v>218</v>
      </c>
      <c r="R160" s="6">
        <f t="shared" si="29"/>
        <v>2016.9132916666667</v>
      </c>
    </row>
    <row r="161" spans="1:18" ht="30" customHeight="1">
      <c r="A161" s="17" t="s">
        <v>694</v>
      </c>
      <c r="B161" s="5" t="str">
        <f>IF(A161="","",IF(COUNTIF(Catalogo!$A$5:$A$905,A161)=0,"SKU no encontrado",INDEX(Catalogo!$B$5:$B$905,MATCH(A161,Catalogo!$A$5:$A$905,0))))</f>
        <v>GATORADE NARANJA PET X6 1250CC</v>
      </c>
      <c r="C161">
        <f>IF(OR(A161="",B161="SKU no encontrado"),"",INDEX(Catalogo!$C$5:$C$905,MATCH(A161,Catalogo!$A$5:$A$905,0)))</f>
        <v>6</v>
      </c>
      <c r="D161" s="19">
        <v>46500</v>
      </c>
      <c r="E161" s="20">
        <v>110</v>
      </c>
      <c r="F161" s="20"/>
      <c r="G161" s="12">
        <f>+LotesTrelew[[#This Row],[Final deseado / unidad sugerido]]/1.3</f>
        <v>0</v>
      </c>
      <c r="H161" s="6">
        <f>IF(OR(A161="",B161="SKU no encontrado"),"",IF(INDEX(Catalogo!$H$5:$H$905,MATCH(A161,Catalogo!$A$5:$A$905,0))=0,"",INDEX(Catalogo!$H$5:$H$905,MATCH(A161,Catalogo!$A$5:$A$905,0))))</f>
        <v>26114.945</v>
      </c>
      <c r="I161" s="13">
        <f t="shared" si="24"/>
        <v>1</v>
      </c>
      <c r="J161" s="6">
        <f t="shared" si="25"/>
        <v>26114.945</v>
      </c>
      <c r="K161" s="6">
        <f t="shared" si="26"/>
        <v>2872643.95</v>
      </c>
      <c r="L161" s="6">
        <f t="shared" si="27"/>
        <v>0</v>
      </c>
      <c r="M161" t="str">
        <f t="shared" si="28"/>
        <v>Estimado proporcional</v>
      </c>
      <c r="N161" t="s">
        <v>1839</v>
      </c>
      <c r="O161" s="18">
        <v>110</v>
      </c>
      <c r="P161">
        <v>2</v>
      </c>
      <c r="Q161">
        <v>215</v>
      </c>
      <c r="R161" s="6">
        <f t="shared" si="29"/>
        <v>4352.4908333333333</v>
      </c>
    </row>
    <row r="162" spans="1:18" ht="30" customHeight="1">
      <c r="A162" s="17" t="s">
        <v>696</v>
      </c>
      <c r="B162" s="5" t="str">
        <f>IF(A162="","",IF(COUNTIF(Catalogo!$A$5:$A$905,A162)=0,"SKU no encontrado",INDEX(Catalogo!$B$5:$B$905,MATCH(A162,Catalogo!$A$5:$A$905,0))))</f>
        <v>GATORADE APPLE PET X6 1250CC</v>
      </c>
      <c r="C162">
        <f>IF(OR(A162="",B162="SKU no encontrado"),"",INDEX(Catalogo!$C$5:$C$905,MATCH(A162,Catalogo!$A$5:$A$905,0)))</f>
        <v>6</v>
      </c>
      <c r="D162" s="19">
        <v>46502</v>
      </c>
      <c r="E162" s="20">
        <v>105</v>
      </c>
      <c r="F162" s="20"/>
      <c r="G162" s="12">
        <f>+LotesTrelew[[#This Row],[Final deseado / unidad sugerido]]/1.3</f>
        <v>0</v>
      </c>
      <c r="H162" s="6">
        <f>IF(OR(A162="",B162="SKU no encontrado"),"",IF(INDEX(Catalogo!$H$5:$H$905,MATCH(A162,Catalogo!$A$5:$A$905,0))=0,"",INDEX(Catalogo!$H$5:$H$905,MATCH(A162,Catalogo!$A$5:$A$905,0))))</f>
        <v>26114.945</v>
      </c>
      <c r="I162" s="13">
        <f t="shared" si="24"/>
        <v>1</v>
      </c>
      <c r="J162" s="6">
        <f t="shared" si="25"/>
        <v>26114.945</v>
      </c>
      <c r="K162" s="6">
        <f t="shared" si="26"/>
        <v>2742069.2250000001</v>
      </c>
      <c r="L162" s="6">
        <f t="shared" si="27"/>
        <v>0</v>
      </c>
      <c r="M162" t="str">
        <f t="shared" si="28"/>
        <v>Estimado proporcional</v>
      </c>
      <c r="N162" t="s">
        <v>1839</v>
      </c>
      <c r="O162" s="18">
        <v>105</v>
      </c>
      <c r="P162">
        <v>1</v>
      </c>
      <c r="Q162">
        <v>217</v>
      </c>
      <c r="R162" s="6">
        <f t="shared" si="29"/>
        <v>4352.4908333333333</v>
      </c>
    </row>
    <row r="163" spans="1:18" ht="30" customHeight="1">
      <c r="A163" s="17" t="s">
        <v>386</v>
      </c>
      <c r="B163" s="5" t="str">
        <f>IF(A163="","",IF(COUNTIF(Catalogo!$A$5:$A$905,A163)=0,"SKU no encontrado",INDEX(Catalogo!$B$5:$B$905,MATCH(A163,Catalogo!$A$5:$A$905,0))))</f>
        <v>GATORADE FRU TRO * X6 PET 500#</v>
      </c>
      <c r="C163">
        <f>IF(OR(A163="",B163="SKU no encontrado"),"",INDEX(Catalogo!$C$5:$C$905,MATCH(A163,Catalogo!$A$5:$A$905,0)))</f>
        <v>6</v>
      </c>
      <c r="D163" s="19">
        <v>46503</v>
      </c>
      <c r="E163" s="20">
        <v>315</v>
      </c>
      <c r="F163" s="20"/>
      <c r="G163" s="12">
        <f>+LotesTrelew[[#This Row],[Final deseado / unidad sugerido]]/1.3</f>
        <v>0</v>
      </c>
      <c r="H163" s="6">
        <f>IF(OR(A163="",B163="SKU no encontrado"),"",IF(INDEX(Catalogo!$H$5:$H$905,MATCH(A163,Catalogo!$A$5:$A$905,0))=0,"",INDEX(Catalogo!$H$5:$H$905,MATCH(A163,Catalogo!$A$5:$A$905,0))))</f>
        <v>12591.147000000001</v>
      </c>
      <c r="I163" s="13">
        <f t="shared" si="24"/>
        <v>1</v>
      </c>
      <c r="J163" s="6">
        <f t="shared" si="25"/>
        <v>12591.147000000001</v>
      </c>
      <c r="K163" s="6">
        <f t="shared" si="26"/>
        <v>3966211.3050000002</v>
      </c>
      <c r="L163" s="6">
        <f t="shared" si="27"/>
        <v>0</v>
      </c>
      <c r="M163" t="str">
        <f t="shared" si="28"/>
        <v>Estimado proporcional</v>
      </c>
      <c r="N163" t="s">
        <v>1839</v>
      </c>
      <c r="O163" s="18">
        <v>315</v>
      </c>
      <c r="P163">
        <v>2</v>
      </c>
      <c r="Q163">
        <v>218</v>
      </c>
      <c r="R163" s="6">
        <f t="shared" si="29"/>
        <v>2098.5245</v>
      </c>
    </row>
    <row r="164" spans="1:18" ht="30" customHeight="1">
      <c r="A164" s="17" t="s">
        <v>1051</v>
      </c>
      <c r="B164" s="5" t="str">
        <f>IF(A164="","",IF(COUNTIF(Catalogo!$A$5:$A$905,A164)=0,"SKU no encontrado",INDEX(Catalogo!$B$5:$B$905,MATCH(A164,Catalogo!$A$5:$A$905,0))))</f>
        <v>QUILMES 1890 CAN 4X4 710CC</v>
      </c>
      <c r="C164">
        <f>IF(OR(A164="",B164="SKU no encontrado"),"",INDEX(Catalogo!$C$5:$C$905,MATCH(A164,Catalogo!$A$5:$A$905,0)))</f>
        <v>16</v>
      </c>
      <c r="D164" s="19">
        <v>46504</v>
      </c>
      <c r="E164" s="20">
        <v>570.375</v>
      </c>
      <c r="F164" s="20"/>
      <c r="G164" s="12">
        <f>+LotesTrelew[[#This Row],[Final deseado / unidad sugerido]]/1.3</f>
        <v>0</v>
      </c>
      <c r="H164" s="6">
        <f>IF(OR(A164="",B164="SKU no encontrado"),"",IF(INDEX(Catalogo!$H$5:$H$905,MATCH(A164,Catalogo!$A$5:$A$905,0))=0,"",INDEX(Catalogo!$H$5:$H$905,MATCH(A164,Catalogo!$A$5:$A$905,0))))</f>
        <v>37137.404000000002</v>
      </c>
      <c r="I164" s="13">
        <f t="shared" si="24"/>
        <v>1</v>
      </c>
      <c r="J164" s="6">
        <f t="shared" si="25"/>
        <v>37137.404000000002</v>
      </c>
      <c r="K164" s="6">
        <f t="shared" si="26"/>
        <v>21182246.806500003</v>
      </c>
      <c r="L164" s="6">
        <f t="shared" si="27"/>
        <v>0</v>
      </c>
      <c r="M164" t="str">
        <f t="shared" si="28"/>
        <v>Estimado proporcional</v>
      </c>
      <c r="N164" t="s">
        <v>1839</v>
      </c>
      <c r="O164" s="18">
        <v>570.375</v>
      </c>
      <c r="P164">
        <v>2</v>
      </c>
      <c r="Q164">
        <v>219</v>
      </c>
      <c r="R164" s="6">
        <f t="shared" si="29"/>
        <v>2321.0877500000001</v>
      </c>
    </row>
    <row r="165" spans="1:18" ht="30" customHeight="1">
      <c r="A165" s="17" t="s">
        <v>1006</v>
      </c>
      <c r="B165" s="5" t="str">
        <f>IF(A165="","",IF(COUNTIF(Catalogo!$A$5:$A$905,A165)=0,"SKU no encontrado",INDEX(Catalogo!$B$5:$B$905,MATCH(A165,Catalogo!$A$5:$A$905,0))))</f>
        <v>CORONA 0.0 CAN 4X6 473CC CART</v>
      </c>
      <c r="C165">
        <f>IF(OR(A165="",B165="SKU no encontrado"),"",INDEX(Catalogo!$C$5:$C$905,MATCH(A165,Catalogo!$A$5:$A$905,0)))</f>
        <v>24</v>
      </c>
      <c r="D165" s="19">
        <v>46518</v>
      </c>
      <c r="E165" s="20">
        <v>11.75</v>
      </c>
      <c r="F165" s="20"/>
      <c r="G165" s="12">
        <f>+LotesTrelew[[#This Row],[Final deseado / unidad sugerido]]/1.3</f>
        <v>0</v>
      </c>
      <c r="H165" s="6">
        <f>IF(OR(A165="",B165="SKU no encontrado"),"",IF(INDEX(Catalogo!$H$5:$H$905,MATCH(A165,Catalogo!$A$5:$A$905,0))=0,"",INDEX(Catalogo!$H$5:$H$905,MATCH(A165,Catalogo!$A$5:$A$905,0))))</f>
        <v>57273.108</v>
      </c>
      <c r="I165" s="13">
        <f t="shared" ref="I165:I196" si="30">IF(OR(N165="ELIMINAR",H165="",G165="",G165&lt;0,C165&lt;=0,G165*C165&gt;H165,E165&gt;O165),"",1-G165*C165/H165)</f>
        <v>1</v>
      </c>
      <c r="J165" s="6">
        <f t="shared" ref="J165:J196" si="31">IF(I165="","",H165-G165*C165)</f>
        <v>57273.108</v>
      </c>
      <c r="K165" s="6">
        <f t="shared" ref="K165:K196" si="32">IF(OR(J165="",E165="",E165&lt;=0),"",J165*E165)</f>
        <v>672959.01899999997</v>
      </c>
      <c r="L165" s="6">
        <f t="shared" ref="L165:L196" si="33">IF(OR(I165="",C165&lt;=0),"",G165*C165)</f>
        <v>0</v>
      </c>
      <c r="M165" t="str">
        <f t="shared" ref="M165:M196" si="34">IF(N165="ELIMINAR","ELIMINAR según origen",IF(H165="","Sin precio válido",IF(C165&lt;=0,"Sin unidades por bulto",IF(G165="","Completar precio unitario",IF(OR(G165&lt;0,G165*C165&gt;H165),"Revisar precio unitario",IF(OR(E165&lt;=0,E165&gt;O165),"Revisar bultos vs. stock","Estimado proporcional"))))))</f>
        <v>Estimado proporcional</v>
      </c>
      <c r="N165" t="s">
        <v>1839</v>
      </c>
      <c r="O165" s="18">
        <v>11.75</v>
      </c>
      <c r="P165">
        <v>1</v>
      </c>
      <c r="Q165">
        <v>233</v>
      </c>
      <c r="R165" s="6">
        <f t="shared" ref="R165:R198" si="35">IF(OR(H165="",C165&lt;=0),"",H165/C165)</f>
        <v>2386.3795</v>
      </c>
    </row>
    <row r="166" spans="1:18" ht="30" customHeight="1">
      <c r="A166" s="17" t="s">
        <v>422</v>
      </c>
      <c r="B166" s="5" t="str">
        <f>IF(A166="","",IF(COUNTIF(Catalogo!$A$5:$A$905,A166)=0,"SKU no encontrado",INDEX(Catalogo!$B$5:$B$905,MATCH(A166,Catalogo!$A$5:$A$905,0))))</f>
        <v>QUILMES STOUT CAN 4X6 473</v>
      </c>
      <c r="C166">
        <f>IF(OR(A166="",B166="SKU no encontrado"),"",INDEX(Catalogo!$C$5:$C$905,MATCH(A166,Catalogo!$A$5:$A$905,0)))</f>
        <v>24</v>
      </c>
      <c r="D166" s="19">
        <v>46523</v>
      </c>
      <c r="E166" s="20">
        <v>15.666666666699999</v>
      </c>
      <c r="F166" s="20"/>
      <c r="G166" s="12">
        <f>+LotesTrelew[[#This Row],[Final deseado / unidad sugerido]]/1.3</f>
        <v>0</v>
      </c>
      <c r="H166" s="6">
        <f>IF(OR(A166="",B166="SKU no encontrado"),"",IF(INDEX(Catalogo!$H$5:$H$905,MATCH(A166,Catalogo!$A$5:$A$905,0))=0,"",INDEX(Catalogo!$H$5:$H$905,MATCH(A166,Catalogo!$A$5:$A$905,0))))</f>
        <v>48405.919000000002</v>
      </c>
      <c r="I166" s="13">
        <f t="shared" si="30"/>
        <v>1</v>
      </c>
      <c r="J166" s="6">
        <f t="shared" si="31"/>
        <v>48405.919000000002</v>
      </c>
      <c r="K166" s="6">
        <f t="shared" si="32"/>
        <v>758359.39766828017</v>
      </c>
      <c r="L166" s="6">
        <f t="shared" si="33"/>
        <v>0</v>
      </c>
      <c r="M166" t="str">
        <f t="shared" si="34"/>
        <v>Estimado proporcional</v>
      </c>
      <c r="N166" t="s">
        <v>1839</v>
      </c>
      <c r="O166" s="18">
        <v>15.666666666699999</v>
      </c>
      <c r="P166">
        <v>1</v>
      </c>
      <c r="Q166">
        <v>238</v>
      </c>
      <c r="R166" s="6">
        <f t="shared" si="35"/>
        <v>2016.9132916666667</v>
      </c>
    </row>
    <row r="167" spans="1:18" ht="30" customHeight="1">
      <c r="A167" s="17" t="s">
        <v>529</v>
      </c>
      <c r="B167" s="5" t="str">
        <f>IF(A167="","",IF(COUNTIF(Catalogo!$A$5:$A$905,A167)=0,"SKU no encontrado",INDEX(Catalogo!$B$5:$B$905,MATCH(A167,Catalogo!$A$5:$A$905,0))))</f>
        <v>PATAGONIA AMBER OW X6 730</v>
      </c>
      <c r="C167">
        <f>IF(OR(A167="",B167="SKU no encontrado"),"",INDEX(Catalogo!$C$5:$C$905,MATCH(A167,Catalogo!$A$5:$A$905,0)))</f>
        <v>6</v>
      </c>
      <c r="D167" s="19">
        <v>46523</v>
      </c>
      <c r="E167" s="20">
        <v>386</v>
      </c>
      <c r="F167" s="20"/>
      <c r="G167" s="12">
        <f>+LotesTrelew[[#This Row],[Final deseado / unidad sugerido]]/1.3</f>
        <v>0</v>
      </c>
      <c r="H167" s="6">
        <f>IF(OR(A167="",B167="SKU no encontrado"),"",IF(INDEX(Catalogo!$H$5:$H$905,MATCH(A167,Catalogo!$A$5:$A$905,0))=0,"",INDEX(Catalogo!$H$5:$H$905,MATCH(A167,Catalogo!$A$5:$A$905,0))))</f>
        <v>29135.981</v>
      </c>
      <c r="I167" s="13">
        <f t="shared" si="30"/>
        <v>1</v>
      </c>
      <c r="J167" s="6">
        <f t="shared" si="31"/>
        <v>29135.981</v>
      </c>
      <c r="K167" s="6">
        <f t="shared" si="32"/>
        <v>11246488.665999999</v>
      </c>
      <c r="L167" s="6">
        <f t="shared" si="33"/>
        <v>0</v>
      </c>
      <c r="M167" t="str">
        <f t="shared" si="34"/>
        <v>Estimado proporcional</v>
      </c>
      <c r="N167" t="s">
        <v>1839</v>
      </c>
      <c r="O167" s="18">
        <v>386</v>
      </c>
      <c r="P167">
        <v>1</v>
      </c>
      <c r="Q167">
        <v>238</v>
      </c>
      <c r="R167" s="6">
        <f t="shared" si="35"/>
        <v>4855.9968333333336</v>
      </c>
    </row>
    <row r="168" spans="1:18" ht="30" customHeight="1">
      <c r="A168" s="17" t="s">
        <v>996</v>
      </c>
      <c r="B168" s="5" t="str">
        <f>IF(A168="","",IF(COUNTIF(Catalogo!$A$5:$A$905,A168)=0,"SKU no encontrado",INDEX(Catalogo!$B$5:$B$905,MATCH(A168,Catalogo!$A$5:$A$905,0))))</f>
        <v>PATAGONIA AMBER OW X6 730CC TERM</v>
      </c>
      <c r="C168">
        <f>IF(OR(A168="",B168="SKU no encontrado"),"",INDEX(Catalogo!$C$5:$C$905,MATCH(A168,Catalogo!$A$5:$A$905,0)))</f>
        <v>6</v>
      </c>
      <c r="D168" s="19">
        <v>46523</v>
      </c>
      <c r="E168" s="20">
        <v>65</v>
      </c>
      <c r="F168" s="20"/>
      <c r="G168" s="12">
        <f>+LotesTrelew[[#This Row],[Final deseado / unidad sugerido]]/1.3</f>
        <v>0</v>
      </c>
      <c r="H168" s="6">
        <f>IF(OR(A168="",B168="SKU no encontrado"),"",IF(INDEX(Catalogo!$H$5:$H$905,MATCH(A168,Catalogo!$A$5:$A$905,0))=0,"",INDEX(Catalogo!$H$5:$H$905,MATCH(A168,Catalogo!$A$5:$A$905,0))))</f>
        <v>29135.981</v>
      </c>
      <c r="I168" s="13">
        <f t="shared" si="30"/>
        <v>1</v>
      </c>
      <c r="J168" s="6">
        <f t="shared" si="31"/>
        <v>29135.981</v>
      </c>
      <c r="K168" s="6">
        <f t="shared" si="32"/>
        <v>1893838.7649999999</v>
      </c>
      <c r="L168" s="6">
        <f t="shared" si="33"/>
        <v>0</v>
      </c>
      <c r="M168" t="str">
        <f t="shared" si="34"/>
        <v>Estimado proporcional</v>
      </c>
      <c r="N168" t="s">
        <v>1839</v>
      </c>
      <c r="O168" s="18">
        <v>65</v>
      </c>
      <c r="P168">
        <v>1</v>
      </c>
      <c r="Q168">
        <v>238</v>
      </c>
      <c r="R168" s="6">
        <f t="shared" si="35"/>
        <v>4855.9968333333336</v>
      </c>
    </row>
    <row r="169" spans="1:18" ht="30" customHeight="1">
      <c r="A169" s="17" t="s">
        <v>1004</v>
      </c>
      <c r="B169" s="5" t="str">
        <f>IF(A169="","",IF(COUNTIF(Catalogo!$A$5:$A$905,A169)=0,"SKU no encontrado",INDEX(Catalogo!$B$5:$B$905,MATCH(A169,Catalogo!$A$5:$A$905,0))))</f>
        <v>RED BULL SUMMER EDITION CAN 6X4</v>
      </c>
      <c r="C169">
        <f>IF(OR(A169="",B169="SKU no encontrado"),"",INDEX(Catalogo!$C$5:$C$905,MATCH(A169,Catalogo!$A$5:$A$905,0)))</f>
        <v>24</v>
      </c>
      <c r="D169" s="19">
        <v>46535</v>
      </c>
      <c r="E169" s="20">
        <v>66.666666666699996</v>
      </c>
      <c r="F169" s="20"/>
      <c r="G169" s="12">
        <f>+LotesTrelew[[#This Row],[Final deseado / unidad sugerido]]/1.3</f>
        <v>0</v>
      </c>
      <c r="H169" s="6">
        <f>IF(OR(A169="",B169="SKU no encontrado"),"",IF(INDEX(Catalogo!$H$5:$H$905,MATCH(A169,Catalogo!$A$5:$A$905,0))=0,"",INDEX(Catalogo!$H$5:$H$905,MATCH(A169,Catalogo!$A$5:$A$905,0))))</f>
        <v>65853.251000000004</v>
      </c>
      <c r="I169" s="13">
        <f t="shared" si="30"/>
        <v>1</v>
      </c>
      <c r="J169" s="6">
        <f t="shared" si="31"/>
        <v>65853.251000000004</v>
      </c>
      <c r="K169" s="6">
        <f t="shared" si="32"/>
        <v>4390216.7333355285</v>
      </c>
      <c r="L169" s="6">
        <f t="shared" si="33"/>
        <v>0</v>
      </c>
      <c r="M169" t="str">
        <f t="shared" si="34"/>
        <v>Estimado proporcional</v>
      </c>
      <c r="N169" t="s">
        <v>1839</v>
      </c>
      <c r="O169" s="18">
        <v>66.666666666699996</v>
      </c>
      <c r="P169">
        <v>1</v>
      </c>
      <c r="Q169">
        <v>250</v>
      </c>
      <c r="R169" s="6">
        <f t="shared" si="35"/>
        <v>2743.8854583333336</v>
      </c>
    </row>
    <row r="170" spans="1:18" ht="30" customHeight="1">
      <c r="A170" s="17" t="s">
        <v>314</v>
      </c>
      <c r="B170" s="5" t="str">
        <f>IF(A170="","",IF(COUNTIF(Catalogo!$A$5:$A$905,A170)=0,"SKU no encontrado",INDEX(Catalogo!$B$5:$B$905,MATCH(A170,Catalogo!$A$5:$A$905,0))))</f>
        <v>QUILMES STOUT NEGRA X12 1000RET</v>
      </c>
      <c r="C170">
        <f>IF(OR(A170="",B170="SKU no encontrado"),"",INDEX(Catalogo!$C$5:$C$905,MATCH(A170,Catalogo!$A$5:$A$905,0)))</f>
        <v>12</v>
      </c>
      <c r="D170" s="19">
        <v>46543</v>
      </c>
      <c r="E170" s="20">
        <v>532</v>
      </c>
      <c r="F170" s="20"/>
      <c r="G170" s="12">
        <f>+LotesTrelew[[#This Row],[Final deseado / unidad sugerido]]/1.3</f>
        <v>0</v>
      </c>
      <c r="H170" s="6">
        <f>IF(OR(A170="",B170="SKU no encontrado"),"",IF(INDEX(Catalogo!$H$5:$H$905,MATCH(A170,Catalogo!$A$5:$A$905,0))=0,"",INDEX(Catalogo!$H$5:$H$905,MATCH(A170,Catalogo!$A$5:$A$905,0))))</f>
        <v>39858.839</v>
      </c>
      <c r="I170" s="13">
        <f t="shared" si="30"/>
        <v>1</v>
      </c>
      <c r="J170" s="6">
        <f t="shared" si="31"/>
        <v>39858.839</v>
      </c>
      <c r="K170" s="6">
        <f t="shared" si="32"/>
        <v>21204902.348000001</v>
      </c>
      <c r="L170" s="6">
        <f t="shared" si="33"/>
        <v>0</v>
      </c>
      <c r="M170" t="str">
        <f t="shared" si="34"/>
        <v>Estimado proporcional</v>
      </c>
      <c r="N170" t="s">
        <v>1839</v>
      </c>
      <c r="O170" s="18">
        <v>532</v>
      </c>
      <c r="P170">
        <v>1</v>
      </c>
      <c r="Q170">
        <v>258</v>
      </c>
      <c r="R170" s="6">
        <f t="shared" si="35"/>
        <v>3321.5699166666668</v>
      </c>
    </row>
    <row r="171" spans="1:18" ht="30" customHeight="1">
      <c r="A171" s="17" t="s">
        <v>336</v>
      </c>
      <c r="B171" s="5" t="str">
        <f>IF(A171="","",IF(COUNTIF(Catalogo!$A$5:$A$905,A171)=0,"SKU no encontrado",INDEX(Catalogo!$B$5:$B$905,MATCH(A171,Catalogo!$A$5:$A$905,0))))</f>
        <v>GLACIAR AGUAS/G * X6 PET1500#</v>
      </c>
      <c r="C171">
        <f>IF(OR(A171="",B171="SKU no encontrado"),"",INDEX(Catalogo!$C$5:$C$905,MATCH(A171,Catalogo!$A$5:$A$905,0)))</f>
        <v>6</v>
      </c>
      <c r="D171" s="19">
        <v>46548</v>
      </c>
      <c r="E171" s="20">
        <v>497</v>
      </c>
      <c r="F171" s="20"/>
      <c r="G171" s="12">
        <f>+LotesTrelew[[#This Row],[Final deseado / unidad sugerido]]/1.3</f>
        <v>0</v>
      </c>
      <c r="H171" s="6">
        <f>IF(OR(A171="",B171="SKU no encontrado"),"",IF(INDEX(Catalogo!$H$5:$H$905,MATCH(A171,Catalogo!$A$5:$A$905,0))=0,"",INDEX(Catalogo!$H$5:$H$905,MATCH(A171,Catalogo!$A$5:$A$905,0))))</f>
        <v>12615.442999999999</v>
      </c>
      <c r="I171" s="13">
        <f t="shared" si="30"/>
        <v>1</v>
      </c>
      <c r="J171" s="6">
        <f t="shared" si="31"/>
        <v>12615.442999999999</v>
      </c>
      <c r="K171" s="6">
        <f t="shared" si="32"/>
        <v>6269875.1710000001</v>
      </c>
      <c r="L171" s="6">
        <f t="shared" si="33"/>
        <v>0</v>
      </c>
      <c r="M171" t="str">
        <f t="shared" si="34"/>
        <v>Estimado proporcional</v>
      </c>
      <c r="N171" t="s">
        <v>1839</v>
      </c>
      <c r="O171" s="18">
        <v>497</v>
      </c>
      <c r="P171">
        <v>1</v>
      </c>
      <c r="Q171">
        <v>263</v>
      </c>
      <c r="R171" s="6">
        <f t="shared" si="35"/>
        <v>2102.5738333333334</v>
      </c>
    </row>
    <row r="172" spans="1:18" ht="30" customHeight="1">
      <c r="A172" s="17" t="s">
        <v>475</v>
      </c>
      <c r="B172" s="5" t="str">
        <f>IF(A172="","",IF(COUNTIF(Catalogo!$A$5:$A$905,A172)=0,"SKU no encontrado",INDEX(Catalogo!$B$5:$B$905,MATCH(A172,Catalogo!$A$5:$A$905,0))))</f>
        <v>RED BULL SUGAR FREE CAN 6X4 250</v>
      </c>
      <c r="C172">
        <f>IF(OR(A172="",B172="SKU no encontrado"),"",INDEX(Catalogo!$C$5:$C$905,MATCH(A172,Catalogo!$A$5:$A$905,0)))</f>
        <v>24</v>
      </c>
      <c r="D172" s="19">
        <v>46553</v>
      </c>
      <c r="E172" s="20">
        <v>98.791666666699996</v>
      </c>
      <c r="F172" s="20"/>
      <c r="G172" s="12">
        <f>+LotesTrelew[[#This Row],[Final deseado / unidad sugerido]]/1.3</f>
        <v>0</v>
      </c>
      <c r="H172" s="6">
        <f>IF(OR(A172="",B172="SKU no encontrado"),"",IF(INDEX(Catalogo!$H$5:$H$905,MATCH(A172,Catalogo!$A$5:$A$905,0))=0,"",INDEX(Catalogo!$H$5:$H$905,MATCH(A172,Catalogo!$A$5:$A$905,0))))</f>
        <v>65853.251000000004</v>
      </c>
      <c r="I172" s="13">
        <f t="shared" si="30"/>
        <v>1</v>
      </c>
      <c r="J172" s="6">
        <f t="shared" si="31"/>
        <v>65853.251000000004</v>
      </c>
      <c r="K172" s="6">
        <f t="shared" si="32"/>
        <v>6505752.4217105284</v>
      </c>
      <c r="L172" s="6">
        <f t="shared" si="33"/>
        <v>0</v>
      </c>
      <c r="M172" t="str">
        <f t="shared" si="34"/>
        <v>Estimado proporcional</v>
      </c>
      <c r="N172" t="s">
        <v>1839</v>
      </c>
      <c r="O172" s="18">
        <v>98.791666666699996</v>
      </c>
      <c r="P172">
        <v>1</v>
      </c>
      <c r="Q172">
        <v>268</v>
      </c>
      <c r="R172" s="6">
        <f t="shared" si="35"/>
        <v>2743.8854583333336</v>
      </c>
    </row>
    <row r="173" spans="1:18" ht="30" customHeight="1">
      <c r="A173" s="17" t="s">
        <v>572</v>
      </c>
      <c r="B173" s="5" t="str">
        <f>IF(A173="","",IF(COUNTIF(Catalogo!$A$5:$A$905,A173)=0,"SKU no encontrado",INDEX(Catalogo!$B$5:$B$905,MATCH(A173,Catalogo!$A$5:$A$905,0))))</f>
        <v>CORONA OW X12 710</v>
      </c>
      <c r="C173">
        <f>IF(OR(A173="",B173="SKU no encontrado"),"",INDEX(Catalogo!$C$5:$C$905,MATCH(A173,Catalogo!$A$5:$A$905,0)))</f>
        <v>12</v>
      </c>
      <c r="D173" s="19">
        <v>46555</v>
      </c>
      <c r="E173" s="20">
        <v>809.91666666670005</v>
      </c>
      <c r="F173" s="20"/>
      <c r="G173" s="12">
        <f>+LotesTrelew[[#This Row],[Final deseado / unidad sugerido]]/1.3</f>
        <v>0</v>
      </c>
      <c r="H173" s="6">
        <f>IF(OR(A173="",B173="SKU no encontrado"),"",IF(INDEX(Catalogo!$H$5:$H$905,MATCH(A173,Catalogo!$A$5:$A$905,0))=0,"",INDEX(Catalogo!$H$5:$H$905,MATCH(A173,Catalogo!$A$5:$A$905,0))))</f>
        <v>59535.5</v>
      </c>
      <c r="I173" s="13">
        <f t="shared" si="30"/>
        <v>1</v>
      </c>
      <c r="J173" s="6">
        <f t="shared" si="31"/>
        <v>59535.5</v>
      </c>
      <c r="K173" s="6">
        <f t="shared" si="32"/>
        <v>48218793.708335318</v>
      </c>
      <c r="L173" s="6">
        <f t="shared" si="33"/>
        <v>0</v>
      </c>
      <c r="M173" t="str">
        <f t="shared" si="34"/>
        <v>Estimado proporcional</v>
      </c>
      <c r="N173" t="s">
        <v>1839</v>
      </c>
      <c r="O173" s="18">
        <v>809.91666666670005</v>
      </c>
      <c r="P173">
        <v>1</v>
      </c>
      <c r="Q173">
        <v>270</v>
      </c>
      <c r="R173" s="6">
        <f t="shared" si="35"/>
        <v>4961.291666666667</v>
      </c>
    </row>
    <row r="174" spans="1:18" ht="30" customHeight="1">
      <c r="A174" s="17" t="s">
        <v>954</v>
      </c>
      <c r="B174" s="5" t="str">
        <f>IF(A174="","",IF(COUNTIF(Catalogo!$A$5:$A$905,A174)=0,"SKU no encontrado",INDEX(Catalogo!$B$5:$B$905,MATCH(A174,Catalogo!$A$5:$A$905,0))))</f>
        <v>CORONA 0.0 OW 6X4 330CC CLUSTER 4PACK</v>
      </c>
      <c r="C174">
        <f>IF(OR(A174="",B174="SKU no encontrado"),"",INDEX(Catalogo!$C$5:$C$905,MATCH(A174,Catalogo!$A$5:$A$905,0)))</f>
        <v>24</v>
      </c>
      <c r="D174" s="19">
        <v>46557</v>
      </c>
      <c r="E174" s="20">
        <v>83.291666666699996</v>
      </c>
      <c r="F174" s="20"/>
      <c r="G174" s="12">
        <f>+LotesTrelew[[#This Row],[Final deseado / unidad sugerido]]/1.3</f>
        <v>0</v>
      </c>
      <c r="H174" s="6">
        <f>IF(OR(A174="",B174="SKU no encontrado"),"",IF(INDEX(Catalogo!$H$5:$H$905,MATCH(A174,Catalogo!$A$5:$A$905,0))=0,"",INDEX(Catalogo!$H$5:$H$905,MATCH(A174,Catalogo!$A$5:$A$905,0))))</f>
        <v>57315.949000000001</v>
      </c>
      <c r="I174" s="13">
        <f t="shared" si="30"/>
        <v>1</v>
      </c>
      <c r="J174" s="6">
        <f t="shared" si="31"/>
        <v>57315.949000000001</v>
      </c>
      <c r="K174" s="6">
        <f t="shared" si="32"/>
        <v>4773940.9187935768</v>
      </c>
      <c r="L174" s="6">
        <f t="shared" si="33"/>
        <v>0</v>
      </c>
      <c r="M174" t="str">
        <f t="shared" si="34"/>
        <v>Estimado proporcional</v>
      </c>
      <c r="N174" t="s">
        <v>1839</v>
      </c>
      <c r="O174" s="18">
        <v>83.291666666699996</v>
      </c>
      <c r="P174">
        <v>1</v>
      </c>
      <c r="Q174">
        <v>272</v>
      </c>
      <c r="R174" s="6">
        <f t="shared" si="35"/>
        <v>2388.1645416666665</v>
      </c>
    </row>
    <row r="175" spans="1:18" ht="30" customHeight="1">
      <c r="A175" s="17" t="s">
        <v>954</v>
      </c>
      <c r="B175" s="5" t="str">
        <f>IF(A175="","",IF(COUNTIF(Catalogo!$A$5:$A$905,A175)=0,"SKU no encontrado",INDEX(Catalogo!$B$5:$B$905,MATCH(A175,Catalogo!$A$5:$A$905,0))))</f>
        <v>CORONA 0.0 OW 6X4 330CC CLUSTER 4PACK</v>
      </c>
      <c r="C175">
        <f>IF(OR(A175="",B175="SKU no encontrado"),"",INDEX(Catalogo!$C$5:$C$905,MATCH(A175,Catalogo!$A$5:$A$905,0)))</f>
        <v>24</v>
      </c>
      <c r="D175" s="19">
        <v>46558</v>
      </c>
      <c r="E175" s="20">
        <v>11.125</v>
      </c>
      <c r="F175" s="20"/>
      <c r="G175" s="12">
        <f>+LotesTrelew[[#This Row],[Final deseado / unidad sugerido]]/1.3</f>
        <v>0</v>
      </c>
      <c r="H175" s="6">
        <f>IF(OR(A175="",B175="SKU no encontrado"),"",IF(INDEX(Catalogo!$H$5:$H$905,MATCH(A175,Catalogo!$A$5:$A$905,0))=0,"",INDEX(Catalogo!$H$5:$H$905,MATCH(A175,Catalogo!$A$5:$A$905,0))))</f>
        <v>57315.949000000001</v>
      </c>
      <c r="I175" s="13">
        <f t="shared" si="30"/>
        <v>1</v>
      </c>
      <c r="J175" s="6">
        <f t="shared" si="31"/>
        <v>57315.949000000001</v>
      </c>
      <c r="K175" s="6">
        <f t="shared" si="32"/>
        <v>637639.93262500002</v>
      </c>
      <c r="L175" s="6">
        <f t="shared" si="33"/>
        <v>0</v>
      </c>
      <c r="M175" t="str">
        <f t="shared" si="34"/>
        <v>Estimado proporcional</v>
      </c>
      <c r="N175" t="s">
        <v>1839</v>
      </c>
      <c r="O175" s="18">
        <v>11.125</v>
      </c>
      <c r="P175">
        <v>2</v>
      </c>
      <c r="Q175">
        <v>273</v>
      </c>
      <c r="R175" s="6">
        <f t="shared" si="35"/>
        <v>2388.1645416666665</v>
      </c>
    </row>
    <row r="176" spans="1:18" ht="30" customHeight="1">
      <c r="A176" s="17" t="s">
        <v>422</v>
      </c>
      <c r="B176" s="5" t="str">
        <f>IF(A176="","",IF(COUNTIF(Catalogo!$A$5:$A$905,A176)=0,"SKU no encontrado",INDEX(Catalogo!$B$5:$B$905,MATCH(A176,Catalogo!$A$5:$A$905,0))))</f>
        <v>QUILMES STOUT CAN 4X6 473</v>
      </c>
      <c r="C176">
        <f>IF(OR(A176="",B176="SKU no encontrado"),"",INDEX(Catalogo!$C$5:$C$905,MATCH(A176,Catalogo!$A$5:$A$905,0)))</f>
        <v>24</v>
      </c>
      <c r="D176" s="19">
        <v>46568</v>
      </c>
      <c r="E176" s="20">
        <v>200</v>
      </c>
      <c r="F176" s="20"/>
      <c r="G176" s="12">
        <f>+LotesTrelew[[#This Row],[Final deseado / unidad sugerido]]/1.3</f>
        <v>0</v>
      </c>
      <c r="H176" s="6">
        <f>IF(OR(A176="",B176="SKU no encontrado"),"",IF(INDEX(Catalogo!$H$5:$H$905,MATCH(A176,Catalogo!$A$5:$A$905,0))=0,"",INDEX(Catalogo!$H$5:$H$905,MATCH(A176,Catalogo!$A$5:$A$905,0))))</f>
        <v>48405.919000000002</v>
      </c>
      <c r="I176" s="13">
        <f t="shared" si="30"/>
        <v>1</v>
      </c>
      <c r="J176" s="6">
        <f t="shared" si="31"/>
        <v>48405.919000000002</v>
      </c>
      <c r="K176" s="6">
        <f t="shared" si="32"/>
        <v>9681183.8000000007</v>
      </c>
      <c r="L176" s="6">
        <f t="shared" si="33"/>
        <v>0</v>
      </c>
      <c r="M176" t="str">
        <f t="shared" si="34"/>
        <v>Estimado proporcional</v>
      </c>
      <c r="N176" t="s">
        <v>1839</v>
      </c>
      <c r="O176" s="18">
        <v>200</v>
      </c>
      <c r="P176">
        <v>2</v>
      </c>
      <c r="Q176">
        <v>283</v>
      </c>
      <c r="R176" s="6">
        <f t="shared" si="35"/>
        <v>2016.9132916666667</v>
      </c>
    </row>
    <row r="177" spans="1:18" ht="30" customHeight="1">
      <c r="A177" s="17" t="s">
        <v>578</v>
      </c>
      <c r="B177" s="5" t="str">
        <f>IF(A177="","",IF(COUNTIF(Catalogo!$A$5:$A$905,A177)=0,"SKU no encontrado",INDEX(Catalogo!$B$5:$B$905,MATCH(A177,Catalogo!$A$5:$A$905,0))))</f>
        <v>ECO DE LOS ANDES SG PET X6 2000 PR 115 P</v>
      </c>
      <c r="C177">
        <f>IF(OR(A177="",B177="SKU no encontrado"),"",INDEX(Catalogo!$C$5:$C$905,MATCH(A177,Catalogo!$A$5:$A$905,0)))</f>
        <v>6</v>
      </c>
      <c r="D177" s="19">
        <v>46569</v>
      </c>
      <c r="E177" s="20">
        <v>208</v>
      </c>
      <c r="F177" s="20"/>
      <c r="G177" s="12">
        <f>+LotesTrelew[[#This Row],[Final deseado / unidad sugerido]]/1.3</f>
        <v>0</v>
      </c>
      <c r="H177" s="6">
        <f>IF(OR(A177="",B177="SKU no encontrado"),"",IF(INDEX(Catalogo!$H$5:$H$905,MATCH(A177,Catalogo!$A$5:$A$905,0))=0,"",INDEX(Catalogo!$H$5:$H$905,MATCH(A177,Catalogo!$A$5:$A$905,0))))</f>
        <v>14235.627</v>
      </c>
      <c r="I177" s="13">
        <f t="shared" si="30"/>
        <v>1</v>
      </c>
      <c r="J177" s="6">
        <f t="shared" si="31"/>
        <v>14235.627</v>
      </c>
      <c r="K177" s="6">
        <f t="shared" si="32"/>
        <v>2961010.4160000002</v>
      </c>
      <c r="L177" s="6">
        <f t="shared" si="33"/>
        <v>0</v>
      </c>
      <c r="M177" t="str">
        <f t="shared" si="34"/>
        <v>Estimado proporcional</v>
      </c>
      <c r="N177" t="s">
        <v>1839</v>
      </c>
      <c r="O177" s="18">
        <v>208</v>
      </c>
      <c r="P177">
        <v>1</v>
      </c>
      <c r="Q177">
        <v>284</v>
      </c>
      <c r="R177" s="6">
        <f t="shared" si="35"/>
        <v>2372.6044999999999</v>
      </c>
    </row>
    <row r="178" spans="1:18" ht="30" customHeight="1">
      <c r="A178" s="17" t="s">
        <v>100</v>
      </c>
      <c r="B178" s="5" t="str">
        <f>IF(A178="","",IF(COUNTIF(Catalogo!$A$5:$A$905,A178)=0,"SKU no encontrado",INDEX(Catalogo!$B$5:$B$905,MATCH(A178,Catalogo!$A$5:$A$905,0))))</f>
        <v>ECO ANDES AGUAS/G * X6 PET1500#</v>
      </c>
      <c r="C178">
        <f>IF(OR(A178="",B178="SKU no encontrado"),"",INDEX(Catalogo!$C$5:$C$905,MATCH(A178,Catalogo!$A$5:$A$905,0)))</f>
        <v>6</v>
      </c>
      <c r="D178" s="19">
        <v>46574</v>
      </c>
      <c r="E178" s="20">
        <v>47.666666666700003</v>
      </c>
      <c r="F178" s="20"/>
      <c r="G178" s="12">
        <f>+LotesTrelew[[#This Row],[Final deseado / unidad sugerido]]/1.3</f>
        <v>0</v>
      </c>
      <c r="H178" s="6">
        <f>IF(OR(A178="",B178="SKU no encontrado"),"",IF(INDEX(Catalogo!$H$5:$H$905,MATCH(A178,Catalogo!$A$5:$A$905,0))=0,"",INDEX(Catalogo!$H$5:$H$905,MATCH(A178,Catalogo!$A$5:$A$905,0))))</f>
        <v>11775.975</v>
      </c>
      <c r="I178" s="13">
        <f t="shared" si="30"/>
        <v>1</v>
      </c>
      <c r="J178" s="6">
        <f t="shared" si="31"/>
        <v>11775.975</v>
      </c>
      <c r="K178" s="6">
        <f t="shared" si="32"/>
        <v>561321.47500039253</v>
      </c>
      <c r="L178" s="6">
        <f t="shared" si="33"/>
        <v>0</v>
      </c>
      <c r="M178" t="str">
        <f t="shared" si="34"/>
        <v>Estimado proporcional</v>
      </c>
      <c r="N178" t="s">
        <v>1839</v>
      </c>
      <c r="O178" s="18">
        <v>47.666666666700003</v>
      </c>
      <c r="P178">
        <v>1</v>
      </c>
      <c r="Q178">
        <v>289</v>
      </c>
      <c r="R178" s="6">
        <f t="shared" si="35"/>
        <v>1962.6625000000001</v>
      </c>
    </row>
    <row r="179" spans="1:18" ht="30" customHeight="1">
      <c r="A179" s="17" t="s">
        <v>460</v>
      </c>
      <c r="B179" s="5" t="str">
        <f>IF(A179="","",IF(COUNTIF(Catalogo!$A$5:$A$905,A179)=0,"SKU no encontrado",INDEX(Catalogo!$B$5:$B$905,MATCH(A179,Catalogo!$A$5:$A$905,0))))</f>
        <v>ECO DE LOS ANDES SG PET X12 500 MIX 203</v>
      </c>
      <c r="C179">
        <f>IF(OR(A179="",B179="SKU no encontrado"),"",INDEX(Catalogo!$C$5:$C$905,MATCH(A179,Catalogo!$A$5:$A$905,0)))</f>
        <v>12</v>
      </c>
      <c r="D179" s="19">
        <v>46574</v>
      </c>
      <c r="E179" s="20">
        <v>340</v>
      </c>
      <c r="F179" s="20"/>
      <c r="G179" s="12">
        <f>+LotesTrelew[[#This Row],[Final deseado / unidad sugerido]]/1.3</f>
        <v>0</v>
      </c>
      <c r="H179" s="6">
        <f>IF(OR(A179="",B179="SKU no encontrado"),"",IF(INDEX(Catalogo!$H$5:$H$905,MATCH(A179,Catalogo!$A$5:$A$905,0))=0,"",INDEX(Catalogo!$H$5:$H$905,MATCH(A179,Catalogo!$A$5:$A$905,0))))</f>
        <v>18090.016</v>
      </c>
      <c r="I179" s="13">
        <f t="shared" si="30"/>
        <v>1</v>
      </c>
      <c r="J179" s="6">
        <f t="shared" si="31"/>
        <v>18090.016</v>
      </c>
      <c r="K179" s="6">
        <f t="shared" si="32"/>
        <v>6150605.4399999995</v>
      </c>
      <c r="L179" s="6">
        <f t="shared" si="33"/>
        <v>0</v>
      </c>
      <c r="M179" t="str">
        <f t="shared" si="34"/>
        <v>Estimado proporcional</v>
      </c>
      <c r="N179" t="s">
        <v>1839</v>
      </c>
      <c r="O179" s="18">
        <v>340</v>
      </c>
      <c r="P179">
        <v>1</v>
      </c>
      <c r="Q179">
        <v>289</v>
      </c>
      <c r="R179" s="6">
        <f t="shared" si="35"/>
        <v>1507.5013333333334</v>
      </c>
    </row>
    <row r="180" spans="1:18" ht="30" customHeight="1">
      <c r="A180" s="17" t="s">
        <v>1002</v>
      </c>
      <c r="B180" s="5" t="str">
        <f>IF(A180="","",IF(COUNTIF(Catalogo!$A$5:$A$905,A180)=0,"SKU no encontrado",INDEX(Catalogo!$B$5:$B$905,MATCH(A180,Catalogo!$A$5:$A$905,0))))</f>
        <v>GLACIAR PET X2 6.400CC</v>
      </c>
      <c r="C180">
        <f>IF(OR(A180="",B180="SKU no encontrado"),"",INDEX(Catalogo!$C$5:$C$905,MATCH(A180,Catalogo!$A$5:$A$905,0)))</f>
        <v>2</v>
      </c>
      <c r="D180" s="19">
        <v>46581</v>
      </c>
      <c r="E180" s="20">
        <v>454</v>
      </c>
      <c r="F180" s="20"/>
      <c r="G180" s="12">
        <f>+LotesTrelew[[#This Row],[Final deseado / unidad sugerido]]/1.3</f>
        <v>0</v>
      </c>
      <c r="H180" s="6">
        <f>IF(OR(A180="",B180="SKU no encontrado"),"",IF(INDEX(Catalogo!$H$5:$H$905,MATCH(A180,Catalogo!$A$5:$A$905,0))=0,"",INDEX(Catalogo!$H$5:$H$905,MATCH(A180,Catalogo!$A$5:$A$905,0))))</f>
        <v>12068.382</v>
      </c>
      <c r="I180" s="13">
        <f t="shared" si="30"/>
        <v>1</v>
      </c>
      <c r="J180" s="6">
        <f t="shared" si="31"/>
        <v>12068.382</v>
      </c>
      <c r="K180" s="6">
        <f t="shared" si="32"/>
        <v>5479045.4279999994</v>
      </c>
      <c r="L180" s="6">
        <f t="shared" si="33"/>
        <v>0</v>
      </c>
      <c r="M180" t="str">
        <f t="shared" si="34"/>
        <v>Estimado proporcional</v>
      </c>
      <c r="N180" t="s">
        <v>1839</v>
      </c>
      <c r="O180" s="18">
        <v>454</v>
      </c>
      <c r="P180">
        <v>1</v>
      </c>
      <c r="Q180">
        <v>296</v>
      </c>
      <c r="R180" s="6">
        <f t="shared" si="35"/>
        <v>6034.1909999999998</v>
      </c>
    </row>
    <row r="181" spans="1:18" ht="30" customHeight="1">
      <c r="A181" s="17" t="s">
        <v>539</v>
      </c>
      <c r="B181" s="5" t="str">
        <f>IF(A181="","",IF(COUNTIF(Catalogo!$A$5:$A$905,A181)=0,"SKU no encontrado",INDEX(Catalogo!$B$5:$B$905,MATCH(A181,Catalogo!$A$5:$A$905,0))))</f>
        <v>NPV SG PET X6 1500 PR 1.5L S/G</v>
      </c>
      <c r="C181">
        <f>IF(OR(A181="",B181="SKU no encontrado"),"",INDEX(Catalogo!$C$5:$C$905,MATCH(A181,Catalogo!$A$5:$A$905,0)))</f>
        <v>6</v>
      </c>
      <c r="D181" s="19">
        <v>46584</v>
      </c>
      <c r="E181" s="20">
        <v>45</v>
      </c>
      <c r="F181" s="20"/>
      <c r="G181" s="12">
        <f>+LotesTrelew[[#This Row],[Final deseado / unidad sugerido]]/1.3</f>
        <v>0</v>
      </c>
      <c r="H181" s="6">
        <f>IF(OR(A181="",B181="SKU no encontrado"),"",IF(INDEX(Catalogo!$H$5:$H$905,MATCH(A181,Catalogo!$A$5:$A$905,0))=0,"",INDEX(Catalogo!$H$5:$H$905,MATCH(A181,Catalogo!$A$5:$A$905,0))))</f>
        <v>9679.0679999999993</v>
      </c>
      <c r="I181" s="13">
        <f t="shared" si="30"/>
        <v>1</v>
      </c>
      <c r="J181" s="6">
        <f t="shared" si="31"/>
        <v>9679.0679999999993</v>
      </c>
      <c r="K181" s="6">
        <f t="shared" si="32"/>
        <v>435558.05999999994</v>
      </c>
      <c r="L181" s="6">
        <f t="shared" si="33"/>
        <v>0</v>
      </c>
      <c r="M181" t="str">
        <f t="shared" si="34"/>
        <v>Estimado proporcional</v>
      </c>
      <c r="N181" t="s">
        <v>1839</v>
      </c>
      <c r="O181" s="18">
        <v>45</v>
      </c>
      <c r="P181">
        <v>1</v>
      </c>
      <c r="Q181">
        <v>299</v>
      </c>
      <c r="R181" s="6">
        <f t="shared" si="35"/>
        <v>1613.1779999999999</v>
      </c>
    </row>
    <row r="182" spans="1:18" ht="30" customHeight="1">
      <c r="A182" s="17" t="s">
        <v>541</v>
      </c>
      <c r="B182" s="5" t="str">
        <f>IF(A182="","",IF(COUNTIF(Catalogo!$A$5:$A$905,A182)=0,"SKU no encontrado",INDEX(Catalogo!$B$5:$B$905,MATCH(A182,Catalogo!$A$5:$A$905,0))))</f>
        <v>NPV SG PET X6 2250 PR 2.25L S/G</v>
      </c>
      <c r="C182">
        <f>IF(OR(A182="",B182="SKU no encontrado"),"",INDEX(Catalogo!$C$5:$C$905,MATCH(A182,Catalogo!$A$5:$A$905,0)))</f>
        <v>6</v>
      </c>
      <c r="D182" s="19">
        <v>46596</v>
      </c>
      <c r="E182" s="20">
        <v>167.3333333333</v>
      </c>
      <c r="F182" s="20"/>
      <c r="G182" s="12">
        <f>+LotesTrelew[[#This Row],[Final deseado / unidad sugerido]]/1.3</f>
        <v>0</v>
      </c>
      <c r="H182" s="6">
        <f>IF(OR(A182="",B182="SKU no encontrado"),"",IF(INDEX(Catalogo!$H$5:$H$905,MATCH(A182,Catalogo!$A$5:$A$905,0))=0,"",INDEX(Catalogo!$H$5:$H$905,MATCH(A182,Catalogo!$A$5:$A$905,0))))</f>
        <v>12629.821</v>
      </c>
      <c r="I182" s="13">
        <f t="shared" si="30"/>
        <v>1</v>
      </c>
      <c r="J182" s="6">
        <f t="shared" si="31"/>
        <v>12629.821</v>
      </c>
      <c r="K182" s="6">
        <f t="shared" si="32"/>
        <v>2113390.0473329122</v>
      </c>
      <c r="L182" s="6">
        <f t="shared" si="33"/>
        <v>0</v>
      </c>
      <c r="M182" t="str">
        <f t="shared" si="34"/>
        <v>Estimado proporcional</v>
      </c>
      <c r="N182" t="s">
        <v>1839</v>
      </c>
      <c r="O182" s="18">
        <v>167.3333333333</v>
      </c>
      <c r="P182">
        <v>1</v>
      </c>
      <c r="Q182">
        <v>311</v>
      </c>
      <c r="R182" s="6">
        <f t="shared" si="35"/>
        <v>2104.9701666666665</v>
      </c>
    </row>
    <row r="183" spans="1:18" ht="30" customHeight="1">
      <c r="A183" s="17" t="s">
        <v>100</v>
      </c>
      <c r="B183" s="5" t="str">
        <f>IF(A183="","",IF(COUNTIF(Catalogo!$A$5:$A$905,A183)=0,"SKU no encontrado",INDEX(Catalogo!$B$5:$B$905,MATCH(A183,Catalogo!$A$5:$A$905,0))))</f>
        <v>ECO ANDES AGUAS/G * X6 PET1500#</v>
      </c>
      <c r="C183">
        <f>IF(OR(A183="",B183="SKU no encontrado"),"",INDEX(Catalogo!$C$5:$C$905,MATCH(A183,Catalogo!$A$5:$A$905,0)))</f>
        <v>6</v>
      </c>
      <c r="D183" s="19">
        <v>46597</v>
      </c>
      <c r="E183" s="20">
        <v>280</v>
      </c>
      <c r="F183" s="20"/>
      <c r="G183" s="12">
        <f>+LotesTrelew[[#This Row],[Final deseado / unidad sugerido]]/1.3</f>
        <v>0</v>
      </c>
      <c r="H183" s="6">
        <f>IF(OR(A183="",B183="SKU no encontrado"),"",IF(INDEX(Catalogo!$H$5:$H$905,MATCH(A183,Catalogo!$A$5:$A$905,0))=0,"",INDEX(Catalogo!$H$5:$H$905,MATCH(A183,Catalogo!$A$5:$A$905,0))))</f>
        <v>11775.975</v>
      </c>
      <c r="I183" s="13">
        <f t="shared" si="30"/>
        <v>1</v>
      </c>
      <c r="J183" s="6">
        <f t="shared" si="31"/>
        <v>11775.975</v>
      </c>
      <c r="K183" s="6">
        <f t="shared" si="32"/>
        <v>3297273</v>
      </c>
      <c r="L183" s="6">
        <f t="shared" si="33"/>
        <v>0</v>
      </c>
      <c r="M183" t="str">
        <f t="shared" si="34"/>
        <v>Estimado proporcional</v>
      </c>
      <c r="N183" t="s">
        <v>1839</v>
      </c>
      <c r="O183" s="18">
        <v>280</v>
      </c>
      <c r="P183">
        <v>2</v>
      </c>
      <c r="Q183">
        <v>312</v>
      </c>
      <c r="R183" s="6">
        <f t="shared" si="35"/>
        <v>1962.6625000000001</v>
      </c>
    </row>
    <row r="184" spans="1:18" ht="30" customHeight="1">
      <c r="A184" s="17" t="s">
        <v>578</v>
      </c>
      <c r="B184" s="5" t="str">
        <f>IF(A184="","",IF(COUNTIF(Catalogo!$A$5:$A$905,A184)=0,"SKU no encontrado",INDEX(Catalogo!$B$5:$B$905,MATCH(A184,Catalogo!$A$5:$A$905,0))))</f>
        <v>ECO DE LOS ANDES SG PET X6 2000 PR 115 P</v>
      </c>
      <c r="C184">
        <f>IF(OR(A184="",B184="SKU no encontrado"),"",INDEX(Catalogo!$C$5:$C$905,MATCH(A184,Catalogo!$A$5:$A$905,0)))</f>
        <v>6</v>
      </c>
      <c r="D184" s="19">
        <v>46599</v>
      </c>
      <c r="E184" s="20">
        <v>139</v>
      </c>
      <c r="F184" s="20"/>
      <c r="G184" s="12">
        <f>+LotesTrelew[[#This Row],[Final deseado / unidad sugerido]]/1.3</f>
        <v>0</v>
      </c>
      <c r="H184" s="6">
        <f>IF(OR(A184="",B184="SKU no encontrado"),"",IF(INDEX(Catalogo!$H$5:$H$905,MATCH(A184,Catalogo!$A$5:$A$905,0))=0,"",INDEX(Catalogo!$H$5:$H$905,MATCH(A184,Catalogo!$A$5:$A$905,0))))</f>
        <v>14235.627</v>
      </c>
      <c r="I184" s="13">
        <f t="shared" si="30"/>
        <v>1</v>
      </c>
      <c r="J184" s="6">
        <f t="shared" si="31"/>
        <v>14235.627</v>
      </c>
      <c r="K184" s="6">
        <f t="shared" si="32"/>
        <v>1978752.1530000002</v>
      </c>
      <c r="L184" s="6">
        <f t="shared" si="33"/>
        <v>0</v>
      </c>
      <c r="M184" t="str">
        <f t="shared" si="34"/>
        <v>Estimado proporcional</v>
      </c>
      <c r="N184" t="s">
        <v>1839</v>
      </c>
      <c r="O184" s="18">
        <v>139</v>
      </c>
      <c r="P184">
        <v>2</v>
      </c>
      <c r="Q184">
        <v>314</v>
      </c>
      <c r="R184" s="6">
        <f t="shared" si="35"/>
        <v>2372.6044999999999</v>
      </c>
    </row>
    <row r="185" spans="1:18" ht="30" customHeight="1">
      <c r="A185" s="17" t="s">
        <v>460</v>
      </c>
      <c r="B185" s="5" t="str">
        <f>IF(A185="","",IF(COUNTIF(Catalogo!$A$5:$A$905,A185)=0,"SKU no encontrado",INDEX(Catalogo!$B$5:$B$905,MATCH(A185,Catalogo!$A$5:$A$905,0))))</f>
        <v>ECO DE LOS ANDES SG PET X12 500 MIX 203</v>
      </c>
      <c r="C185">
        <f>IF(OR(A185="",B185="SKU no encontrado"),"",INDEX(Catalogo!$C$5:$C$905,MATCH(A185,Catalogo!$A$5:$A$905,0)))</f>
        <v>12</v>
      </c>
      <c r="D185" s="19">
        <v>46602</v>
      </c>
      <c r="E185" s="20">
        <v>67</v>
      </c>
      <c r="F185" s="20"/>
      <c r="G185" s="12">
        <f>+LotesTrelew[[#This Row],[Final deseado / unidad sugerido]]/1.3</f>
        <v>0</v>
      </c>
      <c r="H185" s="6">
        <f>IF(OR(A185="",B185="SKU no encontrado"),"",IF(INDEX(Catalogo!$H$5:$H$905,MATCH(A185,Catalogo!$A$5:$A$905,0))=0,"",INDEX(Catalogo!$H$5:$H$905,MATCH(A185,Catalogo!$A$5:$A$905,0))))</f>
        <v>18090.016</v>
      </c>
      <c r="I185" s="13">
        <f t="shared" si="30"/>
        <v>1</v>
      </c>
      <c r="J185" s="6">
        <f t="shared" si="31"/>
        <v>18090.016</v>
      </c>
      <c r="K185" s="6">
        <f t="shared" si="32"/>
        <v>1212031.0719999999</v>
      </c>
      <c r="L185" s="6">
        <f t="shared" si="33"/>
        <v>0</v>
      </c>
      <c r="M185" t="str">
        <f t="shared" si="34"/>
        <v>Estimado proporcional</v>
      </c>
      <c r="N185" t="s">
        <v>1839</v>
      </c>
      <c r="O185" s="18">
        <v>67</v>
      </c>
      <c r="P185">
        <v>2</v>
      </c>
      <c r="Q185">
        <v>317</v>
      </c>
      <c r="R185" s="6">
        <f t="shared" si="35"/>
        <v>1507.5013333333334</v>
      </c>
    </row>
    <row r="186" spans="1:18" ht="30" customHeight="1">
      <c r="A186" s="17" t="s">
        <v>535</v>
      </c>
      <c r="B186" s="5" t="str">
        <f>IF(A186="","",IF(COUNTIF(Catalogo!$A$5:$A$905,A186)=0,"SKU no encontrado",INDEX(Catalogo!$B$5:$B$905,MATCH(A186,Catalogo!$A$5:$A$905,0))))</f>
        <v>NPV SG PET X12 500 PR 0.5L S/G</v>
      </c>
      <c r="C186">
        <f>IF(OR(A186="",B186="SKU no encontrado"),"",INDEX(Catalogo!$C$5:$C$905,MATCH(A186,Catalogo!$A$5:$A$905,0)))</f>
        <v>12</v>
      </c>
      <c r="D186" s="19">
        <v>46602</v>
      </c>
      <c r="E186" s="20">
        <v>327</v>
      </c>
      <c r="F186" s="20"/>
      <c r="G186" s="12">
        <f>+LotesTrelew[[#This Row],[Final deseado / unidad sugerido]]/1.3</f>
        <v>0</v>
      </c>
      <c r="H186" s="6">
        <f>IF(OR(A186="",B186="SKU no encontrado"),"",IF(INDEX(Catalogo!$H$5:$H$905,MATCH(A186,Catalogo!$A$5:$A$905,0))=0,"",INDEX(Catalogo!$H$5:$H$905,MATCH(A186,Catalogo!$A$5:$A$905,0))))</f>
        <v>16492.048999999999</v>
      </c>
      <c r="I186" s="13">
        <f t="shared" si="30"/>
        <v>1</v>
      </c>
      <c r="J186" s="6">
        <f t="shared" si="31"/>
        <v>16492.048999999999</v>
      </c>
      <c r="K186" s="6">
        <f t="shared" si="32"/>
        <v>5392900.023</v>
      </c>
      <c r="L186" s="6">
        <f t="shared" si="33"/>
        <v>0</v>
      </c>
      <c r="M186" t="str">
        <f t="shared" si="34"/>
        <v>Estimado proporcional</v>
      </c>
      <c r="N186" t="s">
        <v>1839</v>
      </c>
      <c r="O186" s="18">
        <v>327</v>
      </c>
      <c r="P186">
        <v>1</v>
      </c>
      <c r="Q186">
        <v>314</v>
      </c>
      <c r="R186" s="6">
        <f t="shared" si="35"/>
        <v>1374.3374166666665</v>
      </c>
    </row>
    <row r="187" spans="1:18" ht="30" customHeight="1">
      <c r="A187" s="17" t="s">
        <v>535</v>
      </c>
      <c r="B187" s="5" t="str">
        <f>IF(A187="","",IF(COUNTIF(Catalogo!$A$5:$A$905,A187)=0,"SKU no encontrado",INDEX(Catalogo!$B$5:$B$905,MATCH(A187,Catalogo!$A$5:$A$905,0))))</f>
        <v>NPV SG PET X12 500 PR 0.5L S/G</v>
      </c>
      <c r="C187">
        <f>IF(OR(A187="",B187="SKU no encontrado"),"",INDEX(Catalogo!$C$5:$C$905,MATCH(A187,Catalogo!$A$5:$A$905,0)))</f>
        <v>12</v>
      </c>
      <c r="D187" s="19">
        <v>46603</v>
      </c>
      <c r="E187" s="20">
        <v>189</v>
      </c>
      <c r="F187" s="20"/>
      <c r="G187" s="12">
        <f>+LotesTrelew[[#This Row],[Final deseado / unidad sugerido]]/1.3</f>
        <v>0</v>
      </c>
      <c r="H187" s="6">
        <f>IF(OR(A187="",B187="SKU no encontrado"),"",IF(INDEX(Catalogo!$H$5:$H$905,MATCH(A187,Catalogo!$A$5:$A$905,0))=0,"",INDEX(Catalogo!$H$5:$H$905,MATCH(A187,Catalogo!$A$5:$A$905,0))))</f>
        <v>16492.048999999999</v>
      </c>
      <c r="I187" s="13">
        <f t="shared" si="30"/>
        <v>1</v>
      </c>
      <c r="J187" s="6">
        <f t="shared" si="31"/>
        <v>16492.048999999999</v>
      </c>
      <c r="K187" s="6">
        <f t="shared" si="32"/>
        <v>3116997.2609999999</v>
      </c>
      <c r="L187" s="6">
        <f t="shared" si="33"/>
        <v>0</v>
      </c>
      <c r="M187" t="str">
        <f t="shared" si="34"/>
        <v>Estimado proporcional</v>
      </c>
      <c r="N187" t="s">
        <v>1839</v>
      </c>
      <c r="O187" s="18">
        <v>189</v>
      </c>
      <c r="P187">
        <v>2</v>
      </c>
      <c r="Q187">
        <v>315</v>
      </c>
      <c r="R187" s="6">
        <f t="shared" si="35"/>
        <v>1374.3374166666665</v>
      </c>
    </row>
    <row r="188" spans="1:18" ht="30" customHeight="1">
      <c r="A188" s="17" t="s">
        <v>952</v>
      </c>
      <c r="B188" s="5" t="str">
        <f>IF(A188="","",IF(COUNTIF(Catalogo!$A$5:$A$905,A188)=0,"SKU no encontrado",INDEX(Catalogo!$B$5:$B$905,MATCH(A188,Catalogo!$A$5:$A$905,0))))</f>
        <v>NESTLE PUREZA VITAL PET X2 6,4L</v>
      </c>
      <c r="C188">
        <f>IF(OR(A188="",B188="SKU no encontrado"),"",INDEX(Catalogo!$C$5:$C$905,MATCH(A188,Catalogo!$A$5:$A$905,0)))</f>
        <v>2</v>
      </c>
      <c r="D188" s="19">
        <v>46605</v>
      </c>
      <c r="E188" s="20">
        <v>492</v>
      </c>
      <c r="F188" s="20"/>
      <c r="G188" s="12">
        <f>+LotesTrelew[[#This Row],[Final deseado / unidad sugerido]]/1.3</f>
        <v>0</v>
      </c>
      <c r="H188" s="6">
        <f>IF(OR(A188="",B188="SKU no encontrado"),"",IF(INDEX(Catalogo!$H$5:$H$905,MATCH(A188,Catalogo!$A$5:$A$905,0))=0,"",INDEX(Catalogo!$H$5:$H$905,MATCH(A188,Catalogo!$A$5:$A$905,0))))</f>
        <v>9753.1209999999992</v>
      </c>
      <c r="I188" s="13">
        <f t="shared" si="30"/>
        <v>1</v>
      </c>
      <c r="J188" s="6">
        <f t="shared" si="31"/>
        <v>9753.1209999999992</v>
      </c>
      <c r="K188" s="6">
        <f t="shared" si="32"/>
        <v>4798535.5319999997</v>
      </c>
      <c r="L188" s="6">
        <f t="shared" si="33"/>
        <v>0</v>
      </c>
      <c r="M188" t="str">
        <f t="shared" si="34"/>
        <v>Estimado proporcional</v>
      </c>
      <c r="N188" t="s">
        <v>1839</v>
      </c>
      <c r="O188" s="18">
        <v>492</v>
      </c>
      <c r="P188">
        <v>1</v>
      </c>
      <c r="Q188">
        <v>320</v>
      </c>
      <c r="R188" s="6">
        <f t="shared" si="35"/>
        <v>4876.5604999999996</v>
      </c>
    </row>
    <row r="189" spans="1:18" ht="30" customHeight="1">
      <c r="A189" s="17" t="s">
        <v>970</v>
      </c>
      <c r="B189" s="5" t="str">
        <f>IF(A189="","",IF(COUNTIF(Catalogo!$A$5:$A$905,A189)=0,"SKU no encontrado",INDEX(Catalogo!$B$5:$B$905,MATCH(A189,Catalogo!$A$5:$A$905,0))))</f>
        <v>GLACIAR SG PET X12 500CC 208 PACKS</v>
      </c>
      <c r="C189">
        <f>IF(OR(A189="",B189="SKU no encontrado"),"",INDEX(Catalogo!$C$5:$C$905,MATCH(A189,Catalogo!$A$5:$A$905,0)))</f>
        <v>12</v>
      </c>
      <c r="D189" s="19">
        <v>46605</v>
      </c>
      <c r="E189" s="20">
        <v>335</v>
      </c>
      <c r="F189" s="20"/>
      <c r="G189" s="12">
        <f>+LotesTrelew[[#This Row],[Final deseado / unidad sugerido]]/1.3</f>
        <v>0</v>
      </c>
      <c r="H189" s="6">
        <f>IF(OR(A189="",B189="SKU no encontrado"),"",IF(INDEX(Catalogo!$H$5:$H$905,MATCH(A189,Catalogo!$A$5:$A$905,0))=0,"",INDEX(Catalogo!$H$5:$H$905,MATCH(A189,Catalogo!$A$5:$A$905,0))))</f>
        <v>19226.436000000002</v>
      </c>
      <c r="I189" s="13">
        <f t="shared" si="30"/>
        <v>1</v>
      </c>
      <c r="J189" s="6">
        <f t="shared" si="31"/>
        <v>19226.436000000002</v>
      </c>
      <c r="K189" s="6">
        <f t="shared" si="32"/>
        <v>6440856.0600000005</v>
      </c>
      <c r="L189" s="6">
        <f t="shared" si="33"/>
        <v>0</v>
      </c>
      <c r="M189" t="str">
        <f t="shared" si="34"/>
        <v>Estimado proporcional</v>
      </c>
      <c r="N189" t="s">
        <v>1839</v>
      </c>
      <c r="O189" s="18">
        <v>335</v>
      </c>
      <c r="P189">
        <v>1</v>
      </c>
      <c r="Q189">
        <v>320</v>
      </c>
      <c r="R189" s="6">
        <f t="shared" si="35"/>
        <v>1602.2030000000002</v>
      </c>
    </row>
    <row r="190" spans="1:18" ht="30" customHeight="1">
      <c r="A190" s="17" t="s">
        <v>336</v>
      </c>
      <c r="B190" s="5" t="str">
        <f>IF(A190="","",IF(COUNTIF(Catalogo!$A$5:$A$905,A190)=0,"SKU no encontrado",INDEX(Catalogo!$B$5:$B$905,MATCH(A190,Catalogo!$A$5:$A$905,0))))</f>
        <v>GLACIAR AGUAS/G * X6 PET1500#</v>
      </c>
      <c r="C190">
        <f>IF(OR(A190="",B190="SKU no encontrado"),"",INDEX(Catalogo!$C$5:$C$905,MATCH(A190,Catalogo!$A$5:$A$905,0)))</f>
        <v>6</v>
      </c>
      <c r="D190" s="19">
        <v>46610</v>
      </c>
      <c r="E190" s="20">
        <v>395</v>
      </c>
      <c r="F190" s="20"/>
      <c r="G190" s="12">
        <f>+LotesTrelew[[#This Row],[Final deseado / unidad sugerido]]/1.3</f>
        <v>0</v>
      </c>
      <c r="H190" s="6">
        <f>IF(OR(A190="",B190="SKU no encontrado"),"",IF(INDEX(Catalogo!$H$5:$H$905,MATCH(A190,Catalogo!$A$5:$A$905,0))=0,"",INDEX(Catalogo!$H$5:$H$905,MATCH(A190,Catalogo!$A$5:$A$905,0))))</f>
        <v>12615.442999999999</v>
      </c>
      <c r="I190" s="13">
        <f t="shared" si="30"/>
        <v>1</v>
      </c>
      <c r="J190" s="6">
        <f t="shared" si="31"/>
        <v>12615.442999999999</v>
      </c>
      <c r="K190" s="6">
        <f t="shared" si="32"/>
        <v>4983099.9849999994</v>
      </c>
      <c r="L190" s="6">
        <f t="shared" si="33"/>
        <v>0</v>
      </c>
      <c r="M190" t="str">
        <f t="shared" si="34"/>
        <v>Estimado proporcional</v>
      </c>
      <c r="N190" t="s">
        <v>1839</v>
      </c>
      <c r="O190" s="18">
        <v>395</v>
      </c>
      <c r="P190">
        <v>2</v>
      </c>
      <c r="Q190">
        <v>325</v>
      </c>
      <c r="R190" s="6">
        <f t="shared" si="35"/>
        <v>2102.5738333333334</v>
      </c>
    </row>
    <row r="191" spans="1:18" ht="30" customHeight="1">
      <c r="A191" s="17" t="s">
        <v>539</v>
      </c>
      <c r="B191" s="5" t="str">
        <f>IF(A191="","",IF(COUNTIF(Catalogo!$A$5:$A$905,A191)=0,"SKU no encontrado",INDEX(Catalogo!$B$5:$B$905,MATCH(A191,Catalogo!$A$5:$A$905,0))))</f>
        <v>NPV SG PET X6 1500 PR 1.5L S/G</v>
      </c>
      <c r="C191">
        <f>IF(OR(A191="",B191="SKU no encontrado"),"",INDEX(Catalogo!$C$5:$C$905,MATCH(A191,Catalogo!$A$5:$A$905,0)))</f>
        <v>6</v>
      </c>
      <c r="D191" s="19">
        <v>46610</v>
      </c>
      <c r="E191" s="20">
        <v>197</v>
      </c>
      <c r="F191" s="20"/>
      <c r="G191" s="12">
        <f>+LotesTrelew[[#This Row],[Final deseado / unidad sugerido]]/1.3</f>
        <v>0</v>
      </c>
      <c r="H191" s="6">
        <f>IF(OR(A191="",B191="SKU no encontrado"),"",IF(INDEX(Catalogo!$H$5:$H$905,MATCH(A191,Catalogo!$A$5:$A$905,0))=0,"",INDEX(Catalogo!$H$5:$H$905,MATCH(A191,Catalogo!$A$5:$A$905,0))))</f>
        <v>9679.0679999999993</v>
      </c>
      <c r="I191" s="13">
        <f t="shared" si="30"/>
        <v>1</v>
      </c>
      <c r="J191" s="6">
        <f t="shared" si="31"/>
        <v>9679.0679999999993</v>
      </c>
      <c r="K191" s="6">
        <f t="shared" si="32"/>
        <v>1906776.3959999999</v>
      </c>
      <c r="L191" s="6">
        <f t="shared" si="33"/>
        <v>0</v>
      </c>
      <c r="M191" t="str">
        <f t="shared" si="34"/>
        <v>Estimado proporcional</v>
      </c>
      <c r="N191" t="s">
        <v>1839</v>
      </c>
      <c r="O191" s="18">
        <v>197</v>
      </c>
      <c r="P191">
        <v>2</v>
      </c>
      <c r="Q191">
        <v>325</v>
      </c>
      <c r="R191" s="6">
        <f t="shared" si="35"/>
        <v>1613.1779999999999</v>
      </c>
    </row>
    <row r="192" spans="1:18" ht="30" customHeight="1">
      <c r="A192" s="17" t="s">
        <v>952</v>
      </c>
      <c r="B192" s="5" t="str">
        <f>IF(A192="","",IF(COUNTIF(Catalogo!$A$5:$A$905,A192)=0,"SKU no encontrado",INDEX(Catalogo!$B$5:$B$905,MATCH(A192,Catalogo!$A$5:$A$905,0))))</f>
        <v>NESTLE PUREZA VITAL PET X2 6,4L</v>
      </c>
      <c r="C192">
        <f>IF(OR(A192="",B192="SKU no encontrado"),"",INDEX(Catalogo!$C$5:$C$905,MATCH(A192,Catalogo!$A$5:$A$905,0)))</f>
        <v>2</v>
      </c>
      <c r="D192" s="19">
        <v>46610</v>
      </c>
      <c r="E192" s="20">
        <v>1</v>
      </c>
      <c r="F192" s="20"/>
      <c r="G192" s="12">
        <f>+LotesTrelew[[#This Row],[Final deseado / unidad sugerido]]/1.3</f>
        <v>0</v>
      </c>
      <c r="H192" s="6">
        <f>IF(OR(A192="",B192="SKU no encontrado"),"",IF(INDEX(Catalogo!$H$5:$H$905,MATCH(A192,Catalogo!$A$5:$A$905,0))=0,"",INDEX(Catalogo!$H$5:$H$905,MATCH(A192,Catalogo!$A$5:$A$905,0))))</f>
        <v>9753.1209999999992</v>
      </c>
      <c r="I192" s="13">
        <f t="shared" si="30"/>
        <v>1</v>
      </c>
      <c r="J192" s="6">
        <f t="shared" si="31"/>
        <v>9753.1209999999992</v>
      </c>
      <c r="K192" s="6">
        <f t="shared" si="32"/>
        <v>9753.1209999999992</v>
      </c>
      <c r="L192" s="6">
        <f t="shared" si="33"/>
        <v>0</v>
      </c>
      <c r="M192" t="str">
        <f t="shared" si="34"/>
        <v>Estimado proporcional</v>
      </c>
      <c r="N192" t="s">
        <v>1839</v>
      </c>
      <c r="O192" s="18">
        <v>1</v>
      </c>
      <c r="P192">
        <v>2</v>
      </c>
      <c r="Q192">
        <v>325</v>
      </c>
      <c r="R192" s="6">
        <f t="shared" si="35"/>
        <v>4876.5604999999996</v>
      </c>
    </row>
    <row r="193" spans="1:18" ht="30" customHeight="1">
      <c r="A193" s="17" t="s">
        <v>63</v>
      </c>
      <c r="B193" s="5" t="str">
        <f>IF(A193="","",IF(COUNTIF(Catalogo!$A$5:$A$905,A193)=0,"SKU no encontrado",INDEX(Catalogo!$B$5:$B$905,MATCH(A193,Catalogo!$A$5:$A$905,0))))</f>
        <v>GLACIAR SG PET X6 750 222 PC</v>
      </c>
      <c r="C193">
        <f>IF(OR(A193="",B193="SKU no encontrado"),"",INDEX(Catalogo!$C$5:$C$905,MATCH(A193,Catalogo!$A$5:$A$905,0)))</f>
        <v>6</v>
      </c>
      <c r="D193" s="19">
        <v>46617</v>
      </c>
      <c r="E193" s="20">
        <v>238</v>
      </c>
      <c r="F193" s="20"/>
      <c r="G193" s="12">
        <f>+LotesTrelew[[#This Row],[Final deseado / unidad sugerido]]/1.3</f>
        <v>0</v>
      </c>
      <c r="H193" s="6">
        <f>IF(OR(A193="",B193="SKU no encontrado"),"",IF(INDEX(Catalogo!$H$5:$H$905,MATCH(A193,Catalogo!$A$5:$A$905,0))=0,"",INDEX(Catalogo!$H$5:$H$905,MATCH(A193,Catalogo!$A$5:$A$905,0))))</f>
        <v>10016.942999999999</v>
      </c>
      <c r="I193" s="13">
        <f t="shared" si="30"/>
        <v>1</v>
      </c>
      <c r="J193" s="6">
        <f t="shared" si="31"/>
        <v>10016.942999999999</v>
      </c>
      <c r="K193" s="6">
        <f t="shared" si="32"/>
        <v>2384032.4339999999</v>
      </c>
      <c r="L193" s="6">
        <f t="shared" si="33"/>
        <v>0</v>
      </c>
      <c r="M193" t="str">
        <f t="shared" si="34"/>
        <v>Estimado proporcional</v>
      </c>
      <c r="N193" t="s">
        <v>1839</v>
      </c>
      <c r="O193" s="18">
        <v>238</v>
      </c>
      <c r="P193">
        <v>1</v>
      </c>
      <c r="Q193">
        <v>332</v>
      </c>
      <c r="R193" s="6">
        <f t="shared" si="35"/>
        <v>1669.4904999999999</v>
      </c>
    </row>
    <row r="194" spans="1:18" ht="30" customHeight="1">
      <c r="A194" s="17" t="s">
        <v>990</v>
      </c>
      <c r="B194" s="5" t="str">
        <f>IF(A194="","",IF(COUNTIF(Catalogo!$A$5:$A$905,A194)=0,"SKU no encontrado",INDEX(Catalogo!$B$5:$B$905,MATCH(A194,Catalogo!$A$5:$A$905,0))))</f>
        <v>GLACIAR PET X6 2L</v>
      </c>
      <c r="C194">
        <f>IF(OR(A194="",B194="SKU no encontrado"),"",INDEX(Catalogo!$C$5:$C$905,MATCH(A194,Catalogo!$A$5:$A$905,0)))</f>
        <v>6</v>
      </c>
      <c r="D194" s="19">
        <v>46624</v>
      </c>
      <c r="E194" s="20">
        <v>437</v>
      </c>
      <c r="F194" s="20"/>
      <c r="G194" s="12">
        <f>+LotesTrelew[[#This Row],[Final deseado / unidad sugerido]]/1.3</f>
        <v>0</v>
      </c>
      <c r="H194" s="6">
        <f>IF(OR(A194="",B194="SKU no encontrado"),"",IF(INDEX(Catalogo!$H$5:$H$905,MATCH(A194,Catalogo!$A$5:$A$905,0))=0,"",INDEX(Catalogo!$H$5:$H$905,MATCH(A194,Catalogo!$A$5:$A$905,0))))</f>
        <v>14895.165999999999</v>
      </c>
      <c r="I194" s="13">
        <f t="shared" si="30"/>
        <v>1</v>
      </c>
      <c r="J194" s="6">
        <f t="shared" si="31"/>
        <v>14895.165999999999</v>
      </c>
      <c r="K194" s="6">
        <f t="shared" si="32"/>
        <v>6509187.5419999994</v>
      </c>
      <c r="L194" s="6">
        <f t="shared" si="33"/>
        <v>0</v>
      </c>
      <c r="M194" t="str">
        <f t="shared" si="34"/>
        <v>Estimado proporcional</v>
      </c>
      <c r="N194" t="s">
        <v>1839</v>
      </c>
      <c r="O194" s="18">
        <v>437</v>
      </c>
      <c r="P194">
        <v>1</v>
      </c>
      <c r="Q194">
        <v>339</v>
      </c>
      <c r="R194" s="6">
        <f t="shared" si="35"/>
        <v>2482.5276666666664</v>
      </c>
    </row>
    <row r="195" spans="1:18" ht="30" customHeight="1">
      <c r="A195" s="17" t="s">
        <v>62</v>
      </c>
      <c r="B195" s="5" t="str">
        <f>IF(A195="","",IF(COUNTIF(Catalogo!$A$5:$A$905,A195)=0,"SKU no encontrado",INDEX(Catalogo!$B$5:$B$905,MATCH(A195,Catalogo!$A$5:$A$905,0))))</f>
        <v>RED BULL CAN 6X4 250</v>
      </c>
      <c r="C195">
        <f>IF(OR(A195="",B195="SKU no encontrado"),"",INDEX(Catalogo!$C$5:$C$905,MATCH(A195,Catalogo!$A$5:$A$905,0)))</f>
        <v>24</v>
      </c>
      <c r="D195" s="19">
        <v>46764</v>
      </c>
      <c r="E195" s="20">
        <v>94.166666666699996</v>
      </c>
      <c r="F195" s="20"/>
      <c r="G195" s="12">
        <f>+LotesTrelew[[#This Row],[Final deseado / unidad sugerido]]/1.3</f>
        <v>0</v>
      </c>
      <c r="H195" s="6">
        <f>IF(OR(A195="",B195="SKU no encontrado"),"",IF(INDEX(Catalogo!$H$5:$H$905,MATCH(A195,Catalogo!$A$5:$A$905,0))=0,"",INDEX(Catalogo!$H$5:$H$905,MATCH(A195,Catalogo!$A$5:$A$905,0))))</f>
        <v>65853.251000000004</v>
      </c>
      <c r="I195" s="13">
        <f t="shared" si="30"/>
        <v>1</v>
      </c>
      <c r="J195" s="6">
        <f t="shared" si="31"/>
        <v>65853.251000000004</v>
      </c>
      <c r="K195" s="6">
        <f t="shared" si="32"/>
        <v>6201181.1358355284</v>
      </c>
      <c r="L195" s="6">
        <f t="shared" si="33"/>
        <v>0</v>
      </c>
      <c r="M195" t="str">
        <f t="shared" si="34"/>
        <v>Estimado proporcional</v>
      </c>
      <c r="N195" t="s">
        <v>1839</v>
      </c>
      <c r="O195" s="18">
        <v>94.166666666699996</v>
      </c>
      <c r="P195">
        <v>1</v>
      </c>
      <c r="Q195">
        <v>479</v>
      </c>
      <c r="R195" s="6">
        <f t="shared" si="35"/>
        <v>2743.8854583333336</v>
      </c>
    </row>
    <row r="196" spans="1:18" ht="30" customHeight="1">
      <c r="A196" s="17" t="s">
        <v>601</v>
      </c>
      <c r="B196" s="5" t="str">
        <f>IF(A196="","",IF(COUNTIF(Catalogo!$A$5:$A$905,A196)=0,"SKU no encontrado",INDEX(Catalogo!$B$5:$B$905,MATCH(A196,Catalogo!$A$5:$A$905,0))))</f>
        <v>RED BULL REGULAR CAN 6X4 355CC</v>
      </c>
      <c r="C196">
        <f>IF(OR(A196="",B196="SKU no encontrado"),"",INDEX(Catalogo!$C$5:$C$905,MATCH(A196,Catalogo!$A$5:$A$905,0)))</f>
        <v>24</v>
      </c>
      <c r="D196" s="19">
        <v>46815</v>
      </c>
      <c r="E196" s="20">
        <v>96.125</v>
      </c>
      <c r="F196" s="20"/>
      <c r="G196" s="12">
        <f>+LotesTrelew[[#This Row],[Final deseado / unidad sugerido]]/1.3</f>
        <v>0</v>
      </c>
      <c r="H196" s="6">
        <f>IF(OR(A196="",B196="SKU no encontrado"),"",IF(INDEX(Catalogo!$H$5:$H$905,MATCH(A196,Catalogo!$A$5:$A$905,0))=0,"",INDEX(Catalogo!$H$5:$H$905,MATCH(A196,Catalogo!$A$5:$A$905,0))))</f>
        <v>88837.282999999996</v>
      </c>
      <c r="I196" s="13">
        <f t="shared" si="30"/>
        <v>1</v>
      </c>
      <c r="J196" s="6">
        <f t="shared" si="31"/>
        <v>88837.282999999996</v>
      </c>
      <c r="K196" s="6">
        <f t="shared" si="32"/>
        <v>8539483.8283750005</v>
      </c>
      <c r="L196" s="6">
        <f t="shared" si="33"/>
        <v>0</v>
      </c>
      <c r="M196" t="str">
        <f t="shared" si="34"/>
        <v>Estimado proporcional</v>
      </c>
      <c r="N196" t="s">
        <v>1839</v>
      </c>
      <c r="O196" s="18">
        <v>96.125</v>
      </c>
      <c r="P196">
        <v>1</v>
      </c>
      <c r="Q196">
        <v>530</v>
      </c>
      <c r="R196" s="6">
        <f t="shared" si="35"/>
        <v>3701.5534583333333</v>
      </c>
    </row>
    <row r="197" spans="1:18" ht="30" customHeight="1">
      <c r="A197" s="17" t="s">
        <v>968</v>
      </c>
      <c r="B197" s="5" t="str">
        <f>IF(A197="","",IF(COUNTIF(Catalogo!$A$5:$A$905,A197)=0,"SKU no encontrado",INDEX(Catalogo!$B$5:$B$905,MATCH(A197,Catalogo!$A$5:$A$905,0))))</f>
        <v>3P - YERBA C/P PLAYADITO X5 1KG</v>
      </c>
      <c r="C197">
        <f>IF(OR(A197="",B197="SKU no encontrado"),"",INDEX(Catalogo!$C$5:$C$905,MATCH(A197,Catalogo!$A$5:$A$905,0)))</f>
        <v>5</v>
      </c>
      <c r="D197" s="19">
        <v>46865</v>
      </c>
      <c r="E197" s="20">
        <v>0.4</v>
      </c>
      <c r="F197" s="20"/>
      <c r="G197" s="12">
        <f>+LotesTrelew[[#This Row],[Final deseado / unidad sugerido]]/1.3</f>
        <v>0</v>
      </c>
      <c r="H197" s="6">
        <f>IF(OR(A197="",B197="SKU no encontrado"),"",IF(INDEX(Catalogo!$H$5:$H$905,MATCH(A197,Catalogo!$A$5:$A$905,0))=0,"",INDEX(Catalogo!$H$5:$H$905,MATCH(A197,Catalogo!$A$5:$A$905,0))))</f>
        <v>20714.312000000002</v>
      </c>
      <c r="I197" s="13">
        <f t="shared" ref="I197:I228" si="36">IF(OR(N197="ELIMINAR",H197="",G197="",G197&lt;0,C197&lt;=0,G197*C197&gt;H197,E197&gt;O197),"",1-G197*C197/H197)</f>
        <v>1</v>
      </c>
      <c r="J197" s="6">
        <f t="shared" ref="J197:J228" si="37">IF(I197="","",H197-G197*C197)</f>
        <v>20714.312000000002</v>
      </c>
      <c r="K197" s="6">
        <f t="shared" ref="K197:K228" si="38">IF(OR(J197="",E197="",E197&lt;=0),"",J197*E197)</f>
        <v>8285.7248000000018</v>
      </c>
      <c r="L197" s="6">
        <f t="shared" ref="L197:L204" si="39">IF(OR(I197="",C197&lt;=0),"",G197*C197)</f>
        <v>0</v>
      </c>
      <c r="M197" t="str">
        <f t="shared" ref="M197:M228" si="40">IF(N197="ELIMINAR","ELIMINAR según origen",IF(H197="","Sin precio válido",IF(C197&lt;=0,"Sin unidades por bulto",IF(G197="","Completar precio unitario",IF(OR(G197&lt;0,G197*C197&gt;H197),"Revisar precio unitario",IF(OR(E197&lt;=0,E197&gt;O197),"Revisar bultos vs. stock","Estimado proporcional"))))))</f>
        <v>Estimado proporcional</v>
      </c>
      <c r="N197" t="s">
        <v>1839</v>
      </c>
      <c r="O197" s="18">
        <v>0.4</v>
      </c>
      <c r="P197">
        <v>1</v>
      </c>
      <c r="Q197">
        <v>580</v>
      </c>
      <c r="R197" s="6">
        <f t="shared" si="35"/>
        <v>4142.8624</v>
      </c>
    </row>
    <row r="198" spans="1:18" ht="30" customHeight="1">
      <c r="A198" s="17" t="s">
        <v>883</v>
      </c>
      <c r="B198" s="5" t="str">
        <f>IF(A198="","",IF(COUNTIF(Catalogo!$A$5:$A$905,A198)=0,"SKU no encontrado",INDEX(Catalogo!$B$5:$B$905,MATCH(A198,Catalogo!$A$5:$A$905,0))))</f>
        <v>ANDES ORIGEN RUBIA 2.0 RET X12 1000CC</v>
      </c>
      <c r="C198">
        <f>IF(OR(A198="",B198="SKU no encontrado"),"",INDEX(Catalogo!$C$5:$C$905,MATCH(A198,Catalogo!$A$5:$A$905,0)))</f>
        <v>12</v>
      </c>
      <c r="D198" s="19">
        <v>46284</v>
      </c>
      <c r="E198" s="20">
        <v>8.3333333300000006E-2</v>
      </c>
      <c r="F198" s="20"/>
      <c r="G198" s="12">
        <f>+LotesTrelew[[#This Row],[Final deseado / unidad sugerido]]/1.3</f>
        <v>0</v>
      </c>
      <c r="H198" s="6">
        <f>IF(OR(A198="",B198="SKU no encontrado"),"",IF(INDEX(Catalogo!$H$5:$H$905,MATCH(A198,Catalogo!$A$5:$A$905,0))=0,"",INDEX(Catalogo!$H$5:$H$905,MATCH(A198,Catalogo!$A$5:$A$905,0))))</f>
        <v>47326.294999999998</v>
      </c>
      <c r="I198" s="13" t="str">
        <f t="shared" si="36"/>
        <v/>
      </c>
      <c r="J198" s="6" t="str">
        <f t="shared" si="37"/>
        <v/>
      </c>
      <c r="K198" s="6" t="str">
        <f t="shared" si="38"/>
        <v/>
      </c>
      <c r="L198" s="6" t="str">
        <f t="shared" si="39"/>
        <v/>
      </c>
      <c r="M198" t="str">
        <f t="shared" si="40"/>
        <v>ELIMINAR según origen</v>
      </c>
      <c r="N198" t="s">
        <v>1840</v>
      </c>
      <c r="O198" s="18">
        <v>8.3333333300000006E-2</v>
      </c>
      <c r="P198">
        <v>1</v>
      </c>
      <c r="Q198" t="s">
        <v>1841</v>
      </c>
      <c r="R198" s="6">
        <f t="shared" si="35"/>
        <v>3943.8579166666664</v>
      </c>
    </row>
    <row r="199" spans="1:18">
      <c r="B199" t="str">
        <f>IF(A199="","",IF(COUNTIF(Catalogo!$A$5:$A$905,A199)=0,"SKU no encontrado",INDEX(Catalogo!$B$5:$B$905,MATCH(A199,Catalogo!$A$5:$A$905,0))))</f>
        <v/>
      </c>
      <c r="C199" t="str">
        <f>IF(OR(A199="",B199="SKU no encontrado"),"",INDEX(Catalogo!$C$5:$C$905,MATCH(A199,Catalogo!$A$5:$A$905,0)))</f>
        <v/>
      </c>
      <c r="H199" t="str">
        <f>IF(OR(A199="",B199="SKU no encontrado"),"",IF(INDEX(Catalogo!$H$5:$H$905,MATCH(A199,Catalogo!$A$5:$A$905,0))=0,"",INDEX(Catalogo!$H$5:$H$905,MATCH(A199,Catalogo!$A$5:$A$905,0))))</f>
        <v/>
      </c>
      <c r="I199" t="e">
        <f t="shared" ref="I199:I204" si="41">IF(OR(H199="",G199="",G199&lt;0,C199&lt;=0,G199*C199&gt;H199),"",1-G199*C199/H199)</f>
        <v>#VALUE!</v>
      </c>
      <c r="J199" t="e">
        <f t="shared" si="37"/>
        <v>#VALUE!</v>
      </c>
      <c r="K199" t="e">
        <f t="shared" si="38"/>
        <v>#VALUE!</v>
      </c>
      <c r="L199" t="e">
        <f t="shared" si="39"/>
        <v>#VALUE!</v>
      </c>
      <c r="M199" t="str">
        <f t="shared" ref="M199:M204" si="42">IF(A199="","",IF(B199="SKU no encontrado",B199,IF(H199="","Sin precio válido",IF(G199="","Completar precio deseado",IF(OR(G199&lt;0,C199&lt;=0,G199*C199&gt;H199),"Revisar precio deseado",IF(OR(E199="",E199&lt;=0),"Completar bultos","Estimado proporcional"))))))</f>
        <v/>
      </c>
    </row>
    <row r="200" spans="1:18">
      <c r="B200" t="str">
        <f>IF(A200="","",IF(COUNTIF(Catalogo!$A$5:$A$905,A200)=0,"SKU no encontrado",INDEX(Catalogo!$B$5:$B$905,MATCH(A200,Catalogo!$A$5:$A$905,0))))</f>
        <v/>
      </c>
      <c r="C200" t="str">
        <f>IF(OR(A200="",B200="SKU no encontrado"),"",INDEX(Catalogo!$C$5:$C$905,MATCH(A200,Catalogo!$A$5:$A$905,0)))</f>
        <v/>
      </c>
      <c r="H200" t="str">
        <f>IF(OR(A200="",B200="SKU no encontrado"),"",IF(INDEX(Catalogo!$H$5:$H$905,MATCH(A200,Catalogo!$A$5:$A$905,0))=0,"",INDEX(Catalogo!$H$5:$H$905,MATCH(A200,Catalogo!$A$5:$A$905,0))))</f>
        <v/>
      </c>
      <c r="I200" t="e">
        <f t="shared" si="41"/>
        <v>#VALUE!</v>
      </c>
      <c r="J200" t="e">
        <f t="shared" si="37"/>
        <v>#VALUE!</v>
      </c>
      <c r="K200" t="e">
        <f t="shared" si="38"/>
        <v>#VALUE!</v>
      </c>
      <c r="L200" t="e">
        <f t="shared" si="39"/>
        <v>#VALUE!</v>
      </c>
      <c r="M200" t="str">
        <f t="shared" si="42"/>
        <v/>
      </c>
    </row>
    <row r="201" spans="1:18">
      <c r="B201" t="str">
        <f>IF(A201="","",IF(COUNTIF(Catalogo!$A$5:$A$905,A201)=0,"SKU no encontrado",INDEX(Catalogo!$B$5:$B$905,MATCH(A201,Catalogo!$A$5:$A$905,0))))</f>
        <v/>
      </c>
      <c r="C201" t="str">
        <f>IF(OR(A201="",B201="SKU no encontrado"),"",INDEX(Catalogo!$C$5:$C$905,MATCH(A201,Catalogo!$A$5:$A$905,0)))</f>
        <v/>
      </c>
      <c r="H201" t="str">
        <f>IF(OR(A201="",B201="SKU no encontrado"),"",IF(INDEX(Catalogo!$H$5:$H$905,MATCH(A201,Catalogo!$A$5:$A$905,0))=0,"",INDEX(Catalogo!$H$5:$H$905,MATCH(A201,Catalogo!$A$5:$A$905,0))))</f>
        <v/>
      </c>
      <c r="I201" t="e">
        <f t="shared" si="41"/>
        <v>#VALUE!</v>
      </c>
      <c r="J201" t="s">
        <v>1842</v>
      </c>
      <c r="K201" s="14">
        <f>SUM(K5:K198)</f>
        <v>1632461638.2365439</v>
      </c>
      <c r="L201" t="e">
        <f t="shared" si="39"/>
        <v>#VALUE!</v>
      </c>
      <c r="M201" t="str">
        <f t="shared" si="42"/>
        <v/>
      </c>
    </row>
    <row r="202" spans="1:18">
      <c r="B202" t="str">
        <f>IF(A202="","",IF(COUNTIF(Catalogo!$A$5:$A$905,A202)=0,"SKU no encontrado",INDEX(Catalogo!$B$5:$B$905,MATCH(A202,Catalogo!$A$5:$A$905,0))))</f>
        <v/>
      </c>
      <c r="C202" t="str">
        <f>IF(OR(A202="",B202="SKU no encontrado"),"",INDEX(Catalogo!$C$5:$C$905,MATCH(A202,Catalogo!$A$5:$A$905,0)))</f>
        <v/>
      </c>
      <c r="H202" t="str">
        <f>IF(OR(A202="",B202="SKU no encontrado"),"",IF(INDEX(Catalogo!$H$5:$H$905,MATCH(A202,Catalogo!$A$5:$A$905,0))=0,"",INDEX(Catalogo!$H$5:$H$905,MATCH(A202,Catalogo!$A$5:$A$905,0))))</f>
        <v/>
      </c>
      <c r="I202" t="e">
        <f t="shared" si="41"/>
        <v>#VALUE!</v>
      </c>
      <c r="J202" t="e">
        <f>IF(I202="","",H202-G202*C202)</f>
        <v>#VALUE!</v>
      </c>
      <c r="K202" t="e">
        <f>IF(OR(J202="",E202="",E202&lt;=0),"",J202*E202)</f>
        <v>#VALUE!</v>
      </c>
      <c r="L202" t="e">
        <f t="shared" si="39"/>
        <v>#VALUE!</v>
      </c>
      <c r="M202" t="str">
        <f t="shared" si="42"/>
        <v/>
      </c>
    </row>
    <row r="203" spans="1:18">
      <c r="B203" t="str">
        <f>IF(A203="","",IF(COUNTIF(Catalogo!$A$5:$A$905,A203)=0,"SKU no encontrado",INDEX(Catalogo!$B$5:$B$905,MATCH(A203,Catalogo!$A$5:$A$905,0))))</f>
        <v/>
      </c>
      <c r="C203" t="str">
        <f>IF(OR(A203="",B203="SKU no encontrado"),"",INDEX(Catalogo!$C$5:$C$905,MATCH(A203,Catalogo!$A$5:$A$905,0)))</f>
        <v/>
      </c>
      <c r="H203" t="str">
        <f>IF(OR(A203="",B203="SKU no encontrado"),"",IF(INDEX(Catalogo!$H$5:$H$905,MATCH(A203,Catalogo!$A$5:$A$905,0))=0,"",INDEX(Catalogo!$H$5:$H$905,MATCH(A203,Catalogo!$A$5:$A$905,0))))</f>
        <v/>
      </c>
      <c r="I203" t="e">
        <f t="shared" si="41"/>
        <v>#VALUE!</v>
      </c>
      <c r="J203" t="e">
        <f>IF(I203="","",H203-G203*C203)</f>
        <v>#VALUE!</v>
      </c>
      <c r="K203" t="e">
        <f>IF(OR(J203="",E203="",E203&lt;=0),"",J203*E203)</f>
        <v>#VALUE!</v>
      </c>
      <c r="L203" t="e">
        <f t="shared" si="39"/>
        <v>#VALUE!</v>
      </c>
      <c r="M203" t="str">
        <f t="shared" si="42"/>
        <v/>
      </c>
    </row>
    <row r="204" spans="1:18">
      <c r="B204" t="str">
        <f>IF(A204="","",IF(COUNTIF(Catalogo!$A$5:$A$905,A204)=0,"SKU no encontrado",INDEX(Catalogo!$B$5:$B$905,MATCH(A204,Catalogo!$A$5:$A$905,0))))</f>
        <v/>
      </c>
      <c r="C204" t="str">
        <f>IF(OR(A204="",B204="SKU no encontrado"),"",INDEX(Catalogo!$C$5:$C$905,MATCH(A204,Catalogo!$A$5:$A$905,0)))</f>
        <v/>
      </c>
      <c r="H204" t="str">
        <f>IF(OR(A204="",B204="SKU no encontrado"),"",IF(INDEX(Catalogo!$H$5:$H$905,MATCH(A204,Catalogo!$A$5:$A$905,0))=0,"",INDEX(Catalogo!$H$5:$H$905,MATCH(A204,Catalogo!$A$5:$A$905,0))))</f>
        <v/>
      </c>
      <c r="I204" t="e">
        <f t="shared" si="41"/>
        <v>#VALUE!</v>
      </c>
      <c r="J204" t="e">
        <f>IF(I204="","",H204-G204*C204)</f>
        <v>#VALUE!</v>
      </c>
      <c r="K204" t="e">
        <f>IF(OR(J204="",E204="",E204&lt;=0),"",J204*E204)</f>
        <v>#VALUE!</v>
      </c>
      <c r="L204" t="e">
        <f t="shared" si="39"/>
        <v>#VALUE!</v>
      </c>
      <c r="M204" t="str">
        <f t="shared" si="42"/>
        <v/>
      </c>
    </row>
  </sheetData>
  <conditionalFormatting sqref="N5:N198">
    <cfRule type="containsText" dxfId="3" priority="1" operator="containsText" text="ACCIONAR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8"/>
  <sheetViews>
    <sheetView showGridLines="0" workbookViewId="0">
      <pane ySplit="4" topLeftCell="A5" activePane="bottomLeft" state="frozen"/>
      <selection pane="bottomLeft"/>
    </sheetView>
  </sheetViews>
  <sheetFormatPr baseColWidth="10" defaultColWidth="8.796875" defaultRowHeight="13.8"/>
  <cols>
    <col min="1" max="1" width="14" customWidth="1"/>
    <col min="2" max="2" width="43" customWidth="1"/>
    <col min="3" max="3" width="14" customWidth="1"/>
    <col min="4" max="4" width="16" customWidth="1"/>
    <col min="5" max="5" width="17" customWidth="1"/>
    <col min="6" max="7" width="20" customWidth="1"/>
    <col min="8" max="8" width="18" customWidth="1"/>
    <col min="9" max="9" width="21" customWidth="1"/>
    <col min="10" max="10" width="22" customWidth="1"/>
    <col min="11" max="11" width="21" customWidth="1"/>
    <col min="12" max="12" width="34" customWidth="1"/>
    <col min="13" max="17" width="22" customWidth="1"/>
  </cols>
  <sheetData>
    <row r="1" spans="1:17" ht="21">
      <c r="A1" s="1" t="s">
        <v>1843</v>
      </c>
    </row>
    <row r="2" spans="1:17">
      <c r="A2" t="s">
        <v>1832</v>
      </c>
    </row>
    <row r="4" spans="1:17" ht="42" customHeight="1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14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1833</v>
      </c>
      <c r="N4" s="2" t="s">
        <v>1834</v>
      </c>
      <c r="O4" s="2" t="s">
        <v>1835</v>
      </c>
      <c r="P4" s="2" t="s">
        <v>1836</v>
      </c>
      <c r="Q4" s="2" t="s">
        <v>1837</v>
      </c>
    </row>
    <row r="5" spans="1:17" ht="30" customHeight="1">
      <c r="A5" s="17" t="s">
        <v>370</v>
      </c>
      <c r="B5" s="5" t="str">
        <f>IF(A5="","",IF(COUNTIF(Catalogo!$A$5:$A$905,A5)=0,"SKU no encontrado",INDEX(Catalogo!$B$5:$B$905,MATCH(A5,Catalogo!$A$5:$A$905,0))))</f>
        <v>PATAGO AMBER - X1 BAR 20L</v>
      </c>
      <c r="C5">
        <f>IF(OR(A5="",B5="SKU no encontrado"),"",INDEX(Catalogo!$C$5:$C$905,MATCH(A5,Catalogo!$A$5:$A$905,0)))</f>
        <v>1</v>
      </c>
      <c r="D5" s="19">
        <v>46290</v>
      </c>
      <c r="E5" s="20">
        <v>11</v>
      </c>
      <c r="F5" s="12"/>
      <c r="G5" s="6">
        <f>IF(OR(A5="",B5="SKU no encontrado"),"",IF(INDEX(Catalogo!$H$5:$H$905,MATCH(A5,Catalogo!$A$5:$A$905,0))=0,"",INDEX(Catalogo!$H$5:$H$905,MATCH(A5,Catalogo!$A$5:$A$905,0))))</f>
        <v>145134.34400000001</v>
      </c>
      <c r="H5" s="13" t="str">
        <f t="shared" ref="H5:H68" si="0">IF(OR(M5="ELIMINAR",G5="",F5="",F5&lt;0,C5&lt;=0,F5*C5&gt;G5,E5&gt;N5),"",1-F5*C5/G5)</f>
        <v/>
      </c>
      <c r="I5" s="6" t="str">
        <f t="shared" ref="I5:I68" si="1">IF(H5="","",G5-F5*C5)</f>
        <v/>
      </c>
      <c r="J5" s="6" t="str">
        <f t="shared" ref="J5:J68" si="2">IF(OR(I5="",E5="",E5&lt;=0),"",I5*E5)</f>
        <v/>
      </c>
      <c r="K5" s="6" t="str">
        <f t="shared" ref="K5:K68" si="3">IF(OR(H5="",C5&lt;=0),"",F5*C5)</f>
        <v/>
      </c>
      <c r="L5" t="str">
        <f t="shared" ref="L5:L68" si="4">IF(M5="ELIMINAR","ELIMINAR según origen",IF(G5="","Sin precio válido",IF(C5&lt;=0,"Sin unidades por bulto",IF(F5="","Completar precio unitario",IF(OR(F5&lt;0,F5*C5&gt;G5),"Revisar precio unitario",IF(OR(E5&lt;=0,E5&gt;N5),"Revisar bultos vs. stock","Estimado proporcional"))))))</f>
        <v>Completar precio unitario</v>
      </c>
      <c r="M5" t="s">
        <v>1838</v>
      </c>
      <c r="N5" s="18">
        <v>11</v>
      </c>
      <c r="O5">
        <v>1</v>
      </c>
      <c r="P5">
        <v>5</v>
      </c>
      <c r="Q5" s="6">
        <f t="shared" ref="Q5:Q68" si="5">IF(OR(G5="",C5&lt;=0),"",G5/C5)</f>
        <v>145134.34400000001</v>
      </c>
    </row>
    <row r="6" spans="1:17" ht="30" customHeight="1">
      <c r="A6" s="17" t="s">
        <v>400</v>
      </c>
      <c r="B6" s="5" t="str">
        <f>IF(A6="","",IF(COUNTIF(Catalogo!$A$5:$A$905,A6)=0,"SKU no encontrado",INDEX(Catalogo!$B$5:$B$905,MATCH(A6,Catalogo!$A$5:$A$905,0))))</f>
        <v>PATAGONIA SLIMKEG 0 20 L IPA CON SAUCO</v>
      </c>
      <c r="C6">
        <f>IF(OR(A6="",B6="SKU no encontrado"),"",INDEX(Catalogo!$C$5:$C$905,MATCH(A6,Catalogo!$A$5:$A$905,0)))</f>
        <v>1</v>
      </c>
      <c r="D6" s="19">
        <v>46297</v>
      </c>
      <c r="E6" s="20">
        <v>20</v>
      </c>
      <c r="F6" s="12"/>
      <c r="G6" s="6">
        <f>IF(OR(A6="",B6="SKU no encontrado"),"",IF(INDEX(Catalogo!$H$5:$H$905,MATCH(A6,Catalogo!$A$5:$A$905,0))=0,"",INDEX(Catalogo!$H$5:$H$905,MATCH(A6,Catalogo!$A$5:$A$905,0))))</f>
        <v>145097.87700000001</v>
      </c>
      <c r="H6" s="13" t="str">
        <f t="shared" si="0"/>
        <v/>
      </c>
      <c r="I6" s="6" t="str">
        <f t="shared" si="1"/>
        <v/>
      </c>
      <c r="J6" s="6" t="str">
        <f t="shared" si="2"/>
        <v/>
      </c>
      <c r="K6" s="6" t="str">
        <f t="shared" si="3"/>
        <v/>
      </c>
      <c r="L6" t="str">
        <f t="shared" si="4"/>
        <v>Completar precio unitario</v>
      </c>
      <c r="M6" t="s">
        <v>1838</v>
      </c>
      <c r="N6" s="18">
        <v>20</v>
      </c>
      <c r="O6">
        <v>1</v>
      </c>
      <c r="P6">
        <v>12</v>
      </c>
      <c r="Q6" s="6">
        <f t="shared" si="5"/>
        <v>145097.87700000001</v>
      </c>
    </row>
    <row r="7" spans="1:17" ht="30" customHeight="1">
      <c r="A7" s="17" t="s">
        <v>855</v>
      </c>
      <c r="B7" s="5" t="str">
        <f>IF(A7="","",IF(COUNTIF(Catalogo!$A$5:$A$905,A7)=0,"SKU no encontrado",INDEX(Catalogo!$B$5:$B$905,MATCH(A7,Catalogo!$A$5:$A$905,0))))</f>
        <v>PEPSI BLACK CAN 4X6 354CC 2024</v>
      </c>
      <c r="C7">
        <f>IF(OR(A7="",B7="SKU no encontrado"),"",INDEX(Catalogo!$C$5:$C$905,MATCH(A7,Catalogo!$A$5:$A$905,0)))</f>
        <v>24</v>
      </c>
      <c r="D7" s="19">
        <v>46302</v>
      </c>
      <c r="E7" s="20">
        <v>96.958333333300004</v>
      </c>
      <c r="F7" s="12"/>
      <c r="G7" s="6">
        <f>IF(OR(A7="",B7="SKU no encontrado"),"",IF(INDEX(Catalogo!$H$5:$H$905,MATCH(A7,Catalogo!$A$5:$A$905,0))=0,"",INDEX(Catalogo!$H$5:$H$905,MATCH(A7,Catalogo!$A$5:$A$905,0))))</f>
        <v>38965.599000000002</v>
      </c>
      <c r="H7" s="13" t="str">
        <f t="shared" si="0"/>
        <v/>
      </c>
      <c r="I7" s="6" t="str">
        <f t="shared" si="1"/>
        <v/>
      </c>
      <c r="J7" s="6" t="str">
        <f t="shared" si="2"/>
        <v/>
      </c>
      <c r="K7" s="6" t="str">
        <f t="shared" si="3"/>
        <v/>
      </c>
      <c r="L7" t="str">
        <f t="shared" si="4"/>
        <v>Completar precio unitario</v>
      </c>
      <c r="M7" t="s">
        <v>1838</v>
      </c>
      <c r="N7" s="18">
        <v>96.958333333300004</v>
      </c>
      <c r="O7">
        <v>1</v>
      </c>
      <c r="P7">
        <v>17</v>
      </c>
      <c r="Q7" s="6">
        <f t="shared" si="5"/>
        <v>1623.5666250000002</v>
      </c>
    </row>
    <row r="8" spans="1:17" ht="30" customHeight="1">
      <c r="A8" s="17" t="s">
        <v>59</v>
      </c>
      <c r="B8" s="5" t="str">
        <f>IF(A8="","",IF(COUNTIF(Catalogo!$A$5:$A$905,A8)=0,"SKU no encontrado",INDEX(Catalogo!$B$5:$B$905,MATCH(A8,Catalogo!$A$5:$A$905,0))))</f>
        <v>STELLA ART NOIRE PM CAN 4X6 473CC CART</v>
      </c>
      <c r="C8">
        <f>IF(OR(A8="",B8="SKU no encontrado"),"",INDEX(Catalogo!$C$5:$C$905,MATCH(A8,Catalogo!$A$5:$A$905,0)))</f>
        <v>24</v>
      </c>
      <c r="D8" s="19">
        <v>46303</v>
      </c>
      <c r="E8" s="20">
        <v>49.875</v>
      </c>
      <c r="F8" s="12"/>
      <c r="G8" s="6">
        <f>IF(OR(A8="",B8="SKU no encontrado"),"",IF(INDEX(Catalogo!$H$5:$H$905,MATCH(A8,Catalogo!$A$5:$A$905,0))=0,"",INDEX(Catalogo!$H$5:$H$905,MATCH(A8,Catalogo!$A$5:$A$905,0))))</f>
        <v>72010.180999999997</v>
      </c>
      <c r="H8" s="13" t="str">
        <f t="shared" si="0"/>
        <v/>
      </c>
      <c r="I8" s="6" t="str">
        <f t="shared" si="1"/>
        <v/>
      </c>
      <c r="J8" s="6" t="str">
        <f t="shared" si="2"/>
        <v/>
      </c>
      <c r="K8" s="6" t="str">
        <f t="shared" si="3"/>
        <v/>
      </c>
      <c r="L8" t="str">
        <f t="shared" si="4"/>
        <v>Completar precio unitario</v>
      </c>
      <c r="M8" t="s">
        <v>1838</v>
      </c>
      <c r="N8" s="18">
        <v>49.875</v>
      </c>
      <c r="O8">
        <v>1</v>
      </c>
      <c r="P8">
        <v>18</v>
      </c>
      <c r="Q8" s="6">
        <f t="shared" si="5"/>
        <v>3000.4242083333334</v>
      </c>
    </row>
    <row r="9" spans="1:17" ht="30" customHeight="1">
      <c r="A9" s="17" t="s">
        <v>816</v>
      </c>
      <c r="B9" s="5" t="str">
        <f>IF(A9="","",IF(COUNTIF(Catalogo!$A$5:$A$905,A9)=0,"SKU no encontrado",INDEX(Catalogo!$B$5:$B$905,MATCH(A9,Catalogo!$A$5:$A$905,0))))</f>
        <v>H2OH STILL POMELO PET X6 500CC</v>
      </c>
      <c r="C9">
        <f>IF(OR(A9="",B9="SKU no encontrado"),"",INDEX(Catalogo!$C$5:$C$905,MATCH(A9,Catalogo!$A$5:$A$905,0)))</f>
        <v>6</v>
      </c>
      <c r="D9" s="19">
        <v>46304</v>
      </c>
      <c r="E9" s="20">
        <v>156.8333333333</v>
      </c>
      <c r="F9" s="12"/>
      <c r="G9" s="6">
        <f>IF(OR(A9="",B9="SKU no encontrado"),"",IF(INDEX(Catalogo!$H$5:$H$905,MATCH(A9,Catalogo!$A$5:$A$905,0))=0,"",INDEX(Catalogo!$H$5:$H$905,MATCH(A9,Catalogo!$A$5:$A$905,0))))</f>
        <v>8378.4660000000003</v>
      </c>
      <c r="H9" s="13" t="str">
        <f t="shared" si="0"/>
        <v/>
      </c>
      <c r="I9" s="6" t="str">
        <f t="shared" si="1"/>
        <v/>
      </c>
      <c r="J9" s="6" t="str">
        <f t="shared" si="2"/>
        <v/>
      </c>
      <c r="K9" s="6" t="str">
        <f t="shared" si="3"/>
        <v/>
      </c>
      <c r="L9" t="str">
        <f t="shared" si="4"/>
        <v>Completar precio unitario</v>
      </c>
      <c r="M9" t="s">
        <v>1838</v>
      </c>
      <c r="N9" s="18">
        <v>156.8333333333</v>
      </c>
      <c r="O9">
        <v>1</v>
      </c>
      <c r="P9">
        <v>19</v>
      </c>
      <c r="Q9" s="6">
        <f t="shared" si="5"/>
        <v>1396.4110000000001</v>
      </c>
    </row>
    <row r="10" spans="1:17" ht="30" customHeight="1">
      <c r="A10" s="17" t="s">
        <v>1000</v>
      </c>
      <c r="B10" s="5" t="str">
        <f>IF(A10="","",IF(COUNTIF(Catalogo!$A$5:$A$905,A10)=0,"SKU no encontrado",INDEX(Catalogo!$B$5:$B$905,MATCH(A10,Catalogo!$A$5:$A$905,0))))</f>
        <v>PATAGONIA IPA OW X6 730CC TERMO</v>
      </c>
      <c r="C10">
        <f>IF(OR(A10="",B10="SKU no encontrado"),"",INDEX(Catalogo!$C$5:$C$905,MATCH(A10,Catalogo!$A$5:$A$905,0)))</f>
        <v>6</v>
      </c>
      <c r="D10" s="19">
        <v>46305</v>
      </c>
      <c r="E10" s="20">
        <v>109.3333333333</v>
      </c>
      <c r="F10" s="12"/>
      <c r="G10" s="6">
        <f>IF(OR(A10="",B10="SKU no encontrado"),"",IF(INDEX(Catalogo!$H$5:$H$905,MATCH(A10,Catalogo!$A$5:$A$905,0))=0,"",INDEX(Catalogo!$H$5:$H$905,MATCH(A10,Catalogo!$A$5:$A$905,0))))</f>
        <v>29135.981</v>
      </c>
      <c r="H10" s="13" t="str">
        <f t="shared" si="0"/>
        <v/>
      </c>
      <c r="I10" s="6" t="str">
        <f t="shared" si="1"/>
        <v/>
      </c>
      <c r="J10" s="6" t="str">
        <f t="shared" si="2"/>
        <v/>
      </c>
      <c r="K10" s="6" t="str">
        <f t="shared" si="3"/>
        <v/>
      </c>
      <c r="L10" t="str">
        <f t="shared" si="4"/>
        <v>Completar precio unitario</v>
      </c>
      <c r="M10" t="s">
        <v>1838</v>
      </c>
      <c r="N10" s="18">
        <v>109.3333333333</v>
      </c>
      <c r="O10">
        <v>1</v>
      </c>
      <c r="P10">
        <v>20</v>
      </c>
      <c r="Q10" s="6">
        <f t="shared" si="5"/>
        <v>4855.9968333333336</v>
      </c>
    </row>
    <row r="11" spans="1:17" ht="30" customHeight="1">
      <c r="A11" s="17" t="s">
        <v>338</v>
      </c>
      <c r="B11" s="5" t="str">
        <f>IF(A11="","",IF(COUNTIF(Catalogo!$A$5:$A$905,A11)=0,"SKU no encontrado",INDEX(Catalogo!$B$5:$B$905,MATCH(A11,Catalogo!$A$5:$A$905,0))))</f>
        <v>H2OH LIMONETO  X8 PET2250</v>
      </c>
      <c r="C11">
        <f>IF(OR(A11="",B11="SKU no encontrado"),"",INDEX(Catalogo!$C$5:$C$905,MATCH(A11,Catalogo!$A$5:$A$905,0)))</f>
        <v>8</v>
      </c>
      <c r="D11" s="19">
        <v>46309</v>
      </c>
      <c r="E11" s="20">
        <v>54.625</v>
      </c>
      <c r="F11" s="12"/>
      <c r="G11" s="6">
        <f>IF(OR(A11="",B11="SKU no encontrado"),"",IF(INDEX(Catalogo!$H$5:$H$905,MATCH(A11,Catalogo!$A$5:$A$905,0))=0,"",INDEX(Catalogo!$H$5:$H$905,MATCH(A11,Catalogo!$A$5:$A$905,0))))</f>
        <v>27358.541000000001</v>
      </c>
      <c r="H11" s="13" t="str">
        <f t="shared" si="0"/>
        <v/>
      </c>
      <c r="I11" s="6" t="str">
        <f t="shared" si="1"/>
        <v/>
      </c>
      <c r="J11" s="6" t="str">
        <f t="shared" si="2"/>
        <v/>
      </c>
      <c r="K11" s="6" t="str">
        <f t="shared" si="3"/>
        <v/>
      </c>
      <c r="L11" t="str">
        <f t="shared" si="4"/>
        <v>Completar precio unitario</v>
      </c>
      <c r="M11" t="s">
        <v>1838</v>
      </c>
      <c r="N11" s="18">
        <v>54.625</v>
      </c>
      <c r="O11">
        <v>1</v>
      </c>
      <c r="P11">
        <v>24</v>
      </c>
      <c r="Q11" s="6">
        <f t="shared" si="5"/>
        <v>3419.8176250000001</v>
      </c>
    </row>
    <row r="12" spans="1:17" ht="30" customHeight="1">
      <c r="A12" s="17" t="s">
        <v>887</v>
      </c>
      <c r="B12" s="5" t="str">
        <f>IF(A12="","",IF(COUNTIF(Catalogo!$A$5:$A$905,A12)=0,"SKU no encontrado",INDEX(Catalogo!$B$5:$B$905,MATCH(A12,Catalogo!$A$5:$A$905,0))))</f>
        <v>ANDES ORIGEN RUBIA 2.0 CAN 4X4 710CC</v>
      </c>
      <c r="C12">
        <f>IF(OR(A12="",B12="SKU no encontrado"),"",INDEX(Catalogo!$C$5:$C$905,MATCH(A12,Catalogo!$A$5:$A$905,0)))</f>
        <v>16</v>
      </c>
      <c r="D12" s="19">
        <v>46320</v>
      </c>
      <c r="E12" s="20">
        <v>298.125</v>
      </c>
      <c r="F12" s="12"/>
      <c r="G12" s="6">
        <f>IF(OR(A12="",B12="SKU no encontrado"),"",IF(INDEX(Catalogo!$H$5:$H$905,MATCH(A12,Catalogo!$A$5:$A$905,0))=0,"",INDEX(Catalogo!$H$5:$H$905,MATCH(A12,Catalogo!$A$5:$A$905,0))))</f>
        <v>54426.142999999996</v>
      </c>
      <c r="H12" s="13" t="str">
        <f t="shared" si="0"/>
        <v/>
      </c>
      <c r="I12" s="6" t="str">
        <f t="shared" si="1"/>
        <v/>
      </c>
      <c r="J12" s="6" t="str">
        <f t="shared" si="2"/>
        <v/>
      </c>
      <c r="K12" s="6" t="str">
        <f t="shared" si="3"/>
        <v/>
      </c>
      <c r="L12" t="str">
        <f t="shared" si="4"/>
        <v>Completar precio unitario</v>
      </c>
      <c r="M12" t="s">
        <v>1838</v>
      </c>
      <c r="N12" s="18">
        <v>298.125</v>
      </c>
      <c r="O12">
        <v>1</v>
      </c>
      <c r="P12">
        <v>35</v>
      </c>
      <c r="Q12" s="6">
        <f t="shared" si="5"/>
        <v>3401.6339374999998</v>
      </c>
    </row>
    <row r="13" spans="1:17" ht="30" customHeight="1">
      <c r="A13" s="17" t="s">
        <v>1020</v>
      </c>
      <c r="B13" s="5" t="str">
        <f>IF(A13="","",IF(COUNTIF(Catalogo!$A$5:$A$905,A13)=0,"SKU no encontrado",INDEX(Catalogo!$B$5:$B$905,MATCH(A13,Catalogo!$A$5:$A$905,0))))</f>
        <v>GATORADE NS FRESA KIWI PET X6 40</v>
      </c>
      <c r="C13">
        <f>IF(OR(A13="",B13="SKU no encontrado"),"",INDEX(Catalogo!$C$5:$C$905,MATCH(A13,Catalogo!$A$5:$A$905,0)))</f>
        <v>6</v>
      </c>
      <c r="D13" s="19">
        <v>46321</v>
      </c>
      <c r="E13" s="20">
        <v>217</v>
      </c>
      <c r="F13" s="12"/>
      <c r="G13" s="6">
        <f>IF(OR(A13="",B13="SKU no encontrado"),"",IF(INDEX(Catalogo!$H$5:$H$905,MATCH(A13,Catalogo!$A$5:$A$905,0))=0,"",INDEX(Catalogo!$H$5:$H$905,MATCH(A13,Catalogo!$A$5:$A$905,0))))</f>
        <v>8813.8080000000009</v>
      </c>
      <c r="H13" s="13" t="str">
        <f t="shared" si="0"/>
        <v/>
      </c>
      <c r="I13" s="6" t="str">
        <f t="shared" si="1"/>
        <v/>
      </c>
      <c r="J13" s="6" t="str">
        <f t="shared" si="2"/>
        <v/>
      </c>
      <c r="K13" s="6" t="str">
        <f t="shared" si="3"/>
        <v/>
      </c>
      <c r="L13" t="str">
        <f t="shared" si="4"/>
        <v>Completar precio unitario</v>
      </c>
      <c r="M13" t="s">
        <v>1838</v>
      </c>
      <c r="N13" s="18">
        <v>217</v>
      </c>
      <c r="O13">
        <v>1</v>
      </c>
      <c r="P13">
        <v>36</v>
      </c>
      <c r="Q13" s="6">
        <f t="shared" si="5"/>
        <v>1468.9680000000001</v>
      </c>
    </row>
    <row r="14" spans="1:17" ht="30" customHeight="1">
      <c r="A14" s="17" t="s">
        <v>485</v>
      </c>
      <c r="B14" s="5" t="str">
        <f>IF(A14="","",IF(COUNTIF(Catalogo!$A$5:$A$905,A14)=0,"SKU no encontrado",INDEX(Catalogo!$B$5:$B$905,MATCH(A14,Catalogo!$A$5:$A$905,0))))</f>
        <v>ANDES ORIGEN ROJA RET X12 1000</v>
      </c>
      <c r="C14">
        <f>IF(OR(A14="",B14="SKU no encontrado"),"",INDEX(Catalogo!$C$5:$C$905,MATCH(A14,Catalogo!$A$5:$A$905,0)))</f>
        <v>12</v>
      </c>
      <c r="D14" s="19">
        <v>46326</v>
      </c>
      <c r="E14" s="20">
        <v>100</v>
      </c>
      <c r="F14" s="12"/>
      <c r="G14" s="6">
        <f>IF(OR(A14="",B14="SKU no encontrado"),"",IF(INDEX(Catalogo!$H$5:$H$905,MATCH(A14,Catalogo!$A$5:$A$905,0))=0,"",INDEX(Catalogo!$H$5:$H$905,MATCH(A14,Catalogo!$A$5:$A$905,0))))</f>
        <v>50984.146000000001</v>
      </c>
      <c r="H14" s="13" t="str">
        <f t="shared" si="0"/>
        <v/>
      </c>
      <c r="I14" s="6" t="str">
        <f t="shared" si="1"/>
        <v/>
      </c>
      <c r="J14" s="6" t="str">
        <f t="shared" si="2"/>
        <v/>
      </c>
      <c r="K14" s="6" t="str">
        <f t="shared" si="3"/>
        <v/>
      </c>
      <c r="L14" t="str">
        <f t="shared" si="4"/>
        <v>Completar precio unitario</v>
      </c>
      <c r="M14" t="s">
        <v>1838</v>
      </c>
      <c r="N14" s="18">
        <v>100</v>
      </c>
      <c r="O14">
        <v>1</v>
      </c>
      <c r="P14">
        <v>41</v>
      </c>
      <c r="Q14" s="6">
        <f t="shared" si="5"/>
        <v>4248.6788333333334</v>
      </c>
    </row>
    <row r="15" spans="1:17" ht="30" customHeight="1">
      <c r="A15" s="17" t="s">
        <v>879</v>
      </c>
      <c r="B15" s="5" t="str">
        <f>IF(A15="","",IF(COUNTIF(Catalogo!$A$5:$A$905,A15)=0,"SKU no encontrado",INDEX(Catalogo!$B$5:$B$905,MATCH(A15,Catalogo!$A$5:$A$905,0))))</f>
        <v>PDT TONICA CAN 4X6 269CC 169 BULTOS</v>
      </c>
      <c r="C15">
        <f>IF(OR(A15="",B15="SKU no encontrado"),"",INDEX(Catalogo!$C$5:$C$905,MATCH(A15,Catalogo!$A$5:$A$905,0)))</f>
        <v>24</v>
      </c>
      <c r="D15" s="19">
        <v>46328</v>
      </c>
      <c r="E15" s="20">
        <v>165.3333333333</v>
      </c>
      <c r="F15" s="12"/>
      <c r="G15" s="6">
        <f>IF(OR(A15="",B15="SKU no encontrado"),"",IF(INDEX(Catalogo!$H$5:$H$905,MATCH(A15,Catalogo!$A$5:$A$905,0))=0,"",INDEX(Catalogo!$H$5:$H$905,MATCH(A15,Catalogo!$A$5:$A$905,0))))</f>
        <v>23665.952000000001</v>
      </c>
      <c r="H15" s="13" t="str">
        <f t="shared" si="0"/>
        <v/>
      </c>
      <c r="I15" s="6" t="str">
        <f t="shared" si="1"/>
        <v/>
      </c>
      <c r="J15" s="6" t="str">
        <f t="shared" si="2"/>
        <v/>
      </c>
      <c r="K15" s="6" t="str">
        <f t="shared" si="3"/>
        <v/>
      </c>
      <c r="L15" t="str">
        <f t="shared" si="4"/>
        <v>Completar precio unitario</v>
      </c>
      <c r="M15" t="s">
        <v>1838</v>
      </c>
      <c r="N15" s="18">
        <v>165.3333333333</v>
      </c>
      <c r="O15">
        <v>1</v>
      </c>
      <c r="P15">
        <v>43</v>
      </c>
      <c r="Q15" s="6">
        <f t="shared" si="5"/>
        <v>986.08133333333342</v>
      </c>
    </row>
    <row r="16" spans="1:17" ht="30" customHeight="1">
      <c r="A16" s="17" t="s">
        <v>881</v>
      </c>
      <c r="B16" s="5" t="str">
        <f>IF(A16="","",IF(COUNTIF(Catalogo!$A$5:$A$905,A16)=0,"SKU no encontrado",INDEX(Catalogo!$B$5:$B$905,MATCH(A16,Catalogo!$A$5:$A$905,0))))</f>
        <v>PDT POMELO CAN 4X6 269CC 169 BULTOS</v>
      </c>
      <c r="C16">
        <f>IF(OR(A16="",B16="SKU no encontrado"),"",INDEX(Catalogo!$C$5:$C$905,MATCH(A16,Catalogo!$A$5:$A$905,0)))</f>
        <v>24</v>
      </c>
      <c r="D16" s="19">
        <v>46328</v>
      </c>
      <c r="E16" s="20">
        <v>135.2916666667</v>
      </c>
      <c r="F16" s="12"/>
      <c r="G16" s="6">
        <f>IF(OR(A16="",B16="SKU no encontrado"),"",IF(INDEX(Catalogo!$H$5:$H$905,MATCH(A16,Catalogo!$A$5:$A$905,0))=0,"",INDEX(Catalogo!$H$5:$H$905,MATCH(A16,Catalogo!$A$5:$A$905,0))))</f>
        <v>23665.952000000001</v>
      </c>
      <c r="H16" s="13" t="str">
        <f t="shared" si="0"/>
        <v/>
      </c>
      <c r="I16" s="6" t="str">
        <f t="shared" si="1"/>
        <v/>
      </c>
      <c r="J16" s="6" t="str">
        <f t="shared" si="2"/>
        <v/>
      </c>
      <c r="K16" s="6" t="str">
        <f t="shared" si="3"/>
        <v/>
      </c>
      <c r="L16" t="str">
        <f t="shared" si="4"/>
        <v>Completar precio unitario</v>
      </c>
      <c r="M16" t="s">
        <v>1838</v>
      </c>
      <c r="N16" s="18">
        <v>135.2916666667</v>
      </c>
      <c r="O16">
        <v>1</v>
      </c>
      <c r="P16">
        <v>43</v>
      </c>
      <c r="Q16" s="6">
        <f t="shared" si="5"/>
        <v>986.08133333333342</v>
      </c>
    </row>
    <row r="17" spans="1:17" ht="30" customHeight="1">
      <c r="A17" s="17" t="s">
        <v>903</v>
      </c>
      <c r="B17" s="5" t="str">
        <f>IF(A17="","",IF(COUNTIF(Catalogo!$A$5:$A$905,A17)=0,"SKU no encontrado",INDEX(Catalogo!$B$5:$B$905,MATCH(A17,Catalogo!$A$5:$A$905,0))))</f>
        <v>ANDES ORIGEN RUBIA ORO CAN 4X6 473CC</v>
      </c>
      <c r="C17">
        <f>IF(OR(A17="",B17="SKU no encontrado"),"",INDEX(Catalogo!$C$5:$C$905,MATCH(A17,Catalogo!$A$5:$A$905,0)))</f>
        <v>24</v>
      </c>
      <c r="D17" s="19">
        <v>46336</v>
      </c>
      <c r="E17" s="20">
        <v>77.458333333300004</v>
      </c>
      <c r="F17" s="12"/>
      <c r="G17" s="6">
        <f>IF(OR(A17="",B17="SKU no encontrado"),"",IF(INDEX(Catalogo!$H$5:$H$905,MATCH(A17,Catalogo!$A$5:$A$905,0))=0,"",INDEX(Catalogo!$H$5:$H$905,MATCH(A17,Catalogo!$A$5:$A$905,0))))</f>
        <v>57555.616999999998</v>
      </c>
      <c r="H17" s="13" t="str">
        <f t="shared" si="0"/>
        <v/>
      </c>
      <c r="I17" s="6" t="str">
        <f t="shared" si="1"/>
        <v/>
      </c>
      <c r="J17" s="6" t="str">
        <f t="shared" si="2"/>
        <v/>
      </c>
      <c r="K17" s="6" t="str">
        <f t="shared" si="3"/>
        <v/>
      </c>
      <c r="L17" t="str">
        <f t="shared" si="4"/>
        <v>Completar precio unitario</v>
      </c>
      <c r="M17" t="s">
        <v>1838</v>
      </c>
      <c r="N17" s="18">
        <v>77.458333333300004</v>
      </c>
      <c r="O17">
        <v>1</v>
      </c>
      <c r="P17">
        <v>48</v>
      </c>
      <c r="Q17" s="6">
        <f t="shared" si="5"/>
        <v>2398.1507083333331</v>
      </c>
    </row>
    <row r="18" spans="1:17" ht="30" customHeight="1">
      <c r="A18" s="17" t="s">
        <v>694</v>
      </c>
      <c r="B18" s="5" t="str">
        <f>IF(A18="","",IF(COUNTIF(Catalogo!$A$5:$A$905,A18)=0,"SKU no encontrado",INDEX(Catalogo!$B$5:$B$905,MATCH(A18,Catalogo!$A$5:$A$905,0))))</f>
        <v>GATORADE NARANJA PET X6 1250CC</v>
      </c>
      <c r="C18">
        <f>IF(OR(A18="",B18="SKU no encontrado"),"",INDEX(Catalogo!$C$5:$C$905,MATCH(A18,Catalogo!$A$5:$A$905,0)))</f>
        <v>6</v>
      </c>
      <c r="D18" s="19">
        <v>46337</v>
      </c>
      <c r="E18" s="20">
        <v>22</v>
      </c>
      <c r="F18" s="12"/>
      <c r="G18" s="6">
        <f>IF(OR(A18="",B18="SKU no encontrado"),"",IF(INDEX(Catalogo!$H$5:$H$905,MATCH(A18,Catalogo!$A$5:$A$905,0))=0,"",INDEX(Catalogo!$H$5:$H$905,MATCH(A18,Catalogo!$A$5:$A$905,0))))</f>
        <v>26114.945</v>
      </c>
      <c r="H18" s="13" t="str">
        <f t="shared" si="0"/>
        <v/>
      </c>
      <c r="I18" s="6" t="str">
        <f t="shared" si="1"/>
        <v/>
      </c>
      <c r="J18" s="6" t="str">
        <f t="shared" si="2"/>
        <v/>
      </c>
      <c r="K18" s="6" t="str">
        <f t="shared" si="3"/>
        <v/>
      </c>
      <c r="L18" t="str">
        <f t="shared" si="4"/>
        <v>Completar precio unitario</v>
      </c>
      <c r="M18" t="s">
        <v>1838</v>
      </c>
      <c r="N18" s="18">
        <v>22</v>
      </c>
      <c r="O18">
        <v>1</v>
      </c>
      <c r="P18">
        <v>52</v>
      </c>
      <c r="Q18" s="6">
        <f t="shared" si="5"/>
        <v>4352.4908333333333</v>
      </c>
    </row>
    <row r="19" spans="1:17" ht="30" customHeight="1">
      <c r="A19" s="17" t="s">
        <v>830</v>
      </c>
      <c r="B19" s="5" t="str">
        <f>IF(A19="","",IF(COUNTIF(Catalogo!$A$5:$A$905,A19)=0,"SKU no encontrado",INDEX(Catalogo!$B$5:$B$905,MATCH(A19,Catalogo!$A$5:$A$905,0))))</f>
        <v>MIRINDA NAR CAN 130 BUL/PAL 4X6 354CC</v>
      </c>
      <c r="C19">
        <f>IF(OR(A19="",B19="SKU no encontrado"),"",INDEX(Catalogo!$C$5:$C$905,MATCH(A19,Catalogo!$A$5:$A$905,0)))</f>
        <v>24</v>
      </c>
      <c r="D19" s="19">
        <v>46337</v>
      </c>
      <c r="E19" s="20">
        <v>124.4166666667</v>
      </c>
      <c r="F19" s="12"/>
      <c r="G19" s="6">
        <f>IF(OR(A19="",B19="SKU no encontrado"),"",IF(INDEX(Catalogo!$H$5:$H$905,MATCH(A19,Catalogo!$A$5:$A$905,0))=0,"",INDEX(Catalogo!$H$5:$H$905,MATCH(A19,Catalogo!$A$5:$A$905,0))))</f>
        <v>33511.089</v>
      </c>
      <c r="H19" s="13" t="str">
        <f t="shared" si="0"/>
        <v/>
      </c>
      <c r="I19" s="6" t="str">
        <f t="shared" si="1"/>
        <v/>
      </c>
      <c r="J19" s="6" t="str">
        <f t="shared" si="2"/>
        <v/>
      </c>
      <c r="K19" s="6" t="str">
        <f t="shared" si="3"/>
        <v/>
      </c>
      <c r="L19" t="str">
        <f t="shared" si="4"/>
        <v>Completar precio unitario</v>
      </c>
      <c r="M19" t="s">
        <v>1838</v>
      </c>
      <c r="N19" s="18">
        <v>124.4166666667</v>
      </c>
      <c r="O19">
        <v>1</v>
      </c>
      <c r="P19">
        <v>52</v>
      </c>
      <c r="Q19" s="6">
        <f t="shared" si="5"/>
        <v>1396.2953749999999</v>
      </c>
    </row>
    <row r="20" spans="1:17" ht="30" customHeight="1">
      <c r="A20" s="17" t="s">
        <v>924</v>
      </c>
      <c r="B20" s="5" t="str">
        <f>IF(A20="","",IF(COUNTIF(Catalogo!$A$5:$A$905,A20)=0,"SKU no encontrado",INDEX(Catalogo!$B$5:$B$905,MATCH(A20,Catalogo!$A$5:$A$905,0))))</f>
        <v>H2OH STILL POMELO PET X8 2000CC</v>
      </c>
      <c r="C20">
        <f>IF(OR(A20="",B20="SKU no encontrado"),"",INDEX(Catalogo!$C$5:$C$905,MATCH(A20,Catalogo!$A$5:$A$905,0)))</f>
        <v>8</v>
      </c>
      <c r="D20" s="19">
        <v>46340</v>
      </c>
      <c r="E20" s="20">
        <v>52</v>
      </c>
      <c r="F20" s="12"/>
      <c r="G20" s="6">
        <f>IF(OR(A20="",B20="SKU no encontrado"),"",IF(INDEX(Catalogo!$H$5:$H$905,MATCH(A20,Catalogo!$A$5:$A$905,0))=0,"",INDEX(Catalogo!$H$5:$H$905,MATCH(A20,Catalogo!$A$5:$A$905,0))))</f>
        <v>27312.145</v>
      </c>
      <c r="H20" s="13" t="str">
        <f t="shared" si="0"/>
        <v/>
      </c>
      <c r="I20" s="6" t="str">
        <f t="shared" si="1"/>
        <v/>
      </c>
      <c r="J20" s="6" t="str">
        <f t="shared" si="2"/>
        <v/>
      </c>
      <c r="K20" s="6" t="str">
        <f t="shared" si="3"/>
        <v/>
      </c>
      <c r="L20" t="str">
        <f t="shared" si="4"/>
        <v>Completar precio unitario</v>
      </c>
      <c r="M20" t="s">
        <v>1838</v>
      </c>
      <c r="N20" s="18">
        <v>52</v>
      </c>
      <c r="O20">
        <v>1</v>
      </c>
      <c r="P20">
        <v>55</v>
      </c>
      <c r="Q20" s="6">
        <f t="shared" si="5"/>
        <v>3414.0181250000001</v>
      </c>
    </row>
    <row r="21" spans="1:17" ht="30" customHeight="1">
      <c r="A21" s="17" t="s">
        <v>472</v>
      </c>
      <c r="B21" s="5" t="str">
        <f>IF(A21="","",IF(COUNTIF(Catalogo!$A$5:$A$905,A21)=0,"SKU no encontrado",INDEX(Catalogo!$B$5:$B$905,MATCH(A21,Catalogo!$A$5:$A$905,0))))</f>
        <v>PATAGONIA AMBER CAN 4X6 473 CART</v>
      </c>
      <c r="C21">
        <f>IF(OR(A21="",B21="SKU no encontrado"),"",INDEX(Catalogo!$C$5:$C$905,MATCH(A21,Catalogo!$A$5:$A$905,0)))</f>
        <v>24</v>
      </c>
      <c r="D21" s="19">
        <v>46350</v>
      </c>
      <c r="E21" s="20">
        <v>117.25</v>
      </c>
      <c r="F21" s="12"/>
      <c r="G21" s="6">
        <f>IF(OR(A21="",B21="SKU no encontrado"),"",IF(INDEX(Catalogo!$H$5:$H$905,MATCH(A21,Catalogo!$A$5:$A$905,0))=0,"",INDEX(Catalogo!$H$5:$H$905,MATCH(A21,Catalogo!$A$5:$A$905,0))))</f>
        <v>79485.894</v>
      </c>
      <c r="H21" s="13" t="str">
        <f t="shared" si="0"/>
        <v/>
      </c>
      <c r="I21" s="6" t="str">
        <f t="shared" si="1"/>
        <v/>
      </c>
      <c r="J21" s="6" t="str">
        <f t="shared" si="2"/>
        <v/>
      </c>
      <c r="K21" s="6" t="str">
        <f t="shared" si="3"/>
        <v/>
      </c>
      <c r="L21" t="str">
        <f t="shared" si="4"/>
        <v>Completar precio unitario</v>
      </c>
      <c r="M21" t="s">
        <v>1838</v>
      </c>
      <c r="N21" s="18">
        <v>117.25</v>
      </c>
      <c r="O21">
        <v>1</v>
      </c>
      <c r="P21">
        <v>65</v>
      </c>
      <c r="Q21" s="6">
        <f t="shared" si="5"/>
        <v>3311.9122499999999</v>
      </c>
    </row>
    <row r="22" spans="1:17" ht="30" customHeight="1">
      <c r="A22" s="17" t="s">
        <v>322</v>
      </c>
      <c r="B22" s="5" t="str">
        <f>IF(A22="","",IF(COUNTIF(Catalogo!$A$5:$A$905,A22)=0,"SKU no encontrado",INDEX(Catalogo!$B$5:$B$905,MATCH(A22,Catalogo!$A$5:$A$905,0))))</f>
        <v>H2OH CITRUS  X6 PET1500#</v>
      </c>
      <c r="C22">
        <f>IF(OR(A22="",B22="SKU no encontrado"),"",INDEX(Catalogo!$C$5:$C$905,MATCH(A22,Catalogo!$A$5:$A$905,0)))</f>
        <v>6</v>
      </c>
      <c r="D22" s="19">
        <v>46352</v>
      </c>
      <c r="E22" s="20">
        <v>118</v>
      </c>
      <c r="F22" s="12"/>
      <c r="G22" s="6">
        <f>IF(OR(A22="",B22="SKU no encontrado"),"",IF(INDEX(Catalogo!$H$5:$H$905,MATCH(A22,Catalogo!$A$5:$A$905,0))=0,"",INDEX(Catalogo!$H$5:$H$905,MATCH(A22,Catalogo!$A$5:$A$905,0))))</f>
        <v>17720.865000000002</v>
      </c>
      <c r="H22" s="13" t="str">
        <f t="shared" si="0"/>
        <v/>
      </c>
      <c r="I22" s="6" t="str">
        <f t="shared" si="1"/>
        <v/>
      </c>
      <c r="J22" s="6" t="str">
        <f t="shared" si="2"/>
        <v/>
      </c>
      <c r="K22" s="6" t="str">
        <f t="shared" si="3"/>
        <v/>
      </c>
      <c r="L22" t="str">
        <f t="shared" si="4"/>
        <v>Completar precio unitario</v>
      </c>
      <c r="M22" t="s">
        <v>1838</v>
      </c>
      <c r="N22" s="18">
        <v>118</v>
      </c>
      <c r="O22">
        <v>1</v>
      </c>
      <c r="P22">
        <v>67</v>
      </c>
      <c r="Q22" s="6">
        <f t="shared" si="5"/>
        <v>2953.4775000000004</v>
      </c>
    </row>
    <row r="23" spans="1:17" ht="30" customHeight="1">
      <c r="A23" s="17" t="s">
        <v>982</v>
      </c>
      <c r="B23" s="5" t="str">
        <f>IF(A23="","",IF(COUNTIF(Catalogo!$A$5:$A$905,A23)=0,"SKU no encontrado",INDEX(Catalogo!$B$5:$B$905,MATCH(A23,Catalogo!$A$5:$A$905,0))))</f>
        <v>H2OH S/GAS NARANJA PET X6 500CC</v>
      </c>
      <c r="C23">
        <f>IF(OR(A23="",B23="SKU no encontrado"),"",INDEX(Catalogo!$C$5:$C$905,MATCH(A23,Catalogo!$A$5:$A$905,0)))</f>
        <v>6</v>
      </c>
      <c r="D23" s="19">
        <v>46356</v>
      </c>
      <c r="E23" s="20">
        <v>207</v>
      </c>
      <c r="F23" s="12"/>
      <c r="G23" s="6">
        <f>IF(OR(A23="",B23="SKU no encontrado"),"",IF(INDEX(Catalogo!$H$5:$H$905,MATCH(A23,Catalogo!$A$5:$A$905,0))=0,"",INDEX(Catalogo!$H$5:$H$905,MATCH(A23,Catalogo!$A$5:$A$905,0))))</f>
        <v>8378.4660000000003</v>
      </c>
      <c r="H23" s="13" t="str">
        <f t="shared" si="0"/>
        <v/>
      </c>
      <c r="I23" s="6" t="str">
        <f t="shared" si="1"/>
        <v/>
      </c>
      <c r="J23" s="6" t="str">
        <f t="shared" si="2"/>
        <v/>
      </c>
      <c r="K23" s="6" t="str">
        <f t="shared" si="3"/>
        <v/>
      </c>
      <c r="L23" t="str">
        <f t="shared" si="4"/>
        <v>Completar precio unitario</v>
      </c>
      <c r="M23" t="s">
        <v>1838</v>
      </c>
      <c r="N23" s="18">
        <v>207</v>
      </c>
      <c r="O23">
        <v>1</v>
      </c>
      <c r="P23">
        <v>71</v>
      </c>
      <c r="Q23" s="6">
        <f t="shared" si="5"/>
        <v>1396.4110000000001</v>
      </c>
    </row>
    <row r="24" spans="1:17" ht="30" customHeight="1">
      <c r="A24" s="17" t="s">
        <v>766</v>
      </c>
      <c r="B24" s="5" t="str">
        <f>IF(A24="","",IF(COUNTIF(Catalogo!$A$5:$A$905,A24)=0,"SKU no encontrado",INDEX(Catalogo!$B$5:$B$905,MATCH(A24,Catalogo!$A$5:$A$905,0))))</f>
        <v>BUDWEISER CAN 4X4 710CC</v>
      </c>
      <c r="C24">
        <f>IF(OR(A24="",B24="SKU no encontrado"),"",INDEX(Catalogo!$C$5:$C$905,MATCH(A24,Catalogo!$A$5:$A$905,0)))</f>
        <v>16</v>
      </c>
      <c r="D24" s="19">
        <v>46362</v>
      </c>
      <c r="E24" s="20">
        <v>384</v>
      </c>
      <c r="F24" s="12"/>
      <c r="G24" s="6">
        <f>IF(OR(A24="",B24="SKU no encontrado"),"",IF(INDEX(Catalogo!$H$5:$H$905,MATCH(A24,Catalogo!$A$5:$A$905,0))=0,"",INDEX(Catalogo!$H$5:$H$905,MATCH(A24,Catalogo!$A$5:$A$905,0))))</f>
        <v>47124.735000000001</v>
      </c>
      <c r="H24" s="13" t="str">
        <f t="shared" si="0"/>
        <v/>
      </c>
      <c r="I24" s="6" t="str">
        <f t="shared" si="1"/>
        <v/>
      </c>
      <c r="J24" s="6" t="str">
        <f t="shared" si="2"/>
        <v/>
      </c>
      <c r="K24" s="6" t="str">
        <f t="shared" si="3"/>
        <v/>
      </c>
      <c r="L24" t="str">
        <f t="shared" si="4"/>
        <v>Completar precio unitario</v>
      </c>
      <c r="M24" t="s">
        <v>1838</v>
      </c>
      <c r="N24" s="18">
        <v>384</v>
      </c>
      <c r="O24">
        <v>2</v>
      </c>
      <c r="P24">
        <v>77</v>
      </c>
      <c r="Q24" s="6">
        <f t="shared" si="5"/>
        <v>2945.2959375</v>
      </c>
    </row>
    <row r="25" spans="1:17" ht="30" customHeight="1">
      <c r="A25" s="17" t="s">
        <v>857</v>
      </c>
      <c r="B25" s="5" t="str">
        <f>IF(A25="","",IF(COUNTIF(Catalogo!$A$5:$A$905,A25)=0,"SKU no encontrado",INDEX(Catalogo!$B$5:$B$905,MATCH(A25,Catalogo!$A$5:$A$905,0))))</f>
        <v>H2OH STILL MANZANA PET X6 1.500L 96 BUL</v>
      </c>
      <c r="C25">
        <f>IF(OR(A25="",B25="SKU no encontrado"),"",INDEX(Catalogo!$C$5:$C$905,MATCH(A25,Catalogo!$A$5:$A$905,0)))</f>
        <v>6</v>
      </c>
      <c r="D25" s="19">
        <v>46362</v>
      </c>
      <c r="E25" s="20">
        <v>192</v>
      </c>
      <c r="F25" s="12"/>
      <c r="G25" s="6">
        <f>IF(OR(A25="",B25="SKU no encontrado"),"",IF(INDEX(Catalogo!$H$5:$H$905,MATCH(A25,Catalogo!$A$5:$A$905,0))=0,"",INDEX(Catalogo!$H$5:$H$905,MATCH(A25,Catalogo!$A$5:$A$905,0))))</f>
        <v>17690.571</v>
      </c>
      <c r="H25" s="13" t="str">
        <f t="shared" si="0"/>
        <v/>
      </c>
      <c r="I25" s="6" t="str">
        <f t="shared" si="1"/>
        <v/>
      </c>
      <c r="J25" s="6" t="str">
        <f t="shared" si="2"/>
        <v/>
      </c>
      <c r="K25" s="6" t="str">
        <f t="shared" si="3"/>
        <v/>
      </c>
      <c r="L25" t="str">
        <f t="shared" si="4"/>
        <v>Completar precio unitario</v>
      </c>
      <c r="M25" t="s">
        <v>1838</v>
      </c>
      <c r="N25" s="18">
        <v>192</v>
      </c>
      <c r="O25">
        <v>2</v>
      </c>
      <c r="P25">
        <v>77</v>
      </c>
      <c r="Q25" s="6">
        <f t="shared" si="5"/>
        <v>2948.4285</v>
      </c>
    </row>
    <row r="26" spans="1:17" ht="30" customHeight="1">
      <c r="A26" s="17" t="s">
        <v>859</v>
      </c>
      <c r="B26" s="5" t="str">
        <f>IF(A26="","",IF(COUNTIF(Catalogo!$A$5:$A$905,A26)=0,"SKU no encontrado",INDEX(Catalogo!$B$5:$B$905,MATCH(A26,Catalogo!$A$5:$A$905,0))))</f>
        <v>H2OH STILL POMELO PET X6 1.500L 96 BUL</v>
      </c>
      <c r="C26">
        <f>IF(OR(A26="",B26="SKU no encontrado"),"",INDEX(Catalogo!$C$5:$C$905,MATCH(A26,Catalogo!$A$5:$A$905,0)))</f>
        <v>6</v>
      </c>
      <c r="D26" s="19">
        <v>46367</v>
      </c>
      <c r="E26" s="20">
        <v>192</v>
      </c>
      <c r="F26" s="12"/>
      <c r="G26" s="6">
        <f>IF(OR(A26="",B26="SKU no encontrado"),"",IF(INDEX(Catalogo!$H$5:$H$905,MATCH(A26,Catalogo!$A$5:$A$905,0))=0,"",INDEX(Catalogo!$H$5:$H$905,MATCH(A26,Catalogo!$A$5:$A$905,0))))</f>
        <v>17690.571</v>
      </c>
      <c r="H26" s="13" t="str">
        <f t="shared" si="0"/>
        <v/>
      </c>
      <c r="I26" s="6" t="str">
        <f t="shared" si="1"/>
        <v/>
      </c>
      <c r="J26" s="6" t="str">
        <f t="shared" si="2"/>
        <v/>
      </c>
      <c r="K26" s="6" t="str">
        <f t="shared" si="3"/>
        <v/>
      </c>
      <c r="L26" t="str">
        <f t="shared" si="4"/>
        <v>Completar precio unitario</v>
      </c>
      <c r="M26" t="s">
        <v>1838</v>
      </c>
      <c r="N26" s="18">
        <v>192</v>
      </c>
      <c r="O26">
        <v>2</v>
      </c>
      <c r="P26">
        <v>82</v>
      </c>
      <c r="Q26" s="6">
        <f t="shared" si="5"/>
        <v>2948.4285</v>
      </c>
    </row>
    <row r="27" spans="1:17" ht="30" customHeight="1">
      <c r="A27" s="17" t="s">
        <v>758</v>
      </c>
      <c r="B27" s="5" t="str">
        <f>IF(A27="","",IF(COUNTIF(Catalogo!$A$5:$A$905,A27)=0,"SKU no encontrado",INDEX(Catalogo!$B$5:$B$905,MATCH(A27,Catalogo!$A$5:$A$905,0))))</f>
        <v>QUILMES IPA CAN 4X6 473CC</v>
      </c>
      <c r="C27">
        <f>IF(OR(A27="",B27="SKU no encontrado"),"",INDEX(Catalogo!$C$5:$C$905,MATCH(A27,Catalogo!$A$5:$A$905,0)))</f>
        <v>24</v>
      </c>
      <c r="D27" s="19">
        <v>46396</v>
      </c>
      <c r="E27" s="20">
        <v>370.8333333333</v>
      </c>
      <c r="F27" s="12"/>
      <c r="G27" s="6">
        <f>IF(OR(A27="",B27="SKU no encontrado"),"",IF(INDEX(Catalogo!$H$5:$H$905,MATCH(A27,Catalogo!$A$5:$A$905,0))=0,"",INDEX(Catalogo!$H$5:$H$905,MATCH(A27,Catalogo!$A$5:$A$905,0))))</f>
        <v>48405.919000000002</v>
      </c>
      <c r="H27" s="13" t="str">
        <f t="shared" si="0"/>
        <v/>
      </c>
      <c r="I27" s="6" t="str">
        <f t="shared" si="1"/>
        <v/>
      </c>
      <c r="J27" s="6" t="str">
        <f t="shared" si="2"/>
        <v/>
      </c>
      <c r="K27" s="6" t="str">
        <f t="shared" si="3"/>
        <v/>
      </c>
      <c r="L27" t="str">
        <f t="shared" si="4"/>
        <v>Completar precio unitario</v>
      </c>
      <c r="M27" t="s">
        <v>1838</v>
      </c>
      <c r="N27" s="18">
        <v>370.8333333333</v>
      </c>
      <c r="O27">
        <v>1</v>
      </c>
      <c r="P27">
        <v>111</v>
      </c>
      <c r="Q27" s="6">
        <f t="shared" si="5"/>
        <v>2016.9132916666667</v>
      </c>
    </row>
    <row r="28" spans="1:17" ht="30" customHeight="1">
      <c r="A28" s="17" t="s">
        <v>814</v>
      </c>
      <c r="B28" s="5" t="str">
        <f>IF(A28="","",IF(COUNTIF(Catalogo!$A$5:$A$905,A28)=0,"SKU no encontrado",INDEX(Catalogo!$B$5:$B$905,MATCH(A28,Catalogo!$A$5:$A$905,0))))</f>
        <v>H2OH STILL LIMON PET X6 500CC</v>
      </c>
      <c r="C28">
        <f>IF(OR(A28="",B28="SKU no encontrado"),"",INDEX(Catalogo!$C$5:$C$905,MATCH(A28,Catalogo!$A$5:$A$905,0)))</f>
        <v>6</v>
      </c>
      <c r="D28" s="19">
        <v>46396</v>
      </c>
      <c r="E28" s="20">
        <v>336</v>
      </c>
      <c r="F28" s="12"/>
      <c r="G28" s="6">
        <f>IF(OR(A28="",B28="SKU no encontrado"),"",IF(INDEX(Catalogo!$H$5:$H$905,MATCH(A28,Catalogo!$A$5:$A$905,0))=0,"",INDEX(Catalogo!$H$5:$H$905,MATCH(A28,Catalogo!$A$5:$A$905,0))))</f>
        <v>8378.4660000000003</v>
      </c>
      <c r="H28" s="13" t="str">
        <f t="shared" si="0"/>
        <v/>
      </c>
      <c r="I28" s="6" t="str">
        <f t="shared" si="1"/>
        <v/>
      </c>
      <c r="J28" s="6" t="str">
        <f t="shared" si="2"/>
        <v/>
      </c>
      <c r="K28" s="6" t="str">
        <f t="shared" si="3"/>
        <v/>
      </c>
      <c r="L28" t="str">
        <f t="shared" si="4"/>
        <v>Completar precio unitario</v>
      </c>
      <c r="M28" t="s">
        <v>1838</v>
      </c>
      <c r="N28" s="18">
        <v>336</v>
      </c>
      <c r="O28">
        <v>2</v>
      </c>
      <c r="P28">
        <v>111</v>
      </c>
      <c r="Q28" s="6">
        <f t="shared" si="5"/>
        <v>1396.4110000000001</v>
      </c>
    </row>
    <row r="29" spans="1:17" ht="30" customHeight="1">
      <c r="A29" s="17" t="s">
        <v>82</v>
      </c>
      <c r="B29" s="5" t="str">
        <f>IF(A29="","",IF(COUNTIF(Catalogo!$A$5:$A$905,A29)=0,"SKU no encontrado",INDEX(Catalogo!$B$5:$B$905,MATCH(A29,Catalogo!$A$5:$A$905,0))))</f>
        <v>GATORADE NARANJA * X6 PET 500</v>
      </c>
      <c r="C29">
        <f>IF(OR(A29="",B29="SKU no encontrado"),"",INDEX(Catalogo!$C$5:$C$905,MATCH(A29,Catalogo!$A$5:$A$905,0)))</f>
        <v>6</v>
      </c>
      <c r="D29" s="19">
        <v>46424</v>
      </c>
      <c r="E29" s="20">
        <v>315</v>
      </c>
      <c r="F29" s="12"/>
      <c r="G29" s="6">
        <f>IF(OR(A29="",B29="SKU no encontrado"),"",IF(INDEX(Catalogo!$H$5:$H$905,MATCH(A29,Catalogo!$A$5:$A$905,0))=0,"",INDEX(Catalogo!$H$5:$H$905,MATCH(A29,Catalogo!$A$5:$A$905,0))))</f>
        <v>12591.147000000001</v>
      </c>
      <c r="H29" s="13" t="str">
        <f t="shared" si="0"/>
        <v/>
      </c>
      <c r="I29" s="6" t="str">
        <f t="shared" si="1"/>
        <v/>
      </c>
      <c r="J29" s="6" t="str">
        <f t="shared" si="2"/>
        <v/>
      </c>
      <c r="K29" s="6" t="str">
        <f t="shared" si="3"/>
        <v/>
      </c>
      <c r="L29" t="str">
        <f t="shared" si="4"/>
        <v>Completar precio unitario</v>
      </c>
      <c r="M29" t="s">
        <v>1838</v>
      </c>
      <c r="N29" s="18">
        <v>315</v>
      </c>
      <c r="O29">
        <v>2</v>
      </c>
      <c r="P29">
        <v>139</v>
      </c>
      <c r="Q29" s="6">
        <f t="shared" si="5"/>
        <v>2098.5245</v>
      </c>
    </row>
    <row r="30" spans="1:17" ht="30" customHeight="1">
      <c r="A30" s="17" t="s">
        <v>905</v>
      </c>
      <c r="B30" s="5" t="str">
        <f>IF(A30="","",IF(COUNTIF(Catalogo!$A$5:$A$905,A30)=0,"SKU no encontrado",INDEX(Catalogo!$B$5:$B$905,MATCH(A30,Catalogo!$A$5:$A$905,0))))</f>
        <v>PATAGONIA LAGER DEL SUR CAN 4X6 473CC</v>
      </c>
      <c r="C30">
        <f>IF(OR(A30="",B30="SKU no encontrado"),"",INDEX(Catalogo!$C$5:$C$905,MATCH(A30,Catalogo!$A$5:$A$905,0)))</f>
        <v>24</v>
      </c>
      <c r="D30" s="19">
        <v>46431</v>
      </c>
      <c r="E30" s="20">
        <v>43.25</v>
      </c>
      <c r="F30" s="12"/>
      <c r="G30" s="6">
        <f>IF(OR(A30="",B30="SKU no encontrado"),"",IF(INDEX(Catalogo!$H$5:$H$905,MATCH(A30,Catalogo!$A$5:$A$905,0))=0,"",INDEX(Catalogo!$H$5:$H$905,MATCH(A30,Catalogo!$A$5:$A$905,0))))</f>
        <v>79485.894</v>
      </c>
      <c r="H30" s="13" t="str">
        <f t="shared" si="0"/>
        <v/>
      </c>
      <c r="I30" s="6" t="str">
        <f t="shared" si="1"/>
        <v/>
      </c>
      <c r="J30" s="6" t="str">
        <f t="shared" si="2"/>
        <v/>
      </c>
      <c r="K30" s="6" t="str">
        <f t="shared" si="3"/>
        <v/>
      </c>
      <c r="L30" t="str">
        <f t="shared" si="4"/>
        <v>Completar precio unitario</v>
      </c>
      <c r="M30" t="s">
        <v>1838</v>
      </c>
      <c r="N30" s="18">
        <v>43.25</v>
      </c>
      <c r="O30">
        <v>1</v>
      </c>
      <c r="P30">
        <v>146</v>
      </c>
      <c r="Q30" s="6">
        <f t="shared" si="5"/>
        <v>3311.9122499999999</v>
      </c>
    </row>
    <row r="31" spans="1:17" ht="30" customHeight="1">
      <c r="A31" s="17" t="s">
        <v>964</v>
      </c>
      <c r="B31" s="5" t="str">
        <f>IF(A31="","",IF(COUNTIF(Catalogo!$A$5:$A$905,A31)=0,"SKU no encontrado",INDEX(Catalogo!$B$5:$B$905,MATCH(A31,Catalogo!$A$5:$A$905,0))))</f>
        <v>3P-LECHE UAT P.DESCREM ANGELITA X12 1L</v>
      </c>
      <c r="C31">
        <f>IF(OR(A31="",B31="SKU no encontrado"),"",INDEX(Catalogo!$C$5:$C$905,MATCH(A31,Catalogo!$A$5:$A$905,0)))</f>
        <v>12</v>
      </c>
      <c r="D31" s="19">
        <v>46490</v>
      </c>
      <c r="E31" s="20">
        <v>15</v>
      </c>
      <c r="F31" s="12"/>
      <c r="G31" s="6">
        <f>IF(OR(A31="",B31="SKU no encontrado"),"",IF(INDEX(Catalogo!$H$5:$H$905,MATCH(A31,Catalogo!$A$5:$A$905,0))=0,"",INDEX(Catalogo!$H$5:$H$905,MATCH(A31,Catalogo!$A$5:$A$905,0))))</f>
        <v>24610.850999999999</v>
      </c>
      <c r="H31" s="13" t="str">
        <f t="shared" si="0"/>
        <v/>
      </c>
      <c r="I31" s="6" t="str">
        <f t="shared" si="1"/>
        <v/>
      </c>
      <c r="J31" s="6" t="str">
        <f t="shared" si="2"/>
        <v/>
      </c>
      <c r="K31" s="6" t="str">
        <f t="shared" si="3"/>
        <v/>
      </c>
      <c r="L31" t="str">
        <f t="shared" si="4"/>
        <v>Completar precio unitario</v>
      </c>
      <c r="M31" t="s">
        <v>1838</v>
      </c>
      <c r="N31" s="18">
        <v>15</v>
      </c>
      <c r="O31">
        <v>1</v>
      </c>
      <c r="P31">
        <v>197</v>
      </c>
      <c r="Q31" s="6">
        <f t="shared" si="5"/>
        <v>2050.90425</v>
      </c>
    </row>
    <row r="32" spans="1:17" ht="30" customHeight="1">
      <c r="A32" s="17" t="s">
        <v>1059</v>
      </c>
      <c r="B32" s="5" t="str">
        <f>IF(A32="","",IF(COUNTIF(Catalogo!$A$5:$A$905,A32)=0,"SKU no encontrado",INDEX(Catalogo!$B$5:$B$905,MATCH(A32,Catalogo!$A$5:$A$905,0))))</f>
        <v>RB ZERO CAN 6X4 250CC</v>
      </c>
      <c r="C32">
        <f>IF(OR(A32="",B32="SKU no encontrado"),"",INDEX(Catalogo!$C$5:$C$905,MATCH(A32,Catalogo!$A$5:$A$905,0)))</f>
        <v>24</v>
      </c>
      <c r="D32" s="19">
        <v>46492</v>
      </c>
      <c r="E32" s="20">
        <v>70</v>
      </c>
      <c r="F32" s="12"/>
      <c r="G32" s="6">
        <f>IF(OR(A32="",B32="SKU no encontrado"),"",IF(INDEX(Catalogo!$H$5:$H$905,MATCH(A32,Catalogo!$A$5:$A$905,0))=0,"",INDEX(Catalogo!$H$5:$H$905,MATCH(A32,Catalogo!$A$5:$A$905,0))))</f>
        <v>65853.251000000004</v>
      </c>
      <c r="H32" s="13" t="str">
        <f t="shared" si="0"/>
        <v/>
      </c>
      <c r="I32" s="6" t="str">
        <f t="shared" si="1"/>
        <v/>
      </c>
      <c r="J32" s="6" t="str">
        <f t="shared" si="2"/>
        <v/>
      </c>
      <c r="K32" s="6" t="str">
        <f t="shared" si="3"/>
        <v/>
      </c>
      <c r="L32" t="str">
        <f t="shared" si="4"/>
        <v>Completar precio unitario</v>
      </c>
      <c r="M32" t="s">
        <v>1838</v>
      </c>
      <c r="N32" s="18">
        <v>70</v>
      </c>
      <c r="O32">
        <v>1</v>
      </c>
      <c r="P32">
        <v>207</v>
      </c>
      <c r="Q32" s="6">
        <f t="shared" si="5"/>
        <v>2743.8854583333336</v>
      </c>
    </row>
    <row r="33" spans="1:17" ht="30" customHeight="1">
      <c r="A33" s="17" t="s">
        <v>694</v>
      </c>
      <c r="B33" s="5" t="str">
        <f>IF(A33="","",IF(COUNTIF(Catalogo!$A$5:$A$905,A33)=0,"SKU no encontrado",INDEX(Catalogo!$B$5:$B$905,MATCH(A33,Catalogo!$A$5:$A$905,0))))</f>
        <v>GATORADE NARANJA PET X6 1250CC</v>
      </c>
      <c r="C33">
        <f>IF(OR(A33="",B33="SKU no encontrado"),"",INDEX(Catalogo!$C$5:$C$905,MATCH(A33,Catalogo!$A$5:$A$905,0)))</f>
        <v>6</v>
      </c>
      <c r="D33" s="19">
        <v>46500</v>
      </c>
      <c r="E33" s="20">
        <v>220</v>
      </c>
      <c r="F33" s="12"/>
      <c r="G33" s="6">
        <f>IF(OR(A33="",B33="SKU no encontrado"),"",IF(INDEX(Catalogo!$H$5:$H$905,MATCH(A33,Catalogo!$A$5:$A$905,0))=0,"",INDEX(Catalogo!$H$5:$H$905,MATCH(A33,Catalogo!$A$5:$A$905,0))))</f>
        <v>26114.945</v>
      </c>
      <c r="H33" s="13" t="str">
        <f t="shared" si="0"/>
        <v/>
      </c>
      <c r="I33" s="6" t="str">
        <f t="shared" si="1"/>
        <v/>
      </c>
      <c r="J33" s="6" t="str">
        <f t="shared" si="2"/>
        <v/>
      </c>
      <c r="K33" s="6" t="str">
        <f t="shared" si="3"/>
        <v/>
      </c>
      <c r="L33" t="str">
        <f t="shared" si="4"/>
        <v>Completar precio unitario</v>
      </c>
      <c r="M33" t="s">
        <v>1838</v>
      </c>
      <c r="N33" s="18">
        <v>220</v>
      </c>
      <c r="O33">
        <v>2</v>
      </c>
      <c r="P33">
        <v>215</v>
      </c>
      <c r="Q33" s="6">
        <f t="shared" si="5"/>
        <v>4352.4908333333333</v>
      </c>
    </row>
    <row r="34" spans="1:17" ht="30" customHeight="1">
      <c r="A34" s="17" t="s">
        <v>1018</v>
      </c>
      <c r="B34" s="5" t="str">
        <f>IF(A34="","",IF(COUNTIF(Catalogo!$A$5:$A$905,A34)=0,"SKU no encontrado",INDEX(Catalogo!$B$5:$B$905,MATCH(A34,Catalogo!$A$5:$A$905,0))))</f>
        <v>STELLA ARTOIS 0.0 SY CAN 4X6 473CC CART</v>
      </c>
      <c r="C34">
        <f>IF(OR(A34="",B34="SKU no encontrado"),"",INDEX(Catalogo!$C$5:$C$905,MATCH(A34,Catalogo!$A$5:$A$905,0)))</f>
        <v>24</v>
      </c>
      <c r="D34" s="19">
        <v>46307</v>
      </c>
      <c r="E34" s="20">
        <v>29</v>
      </c>
      <c r="F34" s="12"/>
      <c r="G34" s="6">
        <f>IF(OR(A34="",B34="SKU no encontrado"),"",IF(INDEX(Catalogo!$H$5:$H$905,MATCH(A34,Catalogo!$A$5:$A$905,0))=0,"",INDEX(Catalogo!$H$5:$H$905,MATCH(A34,Catalogo!$A$5:$A$905,0))))</f>
        <v>55342.279000000002</v>
      </c>
      <c r="H34" s="13" t="str">
        <f t="shared" si="0"/>
        <v/>
      </c>
      <c r="I34" s="6" t="str">
        <f t="shared" si="1"/>
        <v/>
      </c>
      <c r="J34" s="6" t="str">
        <f t="shared" si="2"/>
        <v/>
      </c>
      <c r="K34" s="6" t="str">
        <f t="shared" si="3"/>
        <v/>
      </c>
      <c r="L34" t="str">
        <f t="shared" si="4"/>
        <v>Completar precio unitario</v>
      </c>
      <c r="M34" t="s">
        <v>1839</v>
      </c>
      <c r="N34" s="18">
        <v>29</v>
      </c>
      <c r="O34">
        <v>1</v>
      </c>
      <c r="P34">
        <v>22</v>
      </c>
      <c r="Q34" s="6">
        <f t="shared" si="5"/>
        <v>2305.9282916666666</v>
      </c>
    </row>
    <row r="35" spans="1:17" ht="30" customHeight="1">
      <c r="A35" s="17" t="s">
        <v>1018</v>
      </c>
      <c r="B35" s="5" t="str">
        <f>IF(A35="","",IF(COUNTIF(Catalogo!$A$5:$A$905,A35)=0,"SKU no encontrado",INDEX(Catalogo!$B$5:$B$905,MATCH(A35,Catalogo!$A$5:$A$905,0))))</f>
        <v>STELLA ARTOIS 0.0 SY CAN 4X6 473CC CART</v>
      </c>
      <c r="C35">
        <f>IF(OR(A35="",B35="SKU no encontrado"),"",INDEX(Catalogo!$C$5:$C$905,MATCH(A35,Catalogo!$A$5:$A$905,0)))</f>
        <v>24</v>
      </c>
      <c r="D35" s="19">
        <v>46308</v>
      </c>
      <c r="E35" s="20">
        <v>30</v>
      </c>
      <c r="F35" s="12"/>
      <c r="G35" s="6">
        <f>IF(OR(A35="",B35="SKU no encontrado"),"",IF(INDEX(Catalogo!$H$5:$H$905,MATCH(A35,Catalogo!$A$5:$A$905,0))=0,"",INDEX(Catalogo!$H$5:$H$905,MATCH(A35,Catalogo!$A$5:$A$905,0))))</f>
        <v>55342.279000000002</v>
      </c>
      <c r="H35" s="13" t="str">
        <f t="shared" si="0"/>
        <v/>
      </c>
      <c r="I35" s="6" t="str">
        <f t="shared" si="1"/>
        <v/>
      </c>
      <c r="J35" s="6" t="str">
        <f t="shared" si="2"/>
        <v/>
      </c>
      <c r="K35" s="6" t="str">
        <f t="shared" si="3"/>
        <v/>
      </c>
      <c r="L35" t="str">
        <f t="shared" si="4"/>
        <v>Completar precio unitario</v>
      </c>
      <c r="M35" t="s">
        <v>1839</v>
      </c>
      <c r="N35" s="18">
        <v>30</v>
      </c>
      <c r="O35">
        <v>2</v>
      </c>
      <c r="P35">
        <v>23</v>
      </c>
      <c r="Q35" s="6">
        <f t="shared" si="5"/>
        <v>2305.9282916666666</v>
      </c>
    </row>
    <row r="36" spans="1:17" ht="30" customHeight="1">
      <c r="A36" s="17" t="s">
        <v>926</v>
      </c>
      <c r="B36" s="5" t="str">
        <f>IF(A36="","",IF(COUNTIF(Catalogo!$A$5:$A$905,A36)=0,"SKU no encontrado",INDEX(Catalogo!$B$5:$B$905,MATCH(A36,Catalogo!$A$5:$A$905,0))))</f>
        <v>H2OH STILL LIMON PET X8 2000CC</v>
      </c>
      <c r="C36">
        <f>IF(OR(A36="",B36="SKU no encontrado"),"",INDEX(Catalogo!$C$5:$C$905,MATCH(A36,Catalogo!$A$5:$A$905,0)))</f>
        <v>8</v>
      </c>
      <c r="D36" s="19">
        <v>46310</v>
      </c>
      <c r="E36" s="20">
        <v>60</v>
      </c>
      <c r="F36" s="12"/>
      <c r="G36" s="6">
        <f>IF(OR(A36="",B36="SKU no encontrado"),"",IF(INDEX(Catalogo!$H$5:$H$905,MATCH(A36,Catalogo!$A$5:$A$905,0))=0,"",INDEX(Catalogo!$H$5:$H$905,MATCH(A36,Catalogo!$A$5:$A$905,0))))</f>
        <v>27312.145</v>
      </c>
      <c r="H36" s="13" t="str">
        <f t="shared" si="0"/>
        <v/>
      </c>
      <c r="I36" s="6" t="str">
        <f t="shared" si="1"/>
        <v/>
      </c>
      <c r="J36" s="6" t="str">
        <f t="shared" si="2"/>
        <v/>
      </c>
      <c r="K36" s="6" t="str">
        <f t="shared" si="3"/>
        <v/>
      </c>
      <c r="L36" t="str">
        <f t="shared" si="4"/>
        <v>Completar precio unitario</v>
      </c>
      <c r="M36" t="s">
        <v>1839</v>
      </c>
      <c r="N36" s="18">
        <v>60</v>
      </c>
      <c r="O36">
        <v>1</v>
      </c>
      <c r="P36">
        <v>25</v>
      </c>
      <c r="Q36" s="6">
        <f t="shared" si="5"/>
        <v>3414.0181250000001</v>
      </c>
    </row>
    <row r="37" spans="1:17" ht="30" customHeight="1">
      <c r="A37" s="17" t="s">
        <v>766</v>
      </c>
      <c r="B37" s="5" t="str">
        <f>IF(A37="","",IF(COUNTIF(Catalogo!$A$5:$A$905,A37)=0,"SKU no encontrado",INDEX(Catalogo!$B$5:$B$905,MATCH(A37,Catalogo!$A$5:$A$905,0))))</f>
        <v>BUDWEISER CAN 4X4 710CC</v>
      </c>
      <c r="C37">
        <f>IF(OR(A37="",B37="SKU no encontrado"),"",INDEX(Catalogo!$C$5:$C$905,MATCH(A37,Catalogo!$A$5:$A$905,0)))</f>
        <v>16</v>
      </c>
      <c r="D37" s="19">
        <v>46315</v>
      </c>
      <c r="E37" s="20">
        <v>29.5</v>
      </c>
      <c r="F37" s="12"/>
      <c r="G37" s="6">
        <f>IF(OR(A37="",B37="SKU no encontrado"),"",IF(INDEX(Catalogo!$H$5:$H$905,MATCH(A37,Catalogo!$A$5:$A$905,0))=0,"",INDEX(Catalogo!$H$5:$H$905,MATCH(A37,Catalogo!$A$5:$A$905,0))))</f>
        <v>47124.735000000001</v>
      </c>
      <c r="H37" s="13" t="str">
        <f t="shared" si="0"/>
        <v/>
      </c>
      <c r="I37" s="6" t="str">
        <f t="shared" si="1"/>
        <v/>
      </c>
      <c r="J37" s="6" t="str">
        <f t="shared" si="2"/>
        <v/>
      </c>
      <c r="K37" s="6" t="str">
        <f t="shared" si="3"/>
        <v/>
      </c>
      <c r="L37" t="str">
        <f t="shared" si="4"/>
        <v>Completar precio unitario</v>
      </c>
      <c r="M37" t="s">
        <v>1839</v>
      </c>
      <c r="N37" s="18">
        <v>29.5</v>
      </c>
      <c r="O37">
        <v>1</v>
      </c>
      <c r="P37">
        <v>30</v>
      </c>
      <c r="Q37" s="6">
        <f t="shared" si="5"/>
        <v>2945.2959375</v>
      </c>
    </row>
    <row r="38" spans="1:17" ht="30" customHeight="1">
      <c r="A38" s="17" t="s">
        <v>804</v>
      </c>
      <c r="B38" s="5" t="str">
        <f>IF(A38="","",IF(COUNTIF(Catalogo!$A$5:$A$905,A38)=0,"SKU no encontrado",INDEX(Catalogo!$B$5:$B$905,MATCH(A38,Catalogo!$A$5:$A$905,0))))</f>
        <v>STELLA ARTOIS CAN 4X4 710CC</v>
      </c>
      <c r="C38">
        <f>IF(OR(A38="",B38="SKU no encontrado"),"",INDEX(Catalogo!$C$5:$C$905,MATCH(A38,Catalogo!$A$5:$A$905,0)))</f>
        <v>16</v>
      </c>
      <c r="D38" s="19">
        <v>46315</v>
      </c>
      <c r="E38" s="20">
        <v>58.625</v>
      </c>
      <c r="F38" s="12"/>
      <c r="G38" s="6">
        <f>IF(OR(A38="",B38="SKU no encontrado"),"",IF(INDEX(Catalogo!$H$5:$H$905,MATCH(A38,Catalogo!$A$5:$A$905,0))=0,"",INDEX(Catalogo!$H$5:$H$905,MATCH(A38,Catalogo!$A$5:$A$905,0))))</f>
        <v>70533.793000000005</v>
      </c>
      <c r="H38" s="13" t="str">
        <f t="shared" si="0"/>
        <v/>
      </c>
      <c r="I38" s="6" t="str">
        <f t="shared" si="1"/>
        <v/>
      </c>
      <c r="J38" s="6" t="str">
        <f t="shared" si="2"/>
        <v/>
      </c>
      <c r="K38" s="6" t="str">
        <f t="shared" si="3"/>
        <v/>
      </c>
      <c r="L38" t="str">
        <f t="shared" si="4"/>
        <v>Completar precio unitario</v>
      </c>
      <c r="M38" t="s">
        <v>1839</v>
      </c>
      <c r="N38" s="18">
        <v>58.625</v>
      </c>
      <c r="O38">
        <v>1</v>
      </c>
      <c r="P38">
        <v>30</v>
      </c>
      <c r="Q38" s="6">
        <f t="shared" si="5"/>
        <v>4408.3620625000003</v>
      </c>
    </row>
    <row r="39" spans="1:17" ht="30" customHeight="1">
      <c r="A39" s="17" t="s">
        <v>871</v>
      </c>
      <c r="B39" s="5" t="str">
        <f>IF(A39="","",IF(COUNTIF(Catalogo!$A$5:$A$905,A39)=0,"SKU no encontrado",INDEX(Catalogo!$B$5:$B$905,MATCH(A39,Catalogo!$A$5:$A$905,0))))</f>
        <v>7UP PET X6 500CC NF 2024</v>
      </c>
      <c r="C39">
        <f>IF(OR(A39="",B39="SKU no encontrado"),"",INDEX(Catalogo!$C$5:$C$905,MATCH(A39,Catalogo!$A$5:$A$905,0)))</f>
        <v>6</v>
      </c>
      <c r="D39" s="19">
        <v>46315</v>
      </c>
      <c r="E39" s="20">
        <v>134.8333333333</v>
      </c>
      <c r="F39" s="12"/>
      <c r="G39" s="6">
        <f>IF(OR(A39="",B39="SKU no encontrado"),"",IF(INDEX(Catalogo!$H$5:$H$905,MATCH(A39,Catalogo!$A$5:$A$905,0))=0,"",INDEX(Catalogo!$H$5:$H$905,MATCH(A39,Catalogo!$A$5:$A$905,0))))</f>
        <v>10249.798000000001</v>
      </c>
      <c r="H39" s="13" t="str">
        <f t="shared" si="0"/>
        <v/>
      </c>
      <c r="I39" s="6" t="str">
        <f t="shared" si="1"/>
        <v/>
      </c>
      <c r="J39" s="6" t="str">
        <f t="shared" si="2"/>
        <v/>
      </c>
      <c r="K39" s="6" t="str">
        <f t="shared" si="3"/>
        <v/>
      </c>
      <c r="L39" t="str">
        <f t="shared" si="4"/>
        <v>Completar precio unitario</v>
      </c>
      <c r="M39" t="s">
        <v>1839</v>
      </c>
      <c r="N39" s="18">
        <v>134.8333333333</v>
      </c>
      <c r="O39">
        <v>1</v>
      </c>
      <c r="P39">
        <v>30</v>
      </c>
      <c r="Q39" s="6">
        <f t="shared" si="5"/>
        <v>1708.2996666666668</v>
      </c>
    </row>
    <row r="40" spans="1:17" ht="30" customHeight="1">
      <c r="A40" s="17" t="s">
        <v>320</v>
      </c>
      <c r="B40" s="5" t="str">
        <f>IF(A40="","",IF(COUNTIF(Catalogo!$A$5:$A$905,A40)=0,"SKU no encontrado",INDEX(Catalogo!$B$5:$B$905,MATCH(A40,Catalogo!$A$5:$A$905,0))))</f>
        <v>H2OH LIMONETO  X6 PET1500#</v>
      </c>
      <c r="C40">
        <f>IF(OR(A40="",B40="SKU no encontrado"),"",INDEX(Catalogo!$C$5:$C$905,MATCH(A40,Catalogo!$A$5:$A$905,0)))</f>
        <v>6</v>
      </c>
      <c r="D40" s="19">
        <v>46317</v>
      </c>
      <c r="E40" s="20">
        <v>19</v>
      </c>
      <c r="F40" s="12"/>
      <c r="G40" s="6">
        <f>IF(OR(A40="",B40="SKU no encontrado"),"",IF(INDEX(Catalogo!$H$5:$H$905,MATCH(A40,Catalogo!$A$5:$A$905,0))=0,"",INDEX(Catalogo!$H$5:$H$905,MATCH(A40,Catalogo!$A$5:$A$905,0))))</f>
        <v>17720.865000000002</v>
      </c>
      <c r="H40" s="13" t="str">
        <f t="shared" si="0"/>
        <v/>
      </c>
      <c r="I40" s="6" t="str">
        <f t="shared" si="1"/>
        <v/>
      </c>
      <c r="J40" s="6" t="str">
        <f t="shared" si="2"/>
        <v/>
      </c>
      <c r="K40" s="6" t="str">
        <f t="shared" si="3"/>
        <v/>
      </c>
      <c r="L40" t="str">
        <f t="shared" si="4"/>
        <v>Completar precio unitario</v>
      </c>
      <c r="M40" t="s">
        <v>1839</v>
      </c>
      <c r="N40" s="18">
        <v>19</v>
      </c>
      <c r="O40">
        <v>1</v>
      </c>
      <c r="P40">
        <v>32</v>
      </c>
      <c r="Q40" s="6">
        <f t="shared" si="5"/>
        <v>2953.4775000000004</v>
      </c>
    </row>
    <row r="41" spans="1:17" ht="30" customHeight="1">
      <c r="A41" s="17" t="s">
        <v>857</v>
      </c>
      <c r="B41" s="5" t="str">
        <f>IF(A41="","",IF(COUNTIF(Catalogo!$A$5:$A$905,A41)=0,"SKU no encontrado",INDEX(Catalogo!$B$5:$B$905,MATCH(A41,Catalogo!$A$5:$A$905,0))))</f>
        <v>H2OH STILL MANZANA PET X6 1.500L 96 BUL</v>
      </c>
      <c r="C41">
        <f>IF(OR(A41="",B41="SKU no encontrado"),"",INDEX(Catalogo!$C$5:$C$905,MATCH(A41,Catalogo!$A$5:$A$905,0)))</f>
        <v>6</v>
      </c>
      <c r="D41" s="19">
        <v>46320</v>
      </c>
      <c r="E41" s="20">
        <v>22</v>
      </c>
      <c r="F41" s="12"/>
      <c r="G41" s="6">
        <f>IF(OR(A41="",B41="SKU no encontrado"),"",IF(INDEX(Catalogo!$H$5:$H$905,MATCH(A41,Catalogo!$A$5:$A$905,0))=0,"",INDEX(Catalogo!$H$5:$H$905,MATCH(A41,Catalogo!$A$5:$A$905,0))))</f>
        <v>17690.571</v>
      </c>
      <c r="H41" s="13" t="str">
        <f t="shared" si="0"/>
        <v/>
      </c>
      <c r="I41" s="6" t="str">
        <f t="shared" si="1"/>
        <v/>
      </c>
      <c r="J41" s="6" t="str">
        <f t="shared" si="2"/>
        <v/>
      </c>
      <c r="K41" s="6" t="str">
        <f t="shared" si="3"/>
        <v/>
      </c>
      <c r="L41" t="str">
        <f t="shared" si="4"/>
        <v>Completar precio unitario</v>
      </c>
      <c r="M41" t="s">
        <v>1839</v>
      </c>
      <c r="N41" s="18">
        <v>22</v>
      </c>
      <c r="O41">
        <v>1</v>
      </c>
      <c r="P41">
        <v>35</v>
      </c>
      <c r="Q41" s="6">
        <f t="shared" si="5"/>
        <v>2948.4285</v>
      </c>
    </row>
    <row r="42" spans="1:17" ht="30" customHeight="1">
      <c r="A42" s="17" t="s">
        <v>1022</v>
      </c>
      <c r="B42" s="5" t="str">
        <f>IF(A42="","",IF(COUNTIF(Catalogo!$A$5:$A$905,A42)=0,"SKU no encontrado",INDEX(Catalogo!$B$5:$B$905,MATCH(A42,Catalogo!$A$5:$A$905,0))))</f>
        <v>GATORADE NS MORAS PET X6 400CC</v>
      </c>
      <c r="C42">
        <f>IF(OR(A42="",B42="SKU no encontrado"),"",INDEX(Catalogo!$C$5:$C$905,MATCH(A42,Catalogo!$A$5:$A$905,0)))</f>
        <v>6</v>
      </c>
      <c r="D42" s="19">
        <v>46320</v>
      </c>
      <c r="E42" s="20">
        <v>251</v>
      </c>
      <c r="F42" s="12"/>
      <c r="G42" s="6">
        <f>IF(OR(A42="",B42="SKU no encontrado"),"",IF(INDEX(Catalogo!$H$5:$H$905,MATCH(A42,Catalogo!$A$5:$A$905,0))=0,"",INDEX(Catalogo!$H$5:$H$905,MATCH(A42,Catalogo!$A$5:$A$905,0))))</f>
        <v>8813.8080000000009</v>
      </c>
      <c r="H42" s="13" t="str">
        <f t="shared" si="0"/>
        <v/>
      </c>
      <c r="I42" s="6" t="str">
        <f t="shared" si="1"/>
        <v/>
      </c>
      <c r="J42" s="6" t="str">
        <f t="shared" si="2"/>
        <v/>
      </c>
      <c r="K42" s="6" t="str">
        <f t="shared" si="3"/>
        <v/>
      </c>
      <c r="L42" t="str">
        <f t="shared" si="4"/>
        <v>Completar precio unitario</v>
      </c>
      <c r="M42" t="s">
        <v>1839</v>
      </c>
      <c r="N42" s="18">
        <v>251</v>
      </c>
      <c r="O42">
        <v>1</v>
      </c>
      <c r="P42">
        <v>35</v>
      </c>
      <c r="Q42" s="6">
        <f t="shared" si="5"/>
        <v>1468.9680000000001</v>
      </c>
    </row>
    <row r="43" spans="1:17" ht="30" customHeight="1">
      <c r="A43" s="17" t="s">
        <v>871</v>
      </c>
      <c r="B43" s="5" t="str">
        <f>IF(A43="","",IF(COUNTIF(Catalogo!$A$5:$A$905,A43)=0,"SKU no encontrado",INDEX(Catalogo!$B$5:$B$905,MATCH(A43,Catalogo!$A$5:$A$905,0))))</f>
        <v>7UP PET X6 500CC NF 2024</v>
      </c>
      <c r="C43">
        <f>IF(OR(A43="",B43="SKU no encontrado"),"",INDEX(Catalogo!$C$5:$C$905,MATCH(A43,Catalogo!$A$5:$A$905,0)))</f>
        <v>6</v>
      </c>
      <c r="D43" s="19">
        <v>46324</v>
      </c>
      <c r="E43" s="20">
        <v>336</v>
      </c>
      <c r="F43" s="12"/>
      <c r="G43" s="6">
        <f>IF(OR(A43="",B43="SKU no encontrado"),"",IF(INDEX(Catalogo!$H$5:$H$905,MATCH(A43,Catalogo!$A$5:$A$905,0))=0,"",INDEX(Catalogo!$H$5:$H$905,MATCH(A43,Catalogo!$A$5:$A$905,0))))</f>
        <v>10249.798000000001</v>
      </c>
      <c r="H43" s="13" t="str">
        <f t="shared" si="0"/>
        <v/>
      </c>
      <c r="I43" s="6" t="str">
        <f t="shared" si="1"/>
        <v/>
      </c>
      <c r="J43" s="6" t="str">
        <f t="shared" si="2"/>
        <v/>
      </c>
      <c r="K43" s="6" t="str">
        <f t="shared" si="3"/>
        <v/>
      </c>
      <c r="L43" t="str">
        <f t="shared" si="4"/>
        <v>Completar precio unitario</v>
      </c>
      <c r="M43" t="s">
        <v>1839</v>
      </c>
      <c r="N43" s="18">
        <v>336</v>
      </c>
      <c r="O43">
        <v>2</v>
      </c>
      <c r="P43">
        <v>39</v>
      </c>
      <c r="Q43" s="6">
        <f t="shared" si="5"/>
        <v>1708.2996666666668</v>
      </c>
    </row>
    <row r="44" spans="1:17" ht="30" customHeight="1">
      <c r="A44" s="17" t="s">
        <v>847</v>
      </c>
      <c r="B44" s="5" t="str">
        <f>IF(A44="","",IF(COUNTIF(Catalogo!$A$5:$A$905,A44)=0,"SKU no encontrado",INDEX(Catalogo!$B$5:$B$905,MATCH(A44,Catalogo!$A$5:$A$905,0))))</f>
        <v>PEPSI 70KCAL PET X6 500CC</v>
      </c>
      <c r="C44">
        <f>IF(OR(A44="",B44="SKU no encontrado"),"",INDEX(Catalogo!$C$5:$C$905,MATCH(A44,Catalogo!$A$5:$A$905,0)))</f>
        <v>6</v>
      </c>
      <c r="D44" s="19">
        <v>46325</v>
      </c>
      <c r="E44" s="20">
        <v>368.1666666667</v>
      </c>
      <c r="F44" s="12"/>
      <c r="G44" s="6">
        <f>IF(OR(A44="",B44="SKU no encontrado"),"",IF(INDEX(Catalogo!$H$5:$H$905,MATCH(A44,Catalogo!$A$5:$A$905,0))=0,"",INDEX(Catalogo!$H$5:$H$905,MATCH(A44,Catalogo!$A$5:$A$905,0))))</f>
        <v>10239.922</v>
      </c>
      <c r="H44" s="13" t="str">
        <f t="shared" si="0"/>
        <v/>
      </c>
      <c r="I44" s="6" t="str">
        <f t="shared" si="1"/>
        <v/>
      </c>
      <c r="J44" s="6" t="str">
        <f t="shared" si="2"/>
        <v/>
      </c>
      <c r="K44" s="6" t="str">
        <f t="shared" si="3"/>
        <v/>
      </c>
      <c r="L44" t="str">
        <f t="shared" si="4"/>
        <v>Completar precio unitario</v>
      </c>
      <c r="M44" t="s">
        <v>1839</v>
      </c>
      <c r="N44" s="18">
        <v>368.1666666667</v>
      </c>
      <c r="O44">
        <v>1</v>
      </c>
      <c r="P44">
        <v>40</v>
      </c>
      <c r="Q44" s="6">
        <f t="shared" si="5"/>
        <v>1706.6536666666668</v>
      </c>
    </row>
    <row r="45" spans="1:17" ht="30" customHeight="1">
      <c r="A45" s="17" t="s">
        <v>485</v>
      </c>
      <c r="B45" s="5" t="str">
        <f>IF(A45="","",IF(COUNTIF(Catalogo!$A$5:$A$905,A45)=0,"SKU no encontrado",INDEX(Catalogo!$B$5:$B$905,MATCH(A45,Catalogo!$A$5:$A$905,0))))</f>
        <v>ANDES ORIGEN ROJA RET X12 1000</v>
      </c>
      <c r="C45">
        <f>IF(OR(A45="",B45="SKU no encontrado"),"",INDEX(Catalogo!$C$5:$C$905,MATCH(A45,Catalogo!$A$5:$A$905,0)))</f>
        <v>12</v>
      </c>
      <c r="D45" s="19">
        <v>46327</v>
      </c>
      <c r="E45" s="20">
        <v>0.66666666669999997</v>
      </c>
      <c r="F45" s="12"/>
      <c r="G45" s="6">
        <f>IF(OR(A45="",B45="SKU no encontrado"),"",IF(INDEX(Catalogo!$H$5:$H$905,MATCH(A45,Catalogo!$A$5:$A$905,0))=0,"",INDEX(Catalogo!$H$5:$H$905,MATCH(A45,Catalogo!$A$5:$A$905,0))))</f>
        <v>50984.146000000001</v>
      </c>
      <c r="H45" s="13" t="str">
        <f t="shared" si="0"/>
        <v/>
      </c>
      <c r="I45" s="6" t="str">
        <f t="shared" si="1"/>
        <v/>
      </c>
      <c r="J45" s="6" t="str">
        <f t="shared" si="2"/>
        <v/>
      </c>
      <c r="K45" s="6" t="str">
        <f t="shared" si="3"/>
        <v/>
      </c>
      <c r="L45" t="str">
        <f t="shared" si="4"/>
        <v>Completar precio unitario</v>
      </c>
      <c r="M45" t="s">
        <v>1839</v>
      </c>
      <c r="N45" s="18">
        <v>0.66666666669999997</v>
      </c>
      <c r="O45">
        <v>2</v>
      </c>
      <c r="P45">
        <v>42</v>
      </c>
      <c r="Q45" s="6">
        <f t="shared" si="5"/>
        <v>4248.6788333333334</v>
      </c>
    </row>
    <row r="46" spans="1:17" ht="30" customHeight="1">
      <c r="A46" s="17" t="s">
        <v>629</v>
      </c>
      <c r="B46" s="5" t="str">
        <f>IF(A46="","",IF(COUNTIF(Catalogo!$A$5:$A$905,A46)=0,"SKU no encontrado",INDEX(Catalogo!$B$5:$B$905,MATCH(A46,Catalogo!$A$5:$A$905,0))))</f>
        <v>ROCKSTAR OW BOT X6 500CC</v>
      </c>
      <c r="C46">
        <f>IF(OR(A46="",B46="SKU no encontrado"),"",INDEX(Catalogo!$C$5:$C$905,MATCH(A46,Catalogo!$A$5:$A$905,0)))</f>
        <v>6</v>
      </c>
      <c r="D46" s="19">
        <v>46328</v>
      </c>
      <c r="E46" s="20">
        <v>196.6666666667</v>
      </c>
      <c r="F46" s="12"/>
      <c r="G46" s="6">
        <f>IF(OR(A46="",B46="SKU no encontrado"),"",IF(INDEX(Catalogo!$H$5:$H$905,MATCH(A46,Catalogo!$A$5:$A$905,0))=0,"",INDEX(Catalogo!$H$5:$H$905,MATCH(A46,Catalogo!$A$5:$A$905,0))))</f>
        <v>10235.629000000001</v>
      </c>
      <c r="H46" s="13" t="str">
        <f t="shared" si="0"/>
        <v/>
      </c>
      <c r="I46" s="6" t="str">
        <f t="shared" si="1"/>
        <v/>
      </c>
      <c r="J46" s="6" t="str">
        <f t="shared" si="2"/>
        <v/>
      </c>
      <c r="K46" s="6" t="str">
        <f t="shared" si="3"/>
        <v/>
      </c>
      <c r="L46" t="str">
        <f t="shared" si="4"/>
        <v>Completar precio unitario</v>
      </c>
      <c r="M46" t="s">
        <v>1839</v>
      </c>
      <c r="N46" s="18">
        <v>196.6666666667</v>
      </c>
      <c r="O46">
        <v>1</v>
      </c>
      <c r="P46">
        <v>43</v>
      </c>
      <c r="Q46" s="6">
        <f t="shared" si="5"/>
        <v>1705.9381666666668</v>
      </c>
    </row>
    <row r="47" spans="1:17" ht="30" customHeight="1">
      <c r="A47" s="17" t="s">
        <v>661</v>
      </c>
      <c r="B47" s="5" t="str">
        <f>IF(A47="","",IF(COUNTIF(Catalogo!$A$5:$A$905,A47)=0,"SKU no encontrado",INDEX(Catalogo!$B$5:$B$905,MATCH(A47,Catalogo!$A$5:$A$905,0))))</f>
        <v>STELLA ARTOIS KEG RET 20L</v>
      </c>
      <c r="C47">
        <f>IF(OR(A47="",B47="SKU no encontrado"),"",INDEX(Catalogo!$C$5:$C$905,MATCH(A47,Catalogo!$A$5:$A$905,0)))</f>
        <v>1</v>
      </c>
      <c r="D47" s="19">
        <v>46330</v>
      </c>
      <c r="E47" s="20">
        <v>17</v>
      </c>
      <c r="F47" s="12"/>
      <c r="G47" s="6">
        <f>IF(OR(A47="",B47="SKU no encontrado"),"",IF(INDEX(Catalogo!$H$5:$H$905,MATCH(A47,Catalogo!$A$5:$A$905,0))=0,"",INDEX(Catalogo!$H$5:$H$905,MATCH(A47,Catalogo!$A$5:$A$905,0))))</f>
        <v>129265.254</v>
      </c>
      <c r="H47" s="13" t="str">
        <f t="shared" si="0"/>
        <v/>
      </c>
      <c r="I47" s="6" t="str">
        <f t="shared" si="1"/>
        <v/>
      </c>
      <c r="J47" s="6" t="str">
        <f t="shared" si="2"/>
        <v/>
      </c>
      <c r="K47" s="6" t="str">
        <f t="shared" si="3"/>
        <v/>
      </c>
      <c r="L47" t="str">
        <f t="shared" si="4"/>
        <v>Completar precio unitario</v>
      </c>
      <c r="M47" t="s">
        <v>1839</v>
      </c>
      <c r="N47" s="18">
        <v>17</v>
      </c>
      <c r="O47">
        <v>1</v>
      </c>
      <c r="P47">
        <v>45</v>
      </c>
      <c r="Q47" s="6">
        <f t="shared" si="5"/>
        <v>129265.254</v>
      </c>
    </row>
    <row r="48" spans="1:17" ht="30" customHeight="1">
      <c r="A48" s="17" t="s">
        <v>682</v>
      </c>
      <c r="B48" s="5" t="str">
        <f>IF(A48="","",IF(COUNTIF(Catalogo!$A$5:$A$905,A48)=0,"SKU no encontrado",INDEX(Catalogo!$B$5:$B$905,MATCH(A48,Catalogo!$A$5:$A$905,0))))</f>
        <v>PDT POM PET X6 500CC</v>
      </c>
      <c r="C48">
        <f>IF(OR(A48="",B48="SKU no encontrado"),"",INDEX(Catalogo!$C$5:$C$905,MATCH(A48,Catalogo!$A$5:$A$905,0)))</f>
        <v>6</v>
      </c>
      <c r="D48" s="19">
        <v>46331</v>
      </c>
      <c r="E48" s="20">
        <v>200</v>
      </c>
      <c r="F48" s="12"/>
      <c r="G48" s="6">
        <f>IF(OR(A48="",B48="SKU no encontrado"),"",IF(INDEX(Catalogo!$H$5:$H$905,MATCH(A48,Catalogo!$A$5:$A$905,0))=0,"",INDEX(Catalogo!$H$5:$H$905,MATCH(A48,Catalogo!$A$5:$A$905,0))))</f>
        <v>10239.922</v>
      </c>
      <c r="H48" s="13" t="str">
        <f t="shared" si="0"/>
        <v/>
      </c>
      <c r="I48" s="6" t="str">
        <f t="shared" si="1"/>
        <v/>
      </c>
      <c r="J48" s="6" t="str">
        <f t="shared" si="2"/>
        <v/>
      </c>
      <c r="K48" s="6" t="str">
        <f t="shared" si="3"/>
        <v/>
      </c>
      <c r="L48" t="str">
        <f t="shared" si="4"/>
        <v>Completar precio unitario</v>
      </c>
      <c r="M48" t="s">
        <v>1839</v>
      </c>
      <c r="N48" s="18">
        <v>200</v>
      </c>
      <c r="O48">
        <v>1</v>
      </c>
      <c r="P48">
        <v>46</v>
      </c>
      <c r="Q48" s="6">
        <f t="shared" si="5"/>
        <v>1706.6536666666668</v>
      </c>
    </row>
    <row r="49" spans="1:17" ht="30" customHeight="1">
      <c r="A49" s="17" t="s">
        <v>340</v>
      </c>
      <c r="B49" s="5" t="str">
        <f>IF(A49="","",IF(COUNTIF(Catalogo!$A$5:$A$905,A49)=0,"SKU no encontrado",INDEX(Catalogo!$B$5:$B$905,MATCH(A49,Catalogo!$A$5:$A$905,0))))</f>
        <v>MIRINDA NARANJA * X6 PET3000#</v>
      </c>
      <c r="C49">
        <f>IF(OR(A49="",B49="SKU no encontrado"),"",INDEX(Catalogo!$C$5:$C$905,MATCH(A49,Catalogo!$A$5:$A$905,0)))</f>
        <v>6</v>
      </c>
      <c r="D49" s="19">
        <v>46333</v>
      </c>
      <c r="E49" s="20">
        <v>75.833333333300004</v>
      </c>
      <c r="F49" s="12"/>
      <c r="G49" s="6">
        <f>IF(OR(A49="",B49="SKU no encontrado"),"",IF(INDEX(Catalogo!$H$5:$H$905,MATCH(A49,Catalogo!$A$5:$A$905,0))=0,"",INDEX(Catalogo!$H$5:$H$905,MATCH(A49,Catalogo!$A$5:$A$905,0))))</f>
        <v>16404.333999999999</v>
      </c>
      <c r="H49" s="13" t="str">
        <f t="shared" si="0"/>
        <v/>
      </c>
      <c r="I49" s="6" t="str">
        <f t="shared" si="1"/>
        <v/>
      </c>
      <c r="J49" s="6" t="str">
        <f t="shared" si="2"/>
        <v/>
      </c>
      <c r="K49" s="6" t="str">
        <f t="shared" si="3"/>
        <v/>
      </c>
      <c r="L49" t="str">
        <f t="shared" si="4"/>
        <v>Completar precio unitario</v>
      </c>
      <c r="M49" t="s">
        <v>1839</v>
      </c>
      <c r="N49" s="18">
        <v>75.833333333300004</v>
      </c>
      <c r="O49">
        <v>1</v>
      </c>
      <c r="P49">
        <v>48</v>
      </c>
      <c r="Q49" s="6">
        <f t="shared" si="5"/>
        <v>2734.0556666666666</v>
      </c>
    </row>
    <row r="50" spans="1:17" ht="30" customHeight="1">
      <c r="A50" s="17" t="s">
        <v>832</v>
      </c>
      <c r="B50" s="5" t="str">
        <f>IF(A50="","",IF(COUNTIF(Catalogo!$A$5:$A$905,A50)=0,"SKU no encontrado",INDEX(Catalogo!$B$5:$B$905,MATCH(A50,Catalogo!$A$5:$A$905,0))))</f>
        <v>7UP FREE CAN 130 BUL/PAL 4X6 354CC</v>
      </c>
      <c r="C50">
        <f>IF(OR(A50="",B50="SKU no encontrado"),"",INDEX(Catalogo!$C$5:$C$905,MATCH(A50,Catalogo!$A$5:$A$905,0)))</f>
        <v>24</v>
      </c>
      <c r="D50" s="19">
        <v>46336</v>
      </c>
      <c r="E50" s="20">
        <v>24.208333333300001</v>
      </c>
      <c r="F50" s="12"/>
      <c r="G50" s="6">
        <f>IF(OR(A50="",B50="SKU no encontrado"),"",IF(INDEX(Catalogo!$H$5:$H$905,MATCH(A50,Catalogo!$A$5:$A$905,0))=0,"",INDEX(Catalogo!$H$5:$H$905,MATCH(A50,Catalogo!$A$5:$A$905,0))))</f>
        <v>33544.110999999997</v>
      </c>
      <c r="H50" s="13" t="str">
        <f t="shared" si="0"/>
        <v/>
      </c>
      <c r="I50" s="6" t="str">
        <f t="shared" si="1"/>
        <v/>
      </c>
      <c r="J50" s="6" t="str">
        <f t="shared" si="2"/>
        <v/>
      </c>
      <c r="K50" s="6" t="str">
        <f t="shared" si="3"/>
        <v/>
      </c>
      <c r="L50" t="str">
        <f t="shared" si="4"/>
        <v>Completar precio unitario</v>
      </c>
      <c r="M50" t="s">
        <v>1839</v>
      </c>
      <c r="N50" s="18">
        <v>24.208333333300001</v>
      </c>
      <c r="O50">
        <v>1</v>
      </c>
      <c r="P50">
        <v>51</v>
      </c>
      <c r="Q50" s="6">
        <f t="shared" si="5"/>
        <v>1397.6712916666665</v>
      </c>
    </row>
    <row r="51" spans="1:17" ht="30" customHeight="1">
      <c r="A51" s="17" t="s">
        <v>840</v>
      </c>
      <c r="B51" s="5" t="str">
        <f>IF(A51="","",IF(COUNTIF(Catalogo!$A$5:$A$905,A51)=0,"SKU no encontrado",INDEX(Catalogo!$B$5:$B$905,MATCH(A51,Catalogo!$A$5:$A$905,0))))</f>
        <v>PEPSI 70KCAL PET X6 1500CC</v>
      </c>
      <c r="C51">
        <f>IF(OR(A51="",B51="SKU no encontrado"),"",INDEX(Catalogo!$C$5:$C$905,MATCH(A51,Catalogo!$A$5:$A$905,0)))</f>
        <v>6</v>
      </c>
      <c r="D51" s="19">
        <v>46337</v>
      </c>
      <c r="E51" s="20">
        <v>19</v>
      </c>
      <c r="F51" s="12"/>
      <c r="G51" s="6">
        <f>IF(OR(A51="",B51="SKU no encontrado"),"",IF(INDEX(Catalogo!$H$5:$H$905,MATCH(A51,Catalogo!$A$5:$A$905,0))=0,"",INDEX(Catalogo!$H$5:$H$905,MATCH(A51,Catalogo!$A$5:$A$905,0))))</f>
        <v>21357.339</v>
      </c>
      <c r="H51" s="13" t="str">
        <f t="shared" si="0"/>
        <v/>
      </c>
      <c r="I51" s="6" t="str">
        <f t="shared" si="1"/>
        <v/>
      </c>
      <c r="J51" s="6" t="str">
        <f t="shared" si="2"/>
        <v/>
      </c>
      <c r="K51" s="6" t="str">
        <f t="shared" si="3"/>
        <v/>
      </c>
      <c r="L51" t="str">
        <f t="shared" si="4"/>
        <v>Completar precio unitario</v>
      </c>
      <c r="M51" t="s">
        <v>1839</v>
      </c>
      <c r="N51" s="18">
        <v>19</v>
      </c>
      <c r="O51">
        <v>1</v>
      </c>
      <c r="P51">
        <v>56</v>
      </c>
      <c r="Q51" s="6">
        <f t="shared" si="5"/>
        <v>3559.5565000000001</v>
      </c>
    </row>
    <row r="52" spans="1:17" ht="30" customHeight="1">
      <c r="A52" s="17" t="s">
        <v>861</v>
      </c>
      <c r="B52" s="5" t="str">
        <f>IF(A52="","",IF(COUNTIF(Catalogo!$A$5:$A$905,A52)=0,"SKU no encontrado",INDEX(Catalogo!$B$5:$B$905,MATCH(A52,Catalogo!$A$5:$A$905,0))))</f>
        <v>H2OH STILL LIMON PET X6 1.500L 96 BUL</v>
      </c>
      <c r="C52">
        <f>IF(OR(A52="",B52="SKU no encontrado"),"",INDEX(Catalogo!$C$5:$C$905,MATCH(A52,Catalogo!$A$5:$A$905,0)))</f>
        <v>6</v>
      </c>
      <c r="D52" s="19">
        <v>46339</v>
      </c>
      <c r="E52" s="20">
        <v>11</v>
      </c>
      <c r="F52" s="12"/>
      <c r="G52" s="6">
        <f>IF(OR(A52="",B52="SKU no encontrado"),"",IF(INDEX(Catalogo!$H$5:$H$905,MATCH(A52,Catalogo!$A$5:$A$905,0))=0,"",INDEX(Catalogo!$H$5:$H$905,MATCH(A52,Catalogo!$A$5:$A$905,0))))</f>
        <v>17690.571</v>
      </c>
      <c r="H52" s="13" t="str">
        <f t="shared" si="0"/>
        <v/>
      </c>
      <c r="I52" s="6" t="str">
        <f t="shared" si="1"/>
        <v/>
      </c>
      <c r="J52" s="6" t="str">
        <f t="shared" si="2"/>
        <v/>
      </c>
      <c r="K52" s="6" t="str">
        <f t="shared" si="3"/>
        <v/>
      </c>
      <c r="L52" t="str">
        <f t="shared" si="4"/>
        <v>Completar precio unitario</v>
      </c>
      <c r="M52" t="s">
        <v>1839</v>
      </c>
      <c r="N52" s="18">
        <v>11</v>
      </c>
      <c r="O52">
        <v>1</v>
      </c>
      <c r="P52">
        <v>54</v>
      </c>
      <c r="Q52" s="6">
        <f t="shared" si="5"/>
        <v>2948.4285</v>
      </c>
    </row>
    <row r="53" spans="1:17" ht="30" customHeight="1">
      <c r="A53" s="17" t="s">
        <v>869</v>
      </c>
      <c r="B53" s="5" t="str">
        <f>IF(A53="","",IF(COUNTIF(Catalogo!$A$5:$A$905,A53)=0,"SKU no encontrado",INDEX(Catalogo!$B$5:$B$905,MATCH(A53,Catalogo!$A$5:$A$905,0))))</f>
        <v>7UP PET X6 1500CC NF 2024</v>
      </c>
      <c r="C53">
        <f>IF(OR(A53="",B53="SKU no encontrado"),"",INDEX(Catalogo!$C$5:$C$905,MATCH(A53,Catalogo!$A$5:$A$905,0)))</f>
        <v>6</v>
      </c>
      <c r="D53" s="19">
        <v>46339</v>
      </c>
      <c r="E53" s="20">
        <v>87</v>
      </c>
      <c r="F53" s="12"/>
      <c r="G53" s="6">
        <f>IF(OR(A53="",B53="SKU no encontrado"),"",IF(INDEX(Catalogo!$H$5:$H$905,MATCH(A53,Catalogo!$A$5:$A$905,0))=0,"",INDEX(Catalogo!$H$5:$H$905,MATCH(A53,Catalogo!$A$5:$A$905,0))))</f>
        <v>21709.238000000001</v>
      </c>
      <c r="H53" s="13" t="str">
        <f t="shared" si="0"/>
        <v/>
      </c>
      <c r="I53" s="6" t="str">
        <f t="shared" si="1"/>
        <v/>
      </c>
      <c r="J53" s="6" t="str">
        <f t="shared" si="2"/>
        <v/>
      </c>
      <c r="K53" s="6" t="str">
        <f t="shared" si="3"/>
        <v/>
      </c>
      <c r="L53" t="str">
        <f t="shared" si="4"/>
        <v>Completar precio unitario</v>
      </c>
      <c r="M53" t="s">
        <v>1839</v>
      </c>
      <c r="N53" s="18">
        <v>87</v>
      </c>
      <c r="O53">
        <v>1</v>
      </c>
      <c r="P53">
        <v>58</v>
      </c>
      <c r="Q53" s="6">
        <f t="shared" si="5"/>
        <v>3618.2063333333335</v>
      </c>
    </row>
    <row r="54" spans="1:17" ht="30" customHeight="1">
      <c r="A54" s="17" t="s">
        <v>889</v>
      </c>
      <c r="B54" s="5" t="str">
        <f>IF(A54="","",IF(COUNTIF(Catalogo!$A$5:$A$905,A54)=0,"SKU no encontrado",INDEX(Catalogo!$B$5:$B$905,MATCH(A54,Catalogo!$A$5:$A$905,0))))</f>
        <v>QUILMES 0.0 2.0 CAN 4X6 473CC</v>
      </c>
      <c r="C54">
        <f>IF(OR(A54="",B54="SKU no encontrado"),"",INDEX(Catalogo!$C$5:$C$905,MATCH(A54,Catalogo!$A$5:$A$905,0)))</f>
        <v>24</v>
      </c>
      <c r="D54" s="19">
        <v>46340</v>
      </c>
      <c r="E54" s="20">
        <v>224.5</v>
      </c>
      <c r="F54" s="12"/>
      <c r="G54" s="6">
        <f>IF(OR(A54="",B54="SKU no encontrado"),"",IF(INDEX(Catalogo!$H$5:$H$905,MATCH(A54,Catalogo!$A$5:$A$905,0))=0,"",INDEX(Catalogo!$H$5:$H$905,MATCH(A54,Catalogo!$A$5:$A$905,0))))</f>
        <v>34943.163</v>
      </c>
      <c r="H54" s="13" t="str">
        <f t="shared" si="0"/>
        <v/>
      </c>
      <c r="I54" s="6" t="str">
        <f t="shared" si="1"/>
        <v/>
      </c>
      <c r="J54" s="6" t="str">
        <f t="shared" si="2"/>
        <v/>
      </c>
      <c r="K54" s="6" t="str">
        <f t="shared" si="3"/>
        <v/>
      </c>
      <c r="L54" t="str">
        <f t="shared" si="4"/>
        <v>Completar precio unitario</v>
      </c>
      <c r="M54" t="s">
        <v>1839</v>
      </c>
      <c r="N54" s="18">
        <v>224.5</v>
      </c>
      <c r="O54">
        <v>1</v>
      </c>
      <c r="P54">
        <v>55</v>
      </c>
      <c r="Q54" s="6">
        <f t="shared" si="5"/>
        <v>1455.9651249999999</v>
      </c>
    </row>
    <row r="55" spans="1:17" ht="30" customHeight="1">
      <c r="A55" s="17" t="s">
        <v>928</v>
      </c>
      <c r="B55" s="5" t="str">
        <f>IF(A55="","",IF(COUNTIF(Catalogo!$A$5:$A$905,A55)=0,"SKU no encontrado",INDEX(Catalogo!$B$5:$B$905,MATCH(A55,Catalogo!$A$5:$A$905,0))))</f>
        <v>H2OH STILL MANZANA PET X8 2000CC</v>
      </c>
      <c r="C55">
        <f>IF(OR(A55="",B55="SKU no encontrado"),"",INDEX(Catalogo!$C$5:$C$905,MATCH(A55,Catalogo!$A$5:$A$905,0)))</f>
        <v>8</v>
      </c>
      <c r="D55" s="19">
        <v>46341</v>
      </c>
      <c r="E55" s="20">
        <v>22.5</v>
      </c>
      <c r="F55" s="12"/>
      <c r="G55" s="6">
        <f>IF(OR(A55="",B55="SKU no encontrado"),"",IF(INDEX(Catalogo!$H$5:$H$905,MATCH(A55,Catalogo!$A$5:$A$905,0))=0,"",INDEX(Catalogo!$H$5:$H$905,MATCH(A55,Catalogo!$A$5:$A$905,0))))</f>
        <v>27312.145</v>
      </c>
      <c r="H55" s="13" t="str">
        <f t="shared" si="0"/>
        <v/>
      </c>
      <c r="I55" s="6" t="str">
        <f t="shared" si="1"/>
        <v/>
      </c>
      <c r="J55" s="6" t="str">
        <f t="shared" si="2"/>
        <v/>
      </c>
      <c r="K55" s="6" t="str">
        <f t="shared" si="3"/>
        <v/>
      </c>
      <c r="L55" t="str">
        <f t="shared" si="4"/>
        <v>Completar precio unitario</v>
      </c>
      <c r="M55" t="s">
        <v>1839</v>
      </c>
      <c r="N55" s="18">
        <v>22.5</v>
      </c>
      <c r="O55">
        <v>1</v>
      </c>
      <c r="P55">
        <v>56</v>
      </c>
      <c r="Q55" s="6">
        <f t="shared" si="5"/>
        <v>3414.0181250000001</v>
      </c>
    </row>
    <row r="56" spans="1:17" ht="30" customHeight="1">
      <c r="A56" s="17" t="s">
        <v>1028</v>
      </c>
      <c r="B56" s="5" t="str">
        <f>IF(A56="","",IF(COUNTIF(Catalogo!$A$5:$A$905,A56)=0,"SKU no encontrado",INDEX(Catalogo!$B$5:$B$905,MATCH(A56,Catalogo!$A$5:$A$905,0))))</f>
        <v>7UP PET X8 2000CC</v>
      </c>
      <c r="C56">
        <f>IF(OR(A56="",B56="SKU no encontrado"),"",INDEX(Catalogo!$C$5:$C$905,MATCH(A56,Catalogo!$A$5:$A$905,0)))</f>
        <v>8</v>
      </c>
      <c r="D56" s="19">
        <v>46344</v>
      </c>
      <c r="E56" s="20">
        <v>59.875</v>
      </c>
      <c r="F56" s="12"/>
      <c r="G56" s="6">
        <f>IF(OR(A56="",B56="SKU no encontrado"),"",IF(INDEX(Catalogo!$H$5:$H$905,MATCH(A56,Catalogo!$A$5:$A$905,0))=0,"",INDEX(Catalogo!$H$5:$H$905,MATCH(A56,Catalogo!$A$5:$A$905,0))))</f>
        <v>27093.71</v>
      </c>
      <c r="H56" s="13" t="str">
        <f t="shared" si="0"/>
        <v/>
      </c>
      <c r="I56" s="6" t="str">
        <f t="shared" si="1"/>
        <v/>
      </c>
      <c r="J56" s="6" t="str">
        <f t="shared" si="2"/>
        <v/>
      </c>
      <c r="K56" s="6" t="str">
        <f t="shared" si="3"/>
        <v/>
      </c>
      <c r="L56" t="str">
        <f t="shared" si="4"/>
        <v>Completar precio unitario</v>
      </c>
      <c r="M56" t="s">
        <v>1839</v>
      </c>
      <c r="N56" s="18">
        <v>59.875</v>
      </c>
      <c r="O56">
        <v>1</v>
      </c>
      <c r="P56">
        <v>63</v>
      </c>
      <c r="Q56" s="6">
        <f t="shared" si="5"/>
        <v>3386.7137499999999</v>
      </c>
    </row>
    <row r="57" spans="1:17" ht="30" customHeight="1">
      <c r="A57" s="17" t="s">
        <v>527</v>
      </c>
      <c r="B57" s="5" t="str">
        <f>IF(A57="","",IF(COUNTIF(Catalogo!$A$5:$A$905,A57)=0,"SKU no encontrado",INDEX(Catalogo!$B$5:$B$905,MATCH(A57,Catalogo!$A$5:$A$905,0))))</f>
        <v>PATAGONIA IPA OW X6 730</v>
      </c>
      <c r="C57">
        <f>IF(OR(A57="",B57="SKU no encontrado"),"",INDEX(Catalogo!$C$5:$C$905,MATCH(A57,Catalogo!$A$5:$A$905,0)))</f>
        <v>6</v>
      </c>
      <c r="D57" s="19">
        <v>46345</v>
      </c>
      <c r="E57" s="20">
        <v>138</v>
      </c>
      <c r="F57" s="12"/>
      <c r="G57" s="6">
        <f>IF(OR(A57="",B57="SKU no encontrado"),"",IF(INDEX(Catalogo!$H$5:$H$905,MATCH(A57,Catalogo!$A$5:$A$905,0))=0,"",INDEX(Catalogo!$H$5:$H$905,MATCH(A57,Catalogo!$A$5:$A$905,0))))</f>
        <v>29135.981</v>
      </c>
      <c r="H57" s="13" t="str">
        <f t="shared" si="0"/>
        <v/>
      </c>
      <c r="I57" s="6" t="str">
        <f t="shared" si="1"/>
        <v/>
      </c>
      <c r="J57" s="6" t="str">
        <f t="shared" si="2"/>
        <v/>
      </c>
      <c r="K57" s="6" t="str">
        <f t="shared" si="3"/>
        <v/>
      </c>
      <c r="L57" t="str">
        <f t="shared" si="4"/>
        <v>Completar precio unitario</v>
      </c>
      <c r="M57" t="s">
        <v>1839</v>
      </c>
      <c r="N57" s="18">
        <v>138</v>
      </c>
      <c r="O57">
        <v>1</v>
      </c>
      <c r="P57">
        <v>60</v>
      </c>
      <c r="Q57" s="6">
        <f t="shared" si="5"/>
        <v>4855.9968333333336</v>
      </c>
    </row>
    <row r="58" spans="1:17" ht="30" customHeight="1">
      <c r="A58" s="17" t="s">
        <v>772</v>
      </c>
      <c r="B58" s="5" t="str">
        <f>IF(A58="","",IF(COUNTIF(Catalogo!$A$5:$A$905,A58)=0,"SKU no encontrado",INDEX(Catalogo!$B$5:$B$905,MATCH(A58,Catalogo!$A$5:$A$905,0))))</f>
        <v>QUILMES IPA RET X12 1000CC</v>
      </c>
      <c r="C58">
        <f>IF(OR(A58="",B58="SKU no encontrado"),"",INDEX(Catalogo!$C$5:$C$905,MATCH(A58,Catalogo!$A$5:$A$905,0)))</f>
        <v>12</v>
      </c>
      <c r="D58" s="19">
        <v>46345</v>
      </c>
      <c r="E58" s="20">
        <v>66</v>
      </c>
      <c r="F58" s="12"/>
      <c r="G58" s="6">
        <f>IF(OR(A58="",B58="SKU no encontrado"),"",IF(INDEX(Catalogo!$H$5:$H$905,MATCH(A58,Catalogo!$A$5:$A$905,0))=0,"",INDEX(Catalogo!$H$5:$H$905,MATCH(A58,Catalogo!$A$5:$A$905,0))))</f>
        <v>39858.839</v>
      </c>
      <c r="H58" s="13" t="str">
        <f t="shared" si="0"/>
        <v/>
      </c>
      <c r="I58" s="6" t="str">
        <f t="shared" si="1"/>
        <v/>
      </c>
      <c r="J58" s="6" t="str">
        <f t="shared" si="2"/>
        <v/>
      </c>
      <c r="K58" s="6" t="str">
        <f t="shared" si="3"/>
        <v/>
      </c>
      <c r="L58" t="str">
        <f t="shared" si="4"/>
        <v>Completar precio unitario</v>
      </c>
      <c r="M58" t="s">
        <v>1839</v>
      </c>
      <c r="N58" s="18">
        <v>66</v>
      </c>
      <c r="O58">
        <v>1</v>
      </c>
      <c r="P58">
        <v>60</v>
      </c>
      <c r="Q58" s="6">
        <f t="shared" si="5"/>
        <v>3321.5699166666668</v>
      </c>
    </row>
    <row r="59" spans="1:17" ht="30" customHeight="1">
      <c r="A59" s="17" t="s">
        <v>875</v>
      </c>
      <c r="B59" s="5" t="str">
        <f>IF(A59="","",IF(COUNTIF(Catalogo!$A$5:$A$905,A59)=0,"SKU no encontrado",INDEX(Catalogo!$B$5:$B$905,MATCH(A59,Catalogo!$A$5:$A$905,0))))</f>
        <v>7UP FREE PET X6 1500CC 2024</v>
      </c>
      <c r="C59">
        <f>IF(OR(A59="",B59="SKU no encontrado"),"",INDEX(Catalogo!$C$5:$C$905,MATCH(A59,Catalogo!$A$5:$A$905,0)))</f>
        <v>6</v>
      </c>
      <c r="D59" s="19">
        <v>46345</v>
      </c>
      <c r="E59" s="20">
        <v>154</v>
      </c>
      <c r="F59" s="12"/>
      <c r="G59" s="6">
        <f>IF(OR(A59="",B59="SKU no encontrado"),"",IF(INDEX(Catalogo!$H$5:$H$905,MATCH(A59,Catalogo!$A$5:$A$905,0))=0,"",INDEX(Catalogo!$H$5:$H$905,MATCH(A59,Catalogo!$A$5:$A$905,0))))</f>
        <v>21709.238000000001</v>
      </c>
      <c r="H59" s="13" t="str">
        <f t="shared" si="0"/>
        <v/>
      </c>
      <c r="I59" s="6" t="str">
        <f t="shared" si="1"/>
        <v/>
      </c>
      <c r="J59" s="6" t="str">
        <f t="shared" si="2"/>
        <v/>
      </c>
      <c r="K59" s="6" t="str">
        <f t="shared" si="3"/>
        <v/>
      </c>
      <c r="L59" t="str">
        <f t="shared" si="4"/>
        <v>Completar precio unitario</v>
      </c>
      <c r="M59" t="s">
        <v>1839</v>
      </c>
      <c r="N59" s="18">
        <v>154</v>
      </c>
      <c r="O59">
        <v>1</v>
      </c>
      <c r="P59">
        <v>60</v>
      </c>
      <c r="Q59" s="6">
        <f t="shared" si="5"/>
        <v>3618.2063333333335</v>
      </c>
    </row>
    <row r="60" spans="1:17" ht="30" customHeight="1">
      <c r="A60" s="17" t="s">
        <v>1028</v>
      </c>
      <c r="B60" s="5" t="str">
        <f>IF(A60="","",IF(COUNTIF(Catalogo!$A$5:$A$905,A60)=0,"SKU no encontrado",INDEX(Catalogo!$B$5:$B$905,MATCH(A60,Catalogo!$A$5:$A$905,0))))</f>
        <v>7UP PET X8 2000CC</v>
      </c>
      <c r="C60">
        <f>IF(OR(A60="",B60="SKU no encontrado"),"",INDEX(Catalogo!$C$5:$C$905,MATCH(A60,Catalogo!$A$5:$A$905,0)))</f>
        <v>8</v>
      </c>
      <c r="D60" s="19">
        <v>46345</v>
      </c>
      <c r="E60" s="20">
        <v>86.375</v>
      </c>
      <c r="F60" s="12"/>
      <c r="G60" s="6">
        <f>IF(OR(A60="",B60="SKU no encontrado"),"",IF(INDEX(Catalogo!$H$5:$H$905,MATCH(A60,Catalogo!$A$5:$A$905,0))=0,"",INDEX(Catalogo!$H$5:$H$905,MATCH(A60,Catalogo!$A$5:$A$905,0))))</f>
        <v>27093.71</v>
      </c>
      <c r="H60" s="13" t="str">
        <f t="shared" si="0"/>
        <v/>
      </c>
      <c r="I60" s="6" t="str">
        <f t="shared" si="1"/>
        <v/>
      </c>
      <c r="J60" s="6" t="str">
        <f t="shared" si="2"/>
        <v/>
      </c>
      <c r="K60" s="6" t="str">
        <f t="shared" si="3"/>
        <v/>
      </c>
      <c r="L60" t="str">
        <f t="shared" si="4"/>
        <v>Completar precio unitario</v>
      </c>
      <c r="M60" t="s">
        <v>1839</v>
      </c>
      <c r="N60" s="18">
        <v>86.375</v>
      </c>
      <c r="O60">
        <v>2</v>
      </c>
      <c r="P60">
        <v>64</v>
      </c>
      <c r="Q60" s="6">
        <f t="shared" si="5"/>
        <v>3386.7137499999999</v>
      </c>
    </row>
    <row r="61" spans="1:17" ht="30" customHeight="1">
      <c r="A61" s="17" t="s">
        <v>851</v>
      </c>
      <c r="B61" s="5" t="str">
        <f>IF(A61="","",IF(COUNTIF(Catalogo!$A$5:$A$905,A61)=0,"SKU no encontrado",INDEX(Catalogo!$B$5:$B$905,MATCH(A61,Catalogo!$A$5:$A$905,0))))</f>
        <v>PEPSI BLACK PET X6 1.500CC 2024</v>
      </c>
      <c r="C61">
        <f>IF(OR(A61="",B61="SKU no encontrado"),"",INDEX(Catalogo!$C$5:$C$905,MATCH(A61,Catalogo!$A$5:$A$905,0)))</f>
        <v>6</v>
      </c>
      <c r="D61" s="19">
        <v>46346</v>
      </c>
      <c r="E61" s="20">
        <v>11</v>
      </c>
      <c r="F61" s="12"/>
      <c r="G61" s="6">
        <f>IF(OR(A61="",B61="SKU no encontrado"),"",IF(INDEX(Catalogo!$H$5:$H$905,MATCH(A61,Catalogo!$A$5:$A$905,0))=0,"",INDEX(Catalogo!$H$5:$H$905,MATCH(A61,Catalogo!$A$5:$A$905,0))))</f>
        <v>21357.339</v>
      </c>
      <c r="H61" s="13" t="str">
        <f t="shared" si="0"/>
        <v/>
      </c>
      <c r="I61" s="6" t="str">
        <f t="shared" si="1"/>
        <v/>
      </c>
      <c r="J61" s="6" t="str">
        <f t="shared" si="2"/>
        <v/>
      </c>
      <c r="K61" s="6" t="str">
        <f t="shared" si="3"/>
        <v/>
      </c>
      <c r="L61" t="str">
        <f t="shared" si="4"/>
        <v>Completar precio unitario</v>
      </c>
      <c r="M61" t="s">
        <v>1839</v>
      </c>
      <c r="N61" s="18">
        <v>11</v>
      </c>
      <c r="O61">
        <v>1</v>
      </c>
      <c r="P61">
        <v>61</v>
      </c>
      <c r="Q61" s="6">
        <f t="shared" si="5"/>
        <v>3559.5565000000001</v>
      </c>
    </row>
    <row r="62" spans="1:17" ht="30" customHeight="1">
      <c r="A62" s="17" t="s">
        <v>560</v>
      </c>
      <c r="B62" s="5" t="str">
        <f>IF(A62="","",IF(COUNTIF(Catalogo!$A$5:$A$905,A62)=0,"SKU no encontrado",INDEX(Catalogo!$B$5:$B$905,MATCH(A62,Catalogo!$A$5:$A$905,0))))</f>
        <v>ANDES ORIGEN IPA CAN 4X6 473</v>
      </c>
      <c r="C62">
        <f>IF(OR(A62="",B62="SKU no encontrado"),"",INDEX(Catalogo!$C$5:$C$905,MATCH(A62,Catalogo!$A$5:$A$905,0)))</f>
        <v>24</v>
      </c>
      <c r="D62" s="19">
        <v>46349</v>
      </c>
      <c r="E62" s="20">
        <v>101.9583333333</v>
      </c>
      <c r="F62" s="12"/>
      <c r="G62" s="6">
        <f>IF(OR(A62="",B62="SKU no encontrado"),"",IF(INDEX(Catalogo!$H$5:$H$905,MATCH(A62,Catalogo!$A$5:$A$905,0))=0,"",INDEX(Catalogo!$H$5:$H$905,MATCH(A62,Catalogo!$A$5:$A$905,0))))</f>
        <v>63068.307000000001</v>
      </c>
      <c r="H62" s="13" t="str">
        <f t="shared" si="0"/>
        <v/>
      </c>
      <c r="I62" s="6" t="str">
        <f t="shared" si="1"/>
        <v/>
      </c>
      <c r="J62" s="6" t="str">
        <f t="shared" si="2"/>
        <v/>
      </c>
      <c r="K62" s="6" t="str">
        <f t="shared" si="3"/>
        <v/>
      </c>
      <c r="L62" t="str">
        <f t="shared" si="4"/>
        <v>Completar precio unitario</v>
      </c>
      <c r="M62" t="s">
        <v>1839</v>
      </c>
      <c r="N62" s="18">
        <v>101.9583333333</v>
      </c>
      <c r="O62">
        <v>1</v>
      </c>
      <c r="P62">
        <v>64</v>
      </c>
      <c r="Q62" s="6">
        <f t="shared" si="5"/>
        <v>2627.846125</v>
      </c>
    </row>
    <row r="63" spans="1:17" ht="30" customHeight="1">
      <c r="A63" s="17" t="s">
        <v>82</v>
      </c>
      <c r="B63" s="5" t="str">
        <f>IF(A63="","",IF(COUNTIF(Catalogo!$A$5:$A$905,A63)=0,"SKU no encontrado",INDEX(Catalogo!$B$5:$B$905,MATCH(A63,Catalogo!$A$5:$A$905,0))))</f>
        <v>GATORADE NARANJA * X6 PET 500</v>
      </c>
      <c r="C63">
        <f>IF(OR(A63="",B63="SKU no encontrado"),"",INDEX(Catalogo!$C$5:$C$905,MATCH(A63,Catalogo!$A$5:$A$905,0)))</f>
        <v>6</v>
      </c>
      <c r="D63" s="19">
        <v>46350</v>
      </c>
      <c r="E63" s="20">
        <v>10.833333333300001</v>
      </c>
      <c r="F63" s="12"/>
      <c r="G63" s="6">
        <f>IF(OR(A63="",B63="SKU no encontrado"),"",IF(INDEX(Catalogo!$H$5:$H$905,MATCH(A63,Catalogo!$A$5:$A$905,0))=0,"",INDEX(Catalogo!$H$5:$H$905,MATCH(A63,Catalogo!$A$5:$A$905,0))))</f>
        <v>12591.147000000001</v>
      </c>
      <c r="H63" s="13" t="str">
        <f t="shared" si="0"/>
        <v/>
      </c>
      <c r="I63" s="6" t="str">
        <f t="shared" si="1"/>
        <v/>
      </c>
      <c r="J63" s="6" t="str">
        <f t="shared" si="2"/>
        <v/>
      </c>
      <c r="K63" s="6" t="str">
        <f t="shared" si="3"/>
        <v/>
      </c>
      <c r="L63" t="str">
        <f t="shared" si="4"/>
        <v>Completar precio unitario</v>
      </c>
      <c r="M63" t="s">
        <v>1839</v>
      </c>
      <c r="N63" s="18">
        <v>10.833333333300001</v>
      </c>
      <c r="O63">
        <v>1</v>
      </c>
      <c r="P63">
        <v>65</v>
      </c>
      <c r="Q63" s="6">
        <f t="shared" si="5"/>
        <v>2098.5245</v>
      </c>
    </row>
    <row r="64" spans="1:17" ht="30" customHeight="1">
      <c r="A64" s="17" t="s">
        <v>89</v>
      </c>
      <c r="B64" s="5" t="str">
        <f>IF(A64="","",IF(COUNTIF(Catalogo!$A$5:$A$905,A64)=0,"SKU no encontrado",INDEX(Catalogo!$B$5:$B$905,MATCH(A64,Catalogo!$A$5:$A$905,0))))</f>
        <v>H2OH CITRUS  X8 PET2250</v>
      </c>
      <c r="C64">
        <f>IF(OR(A64="",B64="SKU no encontrado"),"",INDEX(Catalogo!$C$5:$C$905,MATCH(A64,Catalogo!$A$5:$A$905,0)))</f>
        <v>8</v>
      </c>
      <c r="D64" s="19">
        <v>46350</v>
      </c>
      <c r="E64" s="20">
        <v>60</v>
      </c>
      <c r="F64" s="12"/>
      <c r="G64" s="6">
        <f>IF(OR(A64="",B64="SKU no encontrado"),"",IF(INDEX(Catalogo!$H$5:$H$905,MATCH(A64,Catalogo!$A$5:$A$905,0))=0,"",INDEX(Catalogo!$H$5:$H$905,MATCH(A64,Catalogo!$A$5:$A$905,0))))</f>
        <v>27358.541000000001</v>
      </c>
      <c r="H64" s="13" t="str">
        <f t="shared" si="0"/>
        <v/>
      </c>
      <c r="I64" s="6" t="str">
        <f t="shared" si="1"/>
        <v/>
      </c>
      <c r="J64" s="6" t="str">
        <f t="shared" si="2"/>
        <v/>
      </c>
      <c r="K64" s="6" t="str">
        <f t="shared" si="3"/>
        <v/>
      </c>
      <c r="L64" t="str">
        <f t="shared" si="4"/>
        <v>Completar precio unitario</v>
      </c>
      <c r="M64" t="s">
        <v>1839</v>
      </c>
      <c r="N64" s="18">
        <v>60</v>
      </c>
      <c r="O64">
        <v>1</v>
      </c>
      <c r="P64">
        <v>65</v>
      </c>
      <c r="Q64" s="6">
        <f t="shared" si="5"/>
        <v>3419.8176250000001</v>
      </c>
    </row>
    <row r="65" spans="1:17" ht="30" customHeight="1">
      <c r="A65" s="17" t="s">
        <v>889</v>
      </c>
      <c r="B65" s="5" t="str">
        <f>IF(A65="","",IF(COUNTIF(Catalogo!$A$5:$A$905,A65)=0,"SKU no encontrado",INDEX(Catalogo!$B$5:$B$905,MATCH(A65,Catalogo!$A$5:$A$905,0))))</f>
        <v>QUILMES 0.0 2.0 CAN 4X6 473CC</v>
      </c>
      <c r="C65">
        <f>IF(OR(A65="",B65="SKU no encontrado"),"",INDEX(Catalogo!$C$5:$C$905,MATCH(A65,Catalogo!$A$5:$A$905,0)))</f>
        <v>24</v>
      </c>
      <c r="D65" s="19">
        <v>46350</v>
      </c>
      <c r="E65" s="20">
        <v>0.79166666669999997</v>
      </c>
      <c r="F65" s="12"/>
      <c r="G65" s="6">
        <f>IF(OR(A65="",B65="SKU no encontrado"),"",IF(INDEX(Catalogo!$H$5:$H$905,MATCH(A65,Catalogo!$A$5:$A$905,0))=0,"",INDEX(Catalogo!$H$5:$H$905,MATCH(A65,Catalogo!$A$5:$A$905,0))))</f>
        <v>34943.163</v>
      </c>
      <c r="H65" s="13" t="str">
        <f t="shared" si="0"/>
        <v/>
      </c>
      <c r="I65" s="6" t="str">
        <f t="shared" si="1"/>
        <v/>
      </c>
      <c r="J65" s="6" t="str">
        <f t="shared" si="2"/>
        <v/>
      </c>
      <c r="K65" s="6" t="str">
        <f t="shared" si="3"/>
        <v/>
      </c>
      <c r="L65" t="str">
        <f t="shared" si="4"/>
        <v>Completar precio unitario</v>
      </c>
      <c r="M65" t="s">
        <v>1839</v>
      </c>
      <c r="N65" s="18">
        <v>0.79166666669999997</v>
      </c>
      <c r="O65">
        <v>2</v>
      </c>
      <c r="P65">
        <v>65</v>
      </c>
      <c r="Q65" s="6">
        <f t="shared" si="5"/>
        <v>1455.9651249999999</v>
      </c>
    </row>
    <row r="66" spans="1:17" ht="30" customHeight="1">
      <c r="A66" s="17" t="s">
        <v>57</v>
      </c>
      <c r="B66" s="5" t="str">
        <f>IF(A66="","",IF(COUNTIF(Catalogo!$A$5:$A$905,A66)=0,"SKU no encontrado",INDEX(Catalogo!$B$5:$B$905,MATCH(A66,Catalogo!$A$5:$A$905,0))))</f>
        <v>PEPSI 70KCAL PET X8 2000CC</v>
      </c>
      <c r="C66">
        <f>IF(OR(A66="",B66="SKU no encontrado"),"",INDEX(Catalogo!$C$5:$C$905,MATCH(A66,Catalogo!$A$5:$A$905,0)))</f>
        <v>8</v>
      </c>
      <c r="D66" s="19">
        <v>46351</v>
      </c>
      <c r="E66" s="20">
        <v>349.875</v>
      </c>
      <c r="F66" s="12"/>
      <c r="G66" s="6">
        <f>IF(OR(A66="",B66="SKU no encontrado"),"",IF(INDEX(Catalogo!$H$5:$H$905,MATCH(A66,Catalogo!$A$5:$A$905,0))=0,"",INDEX(Catalogo!$H$5:$H$905,MATCH(A66,Catalogo!$A$5:$A$905,0))))</f>
        <v>29656.170999999998</v>
      </c>
      <c r="H66" s="13" t="str">
        <f t="shared" si="0"/>
        <v/>
      </c>
      <c r="I66" s="6" t="str">
        <f t="shared" si="1"/>
        <v/>
      </c>
      <c r="J66" s="6" t="str">
        <f t="shared" si="2"/>
        <v/>
      </c>
      <c r="K66" s="6" t="str">
        <f t="shared" si="3"/>
        <v/>
      </c>
      <c r="L66" t="str">
        <f t="shared" si="4"/>
        <v>Completar precio unitario</v>
      </c>
      <c r="M66" t="s">
        <v>1839</v>
      </c>
      <c r="N66" s="18">
        <v>349.875</v>
      </c>
      <c r="O66">
        <v>1</v>
      </c>
      <c r="P66">
        <v>70</v>
      </c>
      <c r="Q66" s="6">
        <f t="shared" si="5"/>
        <v>3707.0213749999998</v>
      </c>
    </row>
    <row r="67" spans="1:17" ht="30" customHeight="1">
      <c r="A67" s="17" t="s">
        <v>57</v>
      </c>
      <c r="B67" s="5" t="str">
        <f>IF(A67="","",IF(COUNTIF(Catalogo!$A$5:$A$905,A67)=0,"SKU no encontrado",INDEX(Catalogo!$B$5:$B$905,MATCH(A67,Catalogo!$A$5:$A$905,0))))</f>
        <v>PEPSI 70KCAL PET X8 2000CC</v>
      </c>
      <c r="C67">
        <f>IF(OR(A67="",B67="SKU no encontrado"),"",INDEX(Catalogo!$C$5:$C$905,MATCH(A67,Catalogo!$A$5:$A$905,0)))</f>
        <v>8</v>
      </c>
      <c r="D67" s="19">
        <v>46352</v>
      </c>
      <c r="E67" s="20">
        <v>43.375</v>
      </c>
      <c r="F67" s="12"/>
      <c r="G67" s="6">
        <f>IF(OR(A67="",B67="SKU no encontrado"),"",IF(INDEX(Catalogo!$H$5:$H$905,MATCH(A67,Catalogo!$A$5:$A$905,0))=0,"",INDEX(Catalogo!$H$5:$H$905,MATCH(A67,Catalogo!$A$5:$A$905,0))))</f>
        <v>29656.170999999998</v>
      </c>
      <c r="H67" s="13" t="str">
        <f t="shared" si="0"/>
        <v/>
      </c>
      <c r="I67" s="6" t="str">
        <f t="shared" si="1"/>
        <v/>
      </c>
      <c r="J67" s="6" t="str">
        <f t="shared" si="2"/>
        <v/>
      </c>
      <c r="K67" s="6" t="str">
        <f t="shared" si="3"/>
        <v/>
      </c>
      <c r="L67" t="str">
        <f t="shared" si="4"/>
        <v>Completar precio unitario</v>
      </c>
      <c r="M67" t="s">
        <v>1839</v>
      </c>
      <c r="N67" s="18">
        <v>43.375</v>
      </c>
      <c r="O67">
        <v>2</v>
      </c>
      <c r="P67">
        <v>71</v>
      </c>
      <c r="Q67" s="6">
        <f t="shared" si="5"/>
        <v>3707.0213749999998</v>
      </c>
    </row>
    <row r="68" spans="1:17" ht="30" customHeight="1">
      <c r="A68" s="17" t="s">
        <v>627</v>
      </c>
      <c r="B68" s="5" t="str">
        <f>IF(A68="","",IF(COUNTIF(Catalogo!$A$5:$A$905,A68)=0,"SKU no encontrado",INDEX(Catalogo!$B$5:$B$905,MATCH(A68,Catalogo!$A$5:$A$905,0))))</f>
        <v>PDTOROS PET POM SIN AZUCARES X6 1500CC</v>
      </c>
      <c r="C68">
        <f>IF(OR(A68="",B68="SKU no encontrado"),"",INDEX(Catalogo!$C$5:$C$905,MATCH(A68,Catalogo!$A$5:$A$905,0)))</f>
        <v>6</v>
      </c>
      <c r="D68" s="19">
        <v>46353</v>
      </c>
      <c r="E68" s="20">
        <v>11</v>
      </c>
      <c r="F68" s="12"/>
      <c r="G68" s="6">
        <f>IF(OR(A68="",B68="SKU no encontrado"),"",IF(INDEX(Catalogo!$H$5:$H$905,MATCH(A68,Catalogo!$A$5:$A$905,0))=0,"",INDEX(Catalogo!$H$5:$H$905,MATCH(A68,Catalogo!$A$5:$A$905,0))))</f>
        <v>21688.986000000001</v>
      </c>
      <c r="H68" s="13" t="str">
        <f t="shared" si="0"/>
        <v/>
      </c>
      <c r="I68" s="6" t="str">
        <f t="shared" si="1"/>
        <v/>
      </c>
      <c r="J68" s="6" t="str">
        <f t="shared" si="2"/>
        <v/>
      </c>
      <c r="K68" s="6" t="str">
        <f t="shared" si="3"/>
        <v/>
      </c>
      <c r="L68" t="str">
        <f t="shared" si="4"/>
        <v>Completar precio unitario</v>
      </c>
      <c r="M68" t="s">
        <v>1839</v>
      </c>
      <c r="N68" s="18">
        <v>11</v>
      </c>
      <c r="O68">
        <v>1</v>
      </c>
      <c r="P68">
        <v>68</v>
      </c>
      <c r="Q68" s="6">
        <f t="shared" si="5"/>
        <v>3614.8310000000001</v>
      </c>
    </row>
    <row r="69" spans="1:17" ht="30" customHeight="1">
      <c r="A69" s="17" t="s">
        <v>1028</v>
      </c>
      <c r="B69" s="5" t="str">
        <f>IF(A69="","",IF(COUNTIF(Catalogo!$A$5:$A$905,A69)=0,"SKU no encontrado",INDEX(Catalogo!$B$5:$B$905,MATCH(A69,Catalogo!$A$5:$A$905,0))))</f>
        <v>7UP PET X8 2000CC</v>
      </c>
      <c r="C69">
        <f>IF(OR(A69="",B69="SKU no encontrado"),"",INDEX(Catalogo!$C$5:$C$905,MATCH(A69,Catalogo!$A$5:$A$905,0)))</f>
        <v>8</v>
      </c>
      <c r="D69" s="19">
        <v>46353</v>
      </c>
      <c r="E69" s="20">
        <v>600</v>
      </c>
      <c r="F69" s="12"/>
      <c r="G69" s="6">
        <f>IF(OR(A69="",B69="SKU no encontrado"),"",IF(INDEX(Catalogo!$H$5:$H$905,MATCH(A69,Catalogo!$A$5:$A$905,0))=0,"",INDEX(Catalogo!$H$5:$H$905,MATCH(A69,Catalogo!$A$5:$A$905,0))))</f>
        <v>27093.71</v>
      </c>
      <c r="H69" s="13" t="str">
        <f t="shared" ref="H69:H132" si="6">IF(OR(M69="ELIMINAR",G69="",F69="",F69&lt;0,C69&lt;=0,F69*C69&gt;G69,E69&gt;N69),"",1-F69*C69/G69)</f>
        <v/>
      </c>
      <c r="I69" s="6" t="str">
        <f t="shared" ref="I69:I132" si="7">IF(H69="","",G69-F69*C69)</f>
        <v/>
      </c>
      <c r="J69" s="6" t="str">
        <f t="shared" ref="J69:J132" si="8">IF(OR(I69="",E69="",E69&lt;=0),"",I69*E69)</f>
        <v/>
      </c>
      <c r="K69" s="6" t="str">
        <f t="shared" ref="K69:K132" si="9">IF(OR(H69="",C69&lt;=0),"",F69*C69)</f>
        <v/>
      </c>
      <c r="L69" t="str">
        <f t="shared" ref="L69:L132" si="10">IF(M69="ELIMINAR","ELIMINAR según origen",IF(G69="","Sin precio válido",IF(C69&lt;=0,"Sin unidades por bulto",IF(F69="","Completar precio unitario",IF(OR(F69&lt;0,F69*C69&gt;G69),"Revisar precio unitario",IF(OR(E69&lt;=0,E69&gt;N69),"Revisar bultos vs. stock","Estimado proporcional"))))))</f>
        <v>Completar precio unitario</v>
      </c>
      <c r="M69" t="s">
        <v>1839</v>
      </c>
      <c r="N69" s="18">
        <v>600</v>
      </c>
      <c r="O69">
        <v>3</v>
      </c>
      <c r="P69">
        <v>72</v>
      </c>
      <c r="Q69" s="6">
        <f t="shared" ref="Q69:Q132" si="11">IF(OR(G69="",C69&lt;=0),"",G69/C69)</f>
        <v>3386.7137499999999</v>
      </c>
    </row>
    <row r="70" spans="1:17" ht="30" customHeight="1">
      <c r="A70" s="17" t="s">
        <v>859</v>
      </c>
      <c r="B70" s="5" t="str">
        <f>IF(A70="","",IF(COUNTIF(Catalogo!$A$5:$A$905,A70)=0,"SKU no encontrado",INDEX(Catalogo!$B$5:$B$905,MATCH(A70,Catalogo!$A$5:$A$905,0))))</f>
        <v>H2OH STILL POMELO PET X6 1.500L 96 BUL</v>
      </c>
      <c r="C70">
        <f>IF(OR(A70="",B70="SKU no encontrado"),"",INDEX(Catalogo!$C$5:$C$905,MATCH(A70,Catalogo!$A$5:$A$905,0)))</f>
        <v>6</v>
      </c>
      <c r="D70" s="19">
        <v>46354</v>
      </c>
      <c r="E70" s="20">
        <v>9</v>
      </c>
      <c r="F70" s="12"/>
      <c r="G70" s="6">
        <f>IF(OR(A70="",B70="SKU no encontrado"),"",IF(INDEX(Catalogo!$H$5:$H$905,MATCH(A70,Catalogo!$A$5:$A$905,0))=0,"",INDEX(Catalogo!$H$5:$H$905,MATCH(A70,Catalogo!$A$5:$A$905,0))))</f>
        <v>17690.571</v>
      </c>
      <c r="H70" s="13" t="str">
        <f t="shared" si="6"/>
        <v/>
      </c>
      <c r="I70" s="6" t="str">
        <f t="shared" si="7"/>
        <v/>
      </c>
      <c r="J70" s="6" t="str">
        <f t="shared" si="8"/>
        <v/>
      </c>
      <c r="K70" s="6" t="str">
        <f t="shared" si="9"/>
        <v/>
      </c>
      <c r="L70" t="str">
        <f t="shared" si="10"/>
        <v>Completar precio unitario</v>
      </c>
      <c r="M70" t="s">
        <v>1839</v>
      </c>
      <c r="N70" s="18">
        <v>9</v>
      </c>
      <c r="O70">
        <v>1</v>
      </c>
      <c r="P70">
        <v>69</v>
      </c>
      <c r="Q70" s="6">
        <f t="shared" si="11"/>
        <v>2948.4285</v>
      </c>
    </row>
    <row r="71" spans="1:17" ht="30" customHeight="1">
      <c r="A71" s="17" t="s">
        <v>1032</v>
      </c>
      <c r="B71" s="5" t="str">
        <f>IF(A71="","",IF(COUNTIF(Catalogo!$A$5:$A$905,A71)=0,"SKU no encontrado",INDEX(Catalogo!$B$5:$B$905,MATCH(A71,Catalogo!$A$5:$A$905,0))))</f>
        <v>STELLA ARTOIS PURE GOLD OW 4X6 330CC IMP</v>
      </c>
      <c r="C71">
        <f>IF(OR(A71="",B71="SKU no encontrado"),"",INDEX(Catalogo!$C$5:$C$905,MATCH(A71,Catalogo!$A$5:$A$905,0)))</f>
        <v>24</v>
      </c>
      <c r="D71" s="19">
        <v>46354</v>
      </c>
      <c r="E71" s="20">
        <v>7.7916666667000003</v>
      </c>
      <c r="F71" s="12"/>
      <c r="G71" s="6">
        <f>IF(OR(A71="",B71="SKU no encontrado"),"",IF(INDEX(Catalogo!$H$5:$H$905,MATCH(A71,Catalogo!$A$5:$A$905,0))=0,"",INDEX(Catalogo!$H$5:$H$905,MATCH(A71,Catalogo!$A$5:$A$905,0))))</f>
        <v>68154.698999999993</v>
      </c>
      <c r="H71" s="13" t="str">
        <f t="shared" si="6"/>
        <v/>
      </c>
      <c r="I71" s="6" t="str">
        <f t="shared" si="7"/>
        <v/>
      </c>
      <c r="J71" s="6" t="str">
        <f t="shared" si="8"/>
        <v/>
      </c>
      <c r="K71" s="6" t="str">
        <f t="shared" si="9"/>
        <v/>
      </c>
      <c r="L71" t="str">
        <f t="shared" si="10"/>
        <v>Completar precio unitario</v>
      </c>
      <c r="M71" t="s">
        <v>1839</v>
      </c>
      <c r="N71" s="18">
        <v>7.7916666667000003</v>
      </c>
      <c r="O71">
        <v>1</v>
      </c>
      <c r="P71">
        <v>69</v>
      </c>
      <c r="Q71" s="6">
        <f t="shared" si="11"/>
        <v>2839.7791249999996</v>
      </c>
    </row>
    <row r="72" spans="1:17" ht="30" customHeight="1">
      <c r="A72" s="17" t="s">
        <v>814</v>
      </c>
      <c r="B72" s="5" t="str">
        <f>IF(A72="","",IF(COUNTIF(Catalogo!$A$5:$A$905,A72)=0,"SKU no encontrado",INDEX(Catalogo!$B$5:$B$905,MATCH(A72,Catalogo!$A$5:$A$905,0))))</f>
        <v>H2OH STILL LIMON PET X6 500CC</v>
      </c>
      <c r="C72">
        <f>IF(OR(A72="",B72="SKU no encontrado"),"",INDEX(Catalogo!$C$5:$C$905,MATCH(A72,Catalogo!$A$5:$A$905,0)))</f>
        <v>6</v>
      </c>
      <c r="D72" s="19">
        <v>46355</v>
      </c>
      <c r="E72" s="20">
        <v>83</v>
      </c>
      <c r="F72" s="12"/>
      <c r="G72" s="6">
        <f>IF(OR(A72="",B72="SKU no encontrado"),"",IF(INDEX(Catalogo!$H$5:$H$905,MATCH(A72,Catalogo!$A$5:$A$905,0))=0,"",INDEX(Catalogo!$H$5:$H$905,MATCH(A72,Catalogo!$A$5:$A$905,0))))</f>
        <v>8378.4660000000003</v>
      </c>
      <c r="H72" s="13" t="str">
        <f t="shared" si="6"/>
        <v/>
      </c>
      <c r="I72" s="6" t="str">
        <f t="shared" si="7"/>
        <v/>
      </c>
      <c r="J72" s="6" t="str">
        <f t="shared" si="8"/>
        <v/>
      </c>
      <c r="K72" s="6" t="str">
        <f t="shared" si="9"/>
        <v/>
      </c>
      <c r="L72" t="str">
        <f t="shared" si="10"/>
        <v>Completar precio unitario</v>
      </c>
      <c r="M72" t="s">
        <v>1839</v>
      </c>
      <c r="N72" s="18">
        <v>83</v>
      </c>
      <c r="O72">
        <v>1</v>
      </c>
      <c r="P72">
        <v>70</v>
      </c>
      <c r="Q72" s="6">
        <f t="shared" si="11"/>
        <v>1396.4110000000001</v>
      </c>
    </row>
    <row r="73" spans="1:17" ht="30" customHeight="1">
      <c r="A73" s="17" t="s">
        <v>1030</v>
      </c>
      <c r="B73" s="5" t="str">
        <f>IF(A73="","",IF(COUNTIF(Catalogo!$A$5:$A$905,A73)=0,"SKU no encontrado",INDEX(Catalogo!$B$5:$B$905,MATCH(A73,Catalogo!$A$5:$A$905,0))))</f>
        <v>MICHELOB ULTRA OW 4X6 275CC EXP</v>
      </c>
      <c r="C73">
        <f>IF(OR(A73="",B73="SKU no encontrado"),"",INDEX(Catalogo!$C$5:$C$905,MATCH(A73,Catalogo!$A$5:$A$905,0)))</f>
        <v>24</v>
      </c>
      <c r="D73" s="19">
        <v>46355</v>
      </c>
      <c r="E73" s="20">
        <v>2.4166666666999999</v>
      </c>
      <c r="F73" s="12"/>
      <c r="G73" s="6">
        <f>IF(OR(A73="",B73="SKU no encontrado"),"",IF(INDEX(Catalogo!$H$5:$H$905,MATCH(A73,Catalogo!$A$5:$A$905,0))=0,"",INDEX(Catalogo!$H$5:$H$905,MATCH(A73,Catalogo!$A$5:$A$905,0))))</f>
        <v>53812.391000000003</v>
      </c>
      <c r="H73" s="13" t="str">
        <f t="shared" si="6"/>
        <v/>
      </c>
      <c r="I73" s="6" t="str">
        <f t="shared" si="7"/>
        <v/>
      </c>
      <c r="J73" s="6" t="str">
        <f t="shared" si="8"/>
        <v/>
      </c>
      <c r="K73" s="6" t="str">
        <f t="shared" si="9"/>
        <v/>
      </c>
      <c r="L73" t="str">
        <f t="shared" si="10"/>
        <v>Completar precio unitario</v>
      </c>
      <c r="M73" t="s">
        <v>1839</v>
      </c>
      <c r="N73" s="18">
        <v>2.4166666666999999</v>
      </c>
      <c r="O73">
        <v>1</v>
      </c>
      <c r="P73">
        <v>70</v>
      </c>
      <c r="Q73" s="6">
        <f t="shared" si="11"/>
        <v>2242.1829583333333</v>
      </c>
    </row>
    <row r="74" spans="1:17" ht="30" customHeight="1">
      <c r="A74" s="17" t="s">
        <v>1030</v>
      </c>
      <c r="B74" s="5" t="str">
        <f>IF(A74="","",IF(COUNTIF(Catalogo!$A$5:$A$905,A74)=0,"SKU no encontrado",INDEX(Catalogo!$B$5:$B$905,MATCH(A74,Catalogo!$A$5:$A$905,0))))</f>
        <v>MICHELOB ULTRA OW 4X6 275CC EXP</v>
      </c>
      <c r="C74">
        <f>IF(OR(A74="",B74="SKU no encontrado"),"",INDEX(Catalogo!$C$5:$C$905,MATCH(A74,Catalogo!$A$5:$A$905,0)))</f>
        <v>24</v>
      </c>
      <c r="D74" s="19">
        <v>46356</v>
      </c>
      <c r="E74" s="20">
        <v>26</v>
      </c>
      <c r="F74" s="12"/>
      <c r="G74" s="6">
        <f>IF(OR(A74="",B74="SKU no encontrado"),"",IF(INDEX(Catalogo!$H$5:$H$905,MATCH(A74,Catalogo!$A$5:$A$905,0))=0,"",INDEX(Catalogo!$H$5:$H$905,MATCH(A74,Catalogo!$A$5:$A$905,0))))</f>
        <v>53812.391000000003</v>
      </c>
      <c r="H74" s="13" t="str">
        <f t="shared" si="6"/>
        <v/>
      </c>
      <c r="I74" s="6" t="str">
        <f t="shared" si="7"/>
        <v/>
      </c>
      <c r="J74" s="6" t="str">
        <f t="shared" si="8"/>
        <v/>
      </c>
      <c r="K74" s="6" t="str">
        <f t="shared" si="9"/>
        <v/>
      </c>
      <c r="L74" t="str">
        <f t="shared" si="10"/>
        <v>Completar precio unitario</v>
      </c>
      <c r="M74" t="s">
        <v>1839</v>
      </c>
      <c r="N74" s="18">
        <v>26</v>
      </c>
      <c r="O74">
        <v>2</v>
      </c>
      <c r="P74">
        <v>71</v>
      </c>
      <c r="Q74" s="6">
        <f t="shared" si="11"/>
        <v>2242.1829583333333</v>
      </c>
    </row>
    <row r="75" spans="1:17" ht="30" customHeight="1">
      <c r="A75" s="17" t="s">
        <v>674</v>
      </c>
      <c r="B75" s="5" t="str">
        <f>IF(A75="","",IF(COUNTIF(Catalogo!$A$5:$A$905,A75)=0,"SKU no encontrado",INDEX(Catalogo!$B$5:$B$905,MATCH(A75,Catalogo!$A$5:$A$905,0))))</f>
        <v>MIRINDA NARANJA PET X6 500CC</v>
      </c>
      <c r="C75">
        <f>IF(OR(A75="",B75="SKU no encontrado"),"",INDEX(Catalogo!$C$5:$C$905,MATCH(A75,Catalogo!$A$5:$A$905,0)))</f>
        <v>6</v>
      </c>
      <c r="D75" s="19">
        <v>46359</v>
      </c>
      <c r="E75" s="20">
        <v>336</v>
      </c>
      <c r="F75" s="12"/>
      <c r="G75" s="6">
        <f>IF(OR(A75="",B75="SKU no encontrado"),"",IF(INDEX(Catalogo!$H$5:$H$905,MATCH(A75,Catalogo!$A$5:$A$905,0))=0,"",INDEX(Catalogo!$H$5:$H$905,MATCH(A75,Catalogo!$A$5:$A$905,0))))</f>
        <v>10239.912</v>
      </c>
      <c r="H75" s="13" t="str">
        <f t="shared" si="6"/>
        <v/>
      </c>
      <c r="I75" s="6" t="str">
        <f t="shared" si="7"/>
        <v/>
      </c>
      <c r="J75" s="6" t="str">
        <f t="shared" si="8"/>
        <v/>
      </c>
      <c r="K75" s="6" t="str">
        <f t="shared" si="9"/>
        <v/>
      </c>
      <c r="L75" t="str">
        <f t="shared" si="10"/>
        <v>Completar precio unitario</v>
      </c>
      <c r="M75" t="s">
        <v>1839</v>
      </c>
      <c r="N75" s="18">
        <v>336</v>
      </c>
      <c r="O75">
        <v>2</v>
      </c>
      <c r="P75">
        <v>74</v>
      </c>
      <c r="Q75" s="6">
        <f t="shared" si="11"/>
        <v>1706.652</v>
      </c>
    </row>
    <row r="76" spans="1:17" ht="30" customHeight="1">
      <c r="A76" s="17" t="s">
        <v>78</v>
      </c>
      <c r="B76" s="5" t="str">
        <f>IF(A76="","",IF(COUNTIF(Catalogo!$A$5:$A$905,A76)=0,"SKU no encontrado",INDEX(Catalogo!$B$5:$B$905,MATCH(A76,Catalogo!$A$5:$A$905,0))))</f>
        <v>MIRINDA NARANJA * X8 PET2250</v>
      </c>
      <c r="C76">
        <f>IF(OR(A76="",B76="SKU no encontrado"),"",INDEX(Catalogo!$C$5:$C$905,MATCH(A76,Catalogo!$A$5:$A$905,0)))</f>
        <v>8</v>
      </c>
      <c r="D76" s="19">
        <v>46364</v>
      </c>
      <c r="E76" s="20">
        <v>182.75</v>
      </c>
      <c r="F76" s="12"/>
      <c r="G76" s="6">
        <f>IF(OR(A76="",B76="SKU no encontrado"),"",IF(INDEX(Catalogo!$H$5:$H$905,MATCH(A76,Catalogo!$A$5:$A$905,0))=0,"",INDEX(Catalogo!$H$5:$H$905,MATCH(A76,Catalogo!$A$5:$A$905,0))))</f>
        <v>19048.438999999998</v>
      </c>
      <c r="H76" s="13" t="str">
        <f t="shared" si="6"/>
        <v/>
      </c>
      <c r="I76" s="6" t="str">
        <f t="shared" si="7"/>
        <v/>
      </c>
      <c r="J76" s="6" t="str">
        <f t="shared" si="8"/>
        <v/>
      </c>
      <c r="K76" s="6" t="str">
        <f t="shared" si="9"/>
        <v/>
      </c>
      <c r="L76" t="str">
        <f t="shared" si="10"/>
        <v>Completar precio unitario</v>
      </c>
      <c r="M76" t="s">
        <v>1839</v>
      </c>
      <c r="N76" s="18">
        <v>182.75</v>
      </c>
      <c r="O76">
        <v>1</v>
      </c>
      <c r="P76">
        <v>79</v>
      </c>
      <c r="Q76" s="6">
        <f t="shared" si="11"/>
        <v>2381.0548749999998</v>
      </c>
    </row>
    <row r="77" spans="1:17" ht="30" customHeight="1">
      <c r="A77" s="17" t="s">
        <v>840</v>
      </c>
      <c r="B77" s="5" t="str">
        <f>IF(A77="","",IF(COUNTIF(Catalogo!$A$5:$A$905,A77)=0,"SKU no encontrado",INDEX(Catalogo!$B$5:$B$905,MATCH(A77,Catalogo!$A$5:$A$905,0))))</f>
        <v>PEPSI 70KCAL PET X6 1500CC</v>
      </c>
      <c r="C77">
        <f>IF(OR(A77="",B77="SKU no encontrado"),"",INDEX(Catalogo!$C$5:$C$905,MATCH(A77,Catalogo!$A$5:$A$905,0)))</f>
        <v>6</v>
      </c>
      <c r="D77" s="19">
        <v>46364</v>
      </c>
      <c r="E77" s="20">
        <v>240</v>
      </c>
      <c r="F77" s="12"/>
      <c r="G77" s="6">
        <f>IF(OR(A77="",B77="SKU no encontrado"),"",IF(INDEX(Catalogo!$H$5:$H$905,MATCH(A77,Catalogo!$A$5:$A$905,0))=0,"",INDEX(Catalogo!$H$5:$H$905,MATCH(A77,Catalogo!$A$5:$A$905,0))))</f>
        <v>21357.339</v>
      </c>
      <c r="H77" s="13" t="str">
        <f t="shared" si="6"/>
        <v/>
      </c>
      <c r="I77" s="6" t="str">
        <f t="shared" si="7"/>
        <v/>
      </c>
      <c r="J77" s="6" t="str">
        <f t="shared" si="8"/>
        <v/>
      </c>
      <c r="K77" s="6" t="str">
        <f t="shared" si="9"/>
        <v/>
      </c>
      <c r="L77" t="str">
        <f t="shared" si="10"/>
        <v>Completar precio unitario</v>
      </c>
      <c r="M77" t="s">
        <v>1839</v>
      </c>
      <c r="N77" s="18">
        <v>240</v>
      </c>
      <c r="O77">
        <v>2</v>
      </c>
      <c r="P77">
        <v>83</v>
      </c>
      <c r="Q77" s="6">
        <f t="shared" si="11"/>
        <v>3559.5565000000001</v>
      </c>
    </row>
    <row r="78" spans="1:17" ht="30" customHeight="1">
      <c r="A78" s="17" t="s">
        <v>843</v>
      </c>
      <c r="B78" s="5" t="str">
        <f>IF(A78="","",IF(COUNTIF(Catalogo!$A$5:$A$905,A78)=0,"SKU no encontrado",INDEX(Catalogo!$B$5:$B$905,MATCH(A78,Catalogo!$A$5:$A$905,0))))</f>
        <v>PEPSI 70KCAL PET X6 3000CC</v>
      </c>
      <c r="C78">
        <f>IF(OR(A78="",B78="SKU no encontrado"),"",INDEX(Catalogo!$C$5:$C$905,MATCH(A78,Catalogo!$A$5:$A$905,0)))</f>
        <v>6</v>
      </c>
      <c r="D78" s="19">
        <v>46365</v>
      </c>
      <c r="E78" s="20">
        <v>593.33333333329995</v>
      </c>
      <c r="F78" s="12"/>
      <c r="G78" s="6">
        <f>IF(OR(A78="",B78="SKU no encontrado"),"",IF(INDEX(Catalogo!$H$5:$H$905,MATCH(A78,Catalogo!$A$5:$A$905,0))=0,"",INDEX(Catalogo!$H$5:$H$905,MATCH(A78,Catalogo!$A$5:$A$905,0))))</f>
        <v>24830.218000000001</v>
      </c>
      <c r="H78" s="13" t="str">
        <f t="shared" si="6"/>
        <v/>
      </c>
      <c r="I78" s="6" t="str">
        <f t="shared" si="7"/>
        <v/>
      </c>
      <c r="J78" s="6" t="str">
        <f t="shared" si="8"/>
        <v/>
      </c>
      <c r="K78" s="6" t="str">
        <f t="shared" si="9"/>
        <v/>
      </c>
      <c r="L78" t="str">
        <f t="shared" si="10"/>
        <v>Completar precio unitario</v>
      </c>
      <c r="M78" t="s">
        <v>1839</v>
      </c>
      <c r="N78" s="18">
        <v>593.33333333329995</v>
      </c>
      <c r="O78">
        <v>1</v>
      </c>
      <c r="P78">
        <v>84</v>
      </c>
      <c r="Q78" s="6">
        <f t="shared" si="11"/>
        <v>4138.3696666666665</v>
      </c>
    </row>
    <row r="79" spans="1:17" ht="30" customHeight="1">
      <c r="A79" s="17" t="s">
        <v>615</v>
      </c>
      <c r="B79" s="5" t="str">
        <f>IF(A79="","",IF(COUNTIF(Catalogo!$A$5:$A$905,A79)=0,"SKU no encontrado",INDEX(Catalogo!$B$5:$B$905,MATCH(A79,Catalogo!$A$5:$A$905,0))))</f>
        <v>MIRINDA POMELO PET X8 2250CC</v>
      </c>
      <c r="C79">
        <f>IF(OR(A79="",B79="SKU no encontrado"),"",INDEX(Catalogo!$C$5:$C$905,MATCH(A79,Catalogo!$A$5:$A$905,0)))</f>
        <v>8</v>
      </c>
      <c r="D79" s="19">
        <v>46366</v>
      </c>
      <c r="E79" s="20">
        <v>135</v>
      </c>
      <c r="F79" s="12"/>
      <c r="G79" s="6">
        <f>IF(OR(A79="",B79="SKU no encontrado"),"",IF(INDEX(Catalogo!$H$5:$H$905,MATCH(A79,Catalogo!$A$5:$A$905,0))=0,"",INDEX(Catalogo!$H$5:$H$905,MATCH(A79,Catalogo!$A$5:$A$905,0))))</f>
        <v>19048.438999999998</v>
      </c>
      <c r="H79" s="13" t="str">
        <f t="shared" si="6"/>
        <v/>
      </c>
      <c r="I79" s="6" t="str">
        <f t="shared" si="7"/>
        <v/>
      </c>
      <c r="J79" s="6" t="str">
        <f t="shared" si="8"/>
        <v/>
      </c>
      <c r="K79" s="6" t="str">
        <f t="shared" si="9"/>
        <v/>
      </c>
      <c r="L79" t="str">
        <f t="shared" si="10"/>
        <v>Completar precio unitario</v>
      </c>
      <c r="M79" t="s">
        <v>1839</v>
      </c>
      <c r="N79" s="18">
        <v>135</v>
      </c>
      <c r="O79">
        <v>1</v>
      </c>
      <c r="P79">
        <v>81</v>
      </c>
      <c r="Q79" s="6">
        <f t="shared" si="11"/>
        <v>2381.0548749999998</v>
      </c>
    </row>
    <row r="80" spans="1:17" ht="30" customHeight="1">
      <c r="A80" s="17" t="s">
        <v>867</v>
      </c>
      <c r="B80" s="5" t="str">
        <f>IF(A80="","",IF(COUNTIF(Catalogo!$A$5:$A$905,A80)=0,"SKU no encontrado",INDEX(Catalogo!$B$5:$B$905,MATCH(A80,Catalogo!$A$5:$A$905,0))))</f>
        <v>7UP PET X6 3000CC NF 2024</v>
      </c>
      <c r="C80">
        <f>IF(OR(A80="",B80="SKU no encontrado"),"",INDEX(Catalogo!$C$5:$C$905,MATCH(A80,Catalogo!$A$5:$A$905,0)))</f>
        <v>6</v>
      </c>
      <c r="D80" s="19">
        <v>46368</v>
      </c>
      <c r="E80" s="20">
        <v>567.66666666670005</v>
      </c>
      <c r="F80" s="12"/>
      <c r="G80" s="6">
        <f>IF(OR(A80="",B80="SKU no encontrado"),"",IF(INDEX(Catalogo!$H$5:$H$905,MATCH(A80,Catalogo!$A$5:$A$905,0))=0,"",INDEX(Catalogo!$H$5:$H$905,MATCH(A80,Catalogo!$A$5:$A$905,0))))</f>
        <v>24851.03</v>
      </c>
      <c r="H80" s="13" t="str">
        <f t="shared" si="6"/>
        <v/>
      </c>
      <c r="I80" s="6" t="str">
        <f t="shared" si="7"/>
        <v/>
      </c>
      <c r="J80" s="6" t="str">
        <f t="shared" si="8"/>
        <v/>
      </c>
      <c r="K80" s="6" t="str">
        <f t="shared" si="9"/>
        <v/>
      </c>
      <c r="L80" t="str">
        <f t="shared" si="10"/>
        <v>Completar precio unitario</v>
      </c>
      <c r="M80" t="s">
        <v>1839</v>
      </c>
      <c r="N80" s="18">
        <v>567.66666666670005</v>
      </c>
      <c r="O80">
        <v>1</v>
      </c>
      <c r="P80">
        <v>87</v>
      </c>
      <c r="Q80" s="6">
        <f t="shared" si="11"/>
        <v>4141.8383333333331</v>
      </c>
    </row>
    <row r="81" spans="1:17" ht="30" customHeight="1">
      <c r="A81" s="17" t="s">
        <v>873</v>
      </c>
      <c r="B81" s="5" t="str">
        <f>IF(A81="","",IF(COUNTIF(Catalogo!$A$5:$A$905,A81)=0,"SKU no encontrado",INDEX(Catalogo!$B$5:$B$905,MATCH(A81,Catalogo!$A$5:$A$905,0))))</f>
        <v>7UP FREE PET X8 2250CC 2024</v>
      </c>
      <c r="C81">
        <f>IF(OR(A81="",B81="SKU no encontrado"),"",INDEX(Catalogo!$C$5:$C$905,MATCH(A81,Catalogo!$A$5:$A$905,0)))</f>
        <v>8</v>
      </c>
      <c r="D81" s="19">
        <v>46368</v>
      </c>
      <c r="E81" s="20">
        <v>54.375</v>
      </c>
      <c r="F81" s="12"/>
      <c r="G81" s="6">
        <f>IF(OR(A81="",B81="SKU no encontrado"),"",IF(INDEX(Catalogo!$H$5:$H$905,MATCH(A81,Catalogo!$A$5:$A$905,0))=0,"",INDEX(Catalogo!$H$5:$H$905,MATCH(A81,Catalogo!$A$5:$A$905,0))))</f>
        <v>19735.760999999999</v>
      </c>
      <c r="H81" s="13" t="str">
        <f t="shared" si="6"/>
        <v/>
      </c>
      <c r="I81" s="6" t="str">
        <f t="shared" si="7"/>
        <v/>
      </c>
      <c r="J81" s="6" t="str">
        <f t="shared" si="8"/>
        <v/>
      </c>
      <c r="K81" s="6" t="str">
        <f t="shared" si="9"/>
        <v/>
      </c>
      <c r="L81" t="str">
        <f t="shared" si="10"/>
        <v>Completar precio unitario</v>
      </c>
      <c r="M81" t="s">
        <v>1839</v>
      </c>
      <c r="N81" s="18">
        <v>54.375</v>
      </c>
      <c r="O81">
        <v>1</v>
      </c>
      <c r="P81">
        <v>83</v>
      </c>
      <c r="Q81" s="6">
        <f t="shared" si="11"/>
        <v>2466.9701249999998</v>
      </c>
    </row>
    <row r="82" spans="1:17" ht="30" customHeight="1">
      <c r="A82" s="17" t="s">
        <v>432</v>
      </c>
      <c r="B82" s="5" t="str">
        <f>IF(A82="","",IF(COUNTIF(Catalogo!$A$5:$A$905,A82)=0,"SKU no encontrado",INDEX(Catalogo!$B$5:$B$905,MATCH(A82,Catalogo!$A$5:$A$905,0))))</f>
        <v>PEPSI PET X8 2250 BLACK</v>
      </c>
      <c r="C82">
        <f>IF(OR(A82="",B82="SKU no encontrado"),"",INDEX(Catalogo!$C$5:$C$905,MATCH(A82,Catalogo!$A$5:$A$905,0)))</f>
        <v>8</v>
      </c>
      <c r="D82" s="19">
        <v>46369</v>
      </c>
      <c r="E82" s="20">
        <v>71</v>
      </c>
      <c r="F82" s="12"/>
      <c r="G82" s="6">
        <f>IF(OR(A82="",B82="SKU no encontrado"),"",IF(INDEX(Catalogo!$H$5:$H$905,MATCH(A82,Catalogo!$A$5:$A$905,0))=0,"",INDEX(Catalogo!$H$5:$H$905,MATCH(A82,Catalogo!$A$5:$A$905,0))))</f>
        <v>19720.349999999999</v>
      </c>
      <c r="H82" s="13" t="str">
        <f t="shared" si="6"/>
        <v/>
      </c>
      <c r="I82" s="6" t="str">
        <f t="shared" si="7"/>
        <v/>
      </c>
      <c r="J82" s="6" t="str">
        <f t="shared" si="8"/>
        <v/>
      </c>
      <c r="K82" s="6" t="str">
        <f t="shared" si="9"/>
        <v/>
      </c>
      <c r="L82" t="str">
        <f t="shared" si="10"/>
        <v>Completar precio unitario</v>
      </c>
      <c r="M82" t="s">
        <v>1839</v>
      </c>
      <c r="N82" s="18">
        <v>71</v>
      </c>
      <c r="O82">
        <v>1</v>
      </c>
      <c r="P82">
        <v>84</v>
      </c>
      <c r="Q82" s="6">
        <f t="shared" si="11"/>
        <v>2465.0437499999998</v>
      </c>
    </row>
    <row r="83" spans="1:17" ht="30" customHeight="1">
      <c r="A83" s="17" t="s">
        <v>984</v>
      </c>
      <c r="B83" s="5" t="str">
        <f>IF(A83="","",IF(COUNTIF(Catalogo!$A$5:$A$905,A83)=0,"SKU no encontrado",INDEX(Catalogo!$B$5:$B$905,MATCH(A83,Catalogo!$A$5:$A$905,0))))</f>
        <v>H2OH S/GAS NARANJA PET X6 1500CC</v>
      </c>
      <c r="C83">
        <f>IF(OR(A83="",B83="SKU no encontrado"),"",INDEX(Catalogo!$C$5:$C$905,MATCH(A83,Catalogo!$A$5:$A$905,0)))</f>
        <v>6</v>
      </c>
      <c r="D83" s="19">
        <v>46369</v>
      </c>
      <c r="E83" s="20">
        <v>56</v>
      </c>
      <c r="F83" s="12"/>
      <c r="G83" s="6">
        <f>IF(OR(A83="",B83="SKU no encontrado"),"",IF(INDEX(Catalogo!$H$5:$H$905,MATCH(A83,Catalogo!$A$5:$A$905,0))=0,"",INDEX(Catalogo!$H$5:$H$905,MATCH(A83,Catalogo!$A$5:$A$905,0))))</f>
        <v>17690.571</v>
      </c>
      <c r="H83" s="13" t="str">
        <f t="shared" si="6"/>
        <v/>
      </c>
      <c r="I83" s="6" t="str">
        <f t="shared" si="7"/>
        <v/>
      </c>
      <c r="J83" s="6" t="str">
        <f t="shared" si="8"/>
        <v/>
      </c>
      <c r="K83" s="6" t="str">
        <f t="shared" si="9"/>
        <v/>
      </c>
      <c r="L83" t="str">
        <f t="shared" si="10"/>
        <v>Completar precio unitario</v>
      </c>
      <c r="M83" t="s">
        <v>1839</v>
      </c>
      <c r="N83" s="18">
        <v>56</v>
      </c>
      <c r="O83">
        <v>1</v>
      </c>
      <c r="P83">
        <v>84</v>
      </c>
      <c r="Q83" s="6">
        <f t="shared" si="11"/>
        <v>2948.4285</v>
      </c>
    </row>
    <row r="84" spans="1:17" ht="30" customHeight="1">
      <c r="A84" s="17" t="s">
        <v>56</v>
      </c>
      <c r="B84" s="5" t="str">
        <f>IF(A84="","",IF(COUNTIF(Catalogo!$A$5:$A$905,A84)=0,"SKU no encontrado",INDEX(Catalogo!$B$5:$B$905,MATCH(A84,Catalogo!$A$5:$A$905,0))))</f>
        <v>ANDES ORIGEN IPA RET X12 1000</v>
      </c>
      <c r="C84">
        <f>IF(OR(A84="",B84="SKU no encontrado"),"",INDEX(Catalogo!$C$5:$C$905,MATCH(A84,Catalogo!$A$5:$A$905,0)))</f>
        <v>12</v>
      </c>
      <c r="D84" s="19">
        <v>46371</v>
      </c>
      <c r="E84" s="20">
        <v>262</v>
      </c>
      <c r="F84" s="12"/>
      <c r="G84" s="6">
        <f>IF(OR(A84="",B84="SKU no encontrado"),"",IF(INDEX(Catalogo!$H$5:$H$905,MATCH(A84,Catalogo!$A$5:$A$905,0))=0,"",INDEX(Catalogo!$H$5:$H$905,MATCH(A84,Catalogo!$A$5:$A$905,0))))</f>
        <v>50984.146000000001</v>
      </c>
      <c r="H84" s="13" t="str">
        <f t="shared" si="6"/>
        <v/>
      </c>
      <c r="I84" s="6" t="str">
        <f t="shared" si="7"/>
        <v/>
      </c>
      <c r="J84" s="6" t="str">
        <f t="shared" si="8"/>
        <v/>
      </c>
      <c r="K84" s="6" t="str">
        <f t="shared" si="9"/>
        <v/>
      </c>
      <c r="L84" t="str">
        <f t="shared" si="10"/>
        <v>Completar precio unitario</v>
      </c>
      <c r="M84" t="s">
        <v>1839</v>
      </c>
      <c r="N84" s="18">
        <v>262</v>
      </c>
      <c r="O84">
        <v>1</v>
      </c>
      <c r="P84">
        <v>86</v>
      </c>
      <c r="Q84" s="6">
        <f t="shared" si="11"/>
        <v>4248.6788333333334</v>
      </c>
    </row>
    <row r="85" spans="1:17" ht="30" customHeight="1">
      <c r="A85" s="17" t="s">
        <v>698</v>
      </c>
      <c r="B85" s="5" t="str">
        <f>IF(A85="","",IF(COUNTIF(Catalogo!$A$5:$A$905,A85)=0,"SKU no encontrado",INDEX(Catalogo!$B$5:$B$905,MATCH(A85,Catalogo!$A$5:$A$905,0))))</f>
        <v>GATORADE FRUTAS PET X6 1250CC</v>
      </c>
      <c r="C85">
        <f>IF(OR(A85="",B85="SKU no encontrado"),"",INDEX(Catalogo!$C$5:$C$905,MATCH(A85,Catalogo!$A$5:$A$905,0)))</f>
        <v>6</v>
      </c>
      <c r="D85" s="19">
        <v>46376</v>
      </c>
      <c r="E85" s="20">
        <v>6</v>
      </c>
      <c r="F85" s="12"/>
      <c r="G85" s="6">
        <f>IF(OR(A85="",B85="SKU no encontrado"),"",IF(INDEX(Catalogo!$H$5:$H$905,MATCH(A85,Catalogo!$A$5:$A$905,0))=0,"",INDEX(Catalogo!$H$5:$H$905,MATCH(A85,Catalogo!$A$5:$A$905,0))))</f>
        <v>26114.945</v>
      </c>
      <c r="H85" s="13" t="str">
        <f t="shared" si="6"/>
        <v/>
      </c>
      <c r="I85" s="6" t="str">
        <f t="shared" si="7"/>
        <v/>
      </c>
      <c r="J85" s="6" t="str">
        <f t="shared" si="8"/>
        <v/>
      </c>
      <c r="K85" s="6" t="str">
        <f t="shared" si="9"/>
        <v/>
      </c>
      <c r="L85" t="str">
        <f t="shared" si="10"/>
        <v>Completar precio unitario</v>
      </c>
      <c r="M85" t="s">
        <v>1839</v>
      </c>
      <c r="N85" s="18">
        <v>6</v>
      </c>
      <c r="O85">
        <v>1</v>
      </c>
      <c r="P85">
        <v>91</v>
      </c>
      <c r="Q85" s="6">
        <f t="shared" si="11"/>
        <v>4352.4908333333333</v>
      </c>
    </row>
    <row r="86" spans="1:17" ht="30" customHeight="1">
      <c r="A86" s="17" t="s">
        <v>834</v>
      </c>
      <c r="B86" s="5" t="str">
        <f>IF(A86="","",IF(COUNTIF(Catalogo!$A$5:$A$905,A86)=0,"SKU no encontrado",INDEX(Catalogo!$B$5:$B$905,MATCH(A86,Catalogo!$A$5:$A$905,0))))</f>
        <v>SEVEN-UP NF CAN 130 BUL/PAL 4X6 354CC</v>
      </c>
      <c r="C86">
        <f>IF(OR(A86="",B86="SKU no encontrado"),"",INDEX(Catalogo!$C$5:$C$905,MATCH(A86,Catalogo!$A$5:$A$905,0)))</f>
        <v>24</v>
      </c>
      <c r="D86" s="19">
        <v>46376</v>
      </c>
      <c r="E86" s="20">
        <v>26.125</v>
      </c>
      <c r="F86" s="12"/>
      <c r="G86" s="6">
        <f>IF(OR(A86="",B86="SKU no encontrado"),"",IF(INDEX(Catalogo!$H$5:$H$905,MATCH(A86,Catalogo!$A$5:$A$905,0))=0,"",INDEX(Catalogo!$H$5:$H$905,MATCH(A86,Catalogo!$A$5:$A$905,0))))</f>
        <v>33544.110999999997</v>
      </c>
      <c r="H86" s="13" t="str">
        <f t="shared" si="6"/>
        <v/>
      </c>
      <c r="I86" s="6" t="str">
        <f t="shared" si="7"/>
        <v/>
      </c>
      <c r="J86" s="6" t="str">
        <f t="shared" si="8"/>
        <v/>
      </c>
      <c r="K86" s="6" t="str">
        <f t="shared" si="9"/>
        <v/>
      </c>
      <c r="L86" t="str">
        <f t="shared" si="10"/>
        <v>Completar precio unitario</v>
      </c>
      <c r="M86" t="s">
        <v>1839</v>
      </c>
      <c r="N86" s="18">
        <v>26.125</v>
      </c>
      <c r="O86">
        <v>1</v>
      </c>
      <c r="P86">
        <v>91</v>
      </c>
      <c r="Q86" s="6">
        <f t="shared" si="11"/>
        <v>1397.6712916666665</v>
      </c>
    </row>
    <row r="87" spans="1:17" ht="30" customHeight="1">
      <c r="A87" s="17" t="s">
        <v>57</v>
      </c>
      <c r="B87" s="5" t="str">
        <f>IF(A87="","",IF(COUNTIF(Catalogo!$A$5:$A$905,A87)=0,"SKU no encontrado",INDEX(Catalogo!$B$5:$B$905,MATCH(A87,Catalogo!$A$5:$A$905,0))))</f>
        <v>PEPSI 70KCAL PET X8 2000CC</v>
      </c>
      <c r="C87">
        <f>IF(OR(A87="",B87="SKU no encontrado"),"",INDEX(Catalogo!$C$5:$C$905,MATCH(A87,Catalogo!$A$5:$A$905,0)))</f>
        <v>8</v>
      </c>
      <c r="D87" s="19">
        <v>46379</v>
      </c>
      <c r="E87" s="20">
        <v>600</v>
      </c>
      <c r="F87" s="12"/>
      <c r="G87" s="6">
        <f>IF(OR(A87="",B87="SKU no encontrado"),"",IF(INDEX(Catalogo!$H$5:$H$905,MATCH(A87,Catalogo!$A$5:$A$905,0))=0,"",INDEX(Catalogo!$H$5:$H$905,MATCH(A87,Catalogo!$A$5:$A$905,0))))</f>
        <v>29656.170999999998</v>
      </c>
      <c r="H87" s="13" t="str">
        <f t="shared" si="6"/>
        <v/>
      </c>
      <c r="I87" s="6" t="str">
        <f t="shared" si="7"/>
        <v/>
      </c>
      <c r="J87" s="6" t="str">
        <f t="shared" si="8"/>
        <v/>
      </c>
      <c r="K87" s="6" t="str">
        <f t="shared" si="9"/>
        <v/>
      </c>
      <c r="L87" t="str">
        <f t="shared" si="10"/>
        <v>Completar precio unitario</v>
      </c>
      <c r="M87" t="s">
        <v>1839</v>
      </c>
      <c r="N87" s="18">
        <v>600</v>
      </c>
      <c r="O87">
        <v>3</v>
      </c>
      <c r="P87">
        <v>98</v>
      </c>
      <c r="Q87" s="6">
        <f t="shared" si="11"/>
        <v>3707.0213749999998</v>
      </c>
    </row>
    <row r="88" spans="1:17" ht="30" customHeight="1">
      <c r="A88" s="17" t="s">
        <v>545</v>
      </c>
      <c r="B88" s="5" t="str">
        <f>IF(A88="","",IF(COUNTIF(Catalogo!$A$5:$A$905,A88)=0,"SKU no encontrado",INDEX(Catalogo!$B$5:$B$905,MATCH(A88,Catalogo!$A$5:$A$905,0))))</f>
        <v>BUD CAN 4X6 473 CMQ</v>
      </c>
      <c r="C88">
        <f>IF(OR(A88="",B88="SKU no encontrado"),"",INDEX(Catalogo!$C$5:$C$905,MATCH(A88,Catalogo!$A$5:$A$905,0)))</f>
        <v>24</v>
      </c>
      <c r="D88" s="19">
        <v>46381</v>
      </c>
      <c r="E88" s="20">
        <v>30.083333333300001</v>
      </c>
      <c r="F88" s="12"/>
      <c r="G88" s="6">
        <f>IF(OR(A88="",B88="SKU no encontrado"),"",IF(INDEX(Catalogo!$H$5:$H$905,MATCH(A88,Catalogo!$A$5:$A$905,0))=0,"",INDEX(Catalogo!$H$5:$H$905,MATCH(A88,Catalogo!$A$5:$A$905,0))))</f>
        <v>48363.239000000001</v>
      </c>
      <c r="H88" s="13" t="str">
        <f t="shared" si="6"/>
        <v/>
      </c>
      <c r="I88" s="6" t="str">
        <f t="shared" si="7"/>
        <v/>
      </c>
      <c r="J88" s="6" t="str">
        <f t="shared" si="8"/>
        <v/>
      </c>
      <c r="K88" s="6" t="str">
        <f t="shared" si="9"/>
        <v/>
      </c>
      <c r="L88" t="str">
        <f t="shared" si="10"/>
        <v>Completar precio unitario</v>
      </c>
      <c r="M88" t="s">
        <v>1839</v>
      </c>
      <c r="N88" s="18">
        <v>30.083333333300001</v>
      </c>
      <c r="O88">
        <v>1</v>
      </c>
      <c r="P88">
        <v>96</v>
      </c>
      <c r="Q88" s="6">
        <f t="shared" si="11"/>
        <v>2015.1349583333333</v>
      </c>
    </row>
    <row r="89" spans="1:17" ht="30" customHeight="1">
      <c r="A89" s="17" t="s">
        <v>326</v>
      </c>
      <c r="B89" s="5" t="str">
        <f>IF(A89="","",IF(COUNTIF(Catalogo!$A$5:$A$905,A89)=0,"SKU no encontrado",INDEX(Catalogo!$B$5:$B$905,MATCH(A89,Catalogo!$A$5:$A$905,0))))</f>
        <v>PASO DLT TONICA * X6 PET1500#</v>
      </c>
      <c r="C89">
        <f>IF(OR(A89="",B89="SKU no encontrado"),"",INDEX(Catalogo!$C$5:$C$905,MATCH(A89,Catalogo!$A$5:$A$905,0)))</f>
        <v>6</v>
      </c>
      <c r="D89" s="19">
        <v>46383</v>
      </c>
      <c r="E89" s="20">
        <v>18.166666666699999</v>
      </c>
      <c r="F89" s="12"/>
      <c r="G89" s="6">
        <f>IF(OR(A89="",B89="SKU no encontrado"),"",IF(INDEX(Catalogo!$H$5:$H$905,MATCH(A89,Catalogo!$A$5:$A$905,0))=0,"",INDEX(Catalogo!$H$5:$H$905,MATCH(A89,Catalogo!$A$5:$A$905,0))))</f>
        <v>21688.986000000001</v>
      </c>
      <c r="H89" s="13" t="str">
        <f t="shared" si="6"/>
        <v/>
      </c>
      <c r="I89" s="6" t="str">
        <f t="shared" si="7"/>
        <v/>
      </c>
      <c r="J89" s="6" t="str">
        <f t="shared" si="8"/>
        <v/>
      </c>
      <c r="K89" s="6" t="str">
        <f t="shared" si="9"/>
        <v/>
      </c>
      <c r="L89" t="str">
        <f t="shared" si="10"/>
        <v>Completar precio unitario</v>
      </c>
      <c r="M89" t="s">
        <v>1839</v>
      </c>
      <c r="N89" s="18">
        <v>18.166666666699999</v>
      </c>
      <c r="O89">
        <v>1</v>
      </c>
      <c r="P89">
        <v>98</v>
      </c>
      <c r="Q89" s="6">
        <f t="shared" si="11"/>
        <v>3614.8310000000001</v>
      </c>
    </row>
    <row r="90" spans="1:17" ht="30" customHeight="1">
      <c r="A90" s="17" t="s">
        <v>386</v>
      </c>
      <c r="B90" s="5" t="str">
        <f>IF(A90="","",IF(COUNTIF(Catalogo!$A$5:$A$905,A90)=0,"SKU no encontrado",INDEX(Catalogo!$B$5:$B$905,MATCH(A90,Catalogo!$A$5:$A$905,0))))</f>
        <v>GATORADE FRU TRO * X6 PET 500#</v>
      </c>
      <c r="C90">
        <f>IF(OR(A90="",B90="SKU no encontrado"),"",INDEX(Catalogo!$C$5:$C$905,MATCH(A90,Catalogo!$A$5:$A$905,0)))</f>
        <v>6</v>
      </c>
      <c r="D90" s="19">
        <v>46383</v>
      </c>
      <c r="E90" s="20">
        <v>7.8333333332999997</v>
      </c>
      <c r="F90" s="12"/>
      <c r="G90" s="6">
        <f>IF(OR(A90="",B90="SKU no encontrado"),"",IF(INDEX(Catalogo!$H$5:$H$905,MATCH(A90,Catalogo!$A$5:$A$905,0))=0,"",INDEX(Catalogo!$H$5:$H$905,MATCH(A90,Catalogo!$A$5:$A$905,0))))</f>
        <v>12591.147000000001</v>
      </c>
      <c r="H90" s="13" t="str">
        <f t="shared" si="6"/>
        <v/>
      </c>
      <c r="I90" s="6" t="str">
        <f t="shared" si="7"/>
        <v/>
      </c>
      <c r="J90" s="6" t="str">
        <f t="shared" si="8"/>
        <v/>
      </c>
      <c r="K90" s="6" t="str">
        <f t="shared" si="9"/>
        <v/>
      </c>
      <c r="L90" t="str">
        <f t="shared" si="10"/>
        <v>Completar precio unitario</v>
      </c>
      <c r="M90" t="s">
        <v>1839</v>
      </c>
      <c r="N90" s="18">
        <v>7.8333333332999997</v>
      </c>
      <c r="O90">
        <v>1</v>
      </c>
      <c r="P90">
        <v>98</v>
      </c>
      <c r="Q90" s="6">
        <f t="shared" si="11"/>
        <v>2098.5245</v>
      </c>
    </row>
    <row r="91" spans="1:17" ht="30" customHeight="1">
      <c r="A91" s="17" t="s">
        <v>873</v>
      </c>
      <c r="B91" s="5" t="str">
        <f>IF(A91="","",IF(COUNTIF(Catalogo!$A$5:$A$905,A91)=0,"SKU no encontrado",INDEX(Catalogo!$B$5:$B$905,MATCH(A91,Catalogo!$A$5:$A$905,0))))</f>
        <v>7UP FREE PET X8 2250CC 2024</v>
      </c>
      <c r="C91">
        <f>IF(OR(A91="",B91="SKU no encontrado"),"",INDEX(Catalogo!$C$5:$C$905,MATCH(A91,Catalogo!$A$5:$A$905,0)))</f>
        <v>8</v>
      </c>
      <c r="D91" s="19">
        <v>46383</v>
      </c>
      <c r="E91" s="20">
        <v>180</v>
      </c>
      <c r="F91" s="12"/>
      <c r="G91" s="6">
        <f>IF(OR(A91="",B91="SKU no encontrado"),"",IF(INDEX(Catalogo!$H$5:$H$905,MATCH(A91,Catalogo!$A$5:$A$905,0))=0,"",INDEX(Catalogo!$H$5:$H$905,MATCH(A91,Catalogo!$A$5:$A$905,0))))</f>
        <v>19735.760999999999</v>
      </c>
      <c r="H91" s="13" t="str">
        <f t="shared" si="6"/>
        <v/>
      </c>
      <c r="I91" s="6" t="str">
        <f t="shared" si="7"/>
        <v/>
      </c>
      <c r="J91" s="6" t="str">
        <f t="shared" si="8"/>
        <v/>
      </c>
      <c r="K91" s="6" t="str">
        <f t="shared" si="9"/>
        <v/>
      </c>
      <c r="L91" t="str">
        <f t="shared" si="10"/>
        <v>Completar precio unitario</v>
      </c>
      <c r="M91" t="s">
        <v>1839</v>
      </c>
      <c r="N91" s="18">
        <v>180</v>
      </c>
      <c r="O91">
        <v>2</v>
      </c>
      <c r="P91">
        <v>98</v>
      </c>
      <c r="Q91" s="6">
        <f t="shared" si="11"/>
        <v>2466.9701249999998</v>
      </c>
    </row>
    <row r="92" spans="1:17" ht="30" customHeight="1">
      <c r="A92" s="17" t="s">
        <v>845</v>
      </c>
      <c r="B92" s="5" t="str">
        <f>IF(A92="","",IF(COUNTIF(Catalogo!$A$5:$A$905,A92)=0,"SKU no encontrado",INDEX(Catalogo!$B$5:$B$905,MATCH(A92,Catalogo!$A$5:$A$905,0))))</f>
        <v>PEPSI 70KCAL 4X6 354CC</v>
      </c>
      <c r="C92">
        <f>IF(OR(A92="",B92="SKU no encontrado"),"",INDEX(Catalogo!$C$5:$C$905,MATCH(A92,Catalogo!$A$5:$A$905,0)))</f>
        <v>24</v>
      </c>
      <c r="D92" s="19">
        <v>46384</v>
      </c>
      <c r="E92" s="20">
        <v>176.3333333333</v>
      </c>
      <c r="F92" s="12"/>
      <c r="G92" s="6">
        <f>IF(OR(A92="",B92="SKU no encontrado"),"",IF(INDEX(Catalogo!$H$5:$H$905,MATCH(A92,Catalogo!$A$5:$A$905,0))=0,"",INDEX(Catalogo!$H$5:$H$905,MATCH(A92,Catalogo!$A$5:$A$905,0))))</f>
        <v>33511.089</v>
      </c>
      <c r="H92" s="13" t="str">
        <f t="shared" si="6"/>
        <v/>
      </c>
      <c r="I92" s="6" t="str">
        <f t="shared" si="7"/>
        <v/>
      </c>
      <c r="J92" s="6" t="str">
        <f t="shared" si="8"/>
        <v/>
      </c>
      <c r="K92" s="6" t="str">
        <f t="shared" si="9"/>
        <v/>
      </c>
      <c r="L92" t="str">
        <f t="shared" si="10"/>
        <v>Completar precio unitario</v>
      </c>
      <c r="M92" t="s">
        <v>1839</v>
      </c>
      <c r="N92" s="18">
        <v>176.3333333333</v>
      </c>
      <c r="O92">
        <v>1</v>
      </c>
      <c r="P92">
        <v>99</v>
      </c>
      <c r="Q92" s="6">
        <f t="shared" si="11"/>
        <v>1396.2953749999999</v>
      </c>
    </row>
    <row r="93" spans="1:17" ht="30" customHeight="1">
      <c r="A93" s="17" t="s">
        <v>324</v>
      </c>
      <c r="B93" s="5" t="str">
        <f>IF(A93="","",IF(COUNTIF(Catalogo!$A$5:$A$905,A93)=0,"SKU no encontrado",INDEX(Catalogo!$B$5:$B$905,MATCH(A93,Catalogo!$A$5:$A$905,0))))</f>
        <v>PASO DLT POMELO * X6 PET1500#</v>
      </c>
      <c r="C93">
        <f>IF(OR(A93="",B93="SKU no encontrado"),"",INDEX(Catalogo!$C$5:$C$905,MATCH(A93,Catalogo!$A$5:$A$905,0)))</f>
        <v>6</v>
      </c>
      <c r="D93" s="19">
        <v>46385</v>
      </c>
      <c r="E93" s="20">
        <v>135</v>
      </c>
      <c r="F93" s="12"/>
      <c r="G93" s="6">
        <f>IF(OR(A93="",B93="SKU no encontrado"),"",IF(INDEX(Catalogo!$H$5:$H$905,MATCH(A93,Catalogo!$A$5:$A$905,0))=0,"",INDEX(Catalogo!$H$5:$H$905,MATCH(A93,Catalogo!$A$5:$A$905,0))))</f>
        <v>21688.986000000001</v>
      </c>
      <c r="H93" s="13" t="str">
        <f t="shared" si="6"/>
        <v/>
      </c>
      <c r="I93" s="6" t="str">
        <f t="shared" si="7"/>
        <v/>
      </c>
      <c r="J93" s="6" t="str">
        <f t="shared" si="8"/>
        <v/>
      </c>
      <c r="K93" s="6" t="str">
        <f t="shared" si="9"/>
        <v/>
      </c>
      <c r="L93" t="str">
        <f t="shared" si="10"/>
        <v>Completar precio unitario</v>
      </c>
      <c r="M93" t="s">
        <v>1839</v>
      </c>
      <c r="N93" s="18">
        <v>135</v>
      </c>
      <c r="O93">
        <v>1</v>
      </c>
      <c r="P93">
        <v>100</v>
      </c>
      <c r="Q93" s="6">
        <f t="shared" si="11"/>
        <v>3614.8310000000001</v>
      </c>
    </row>
    <row r="94" spans="1:17" ht="30" customHeight="1">
      <c r="A94" s="17" t="s">
        <v>432</v>
      </c>
      <c r="B94" s="5" t="str">
        <f>IF(A94="","",IF(COUNTIF(Catalogo!$A$5:$A$905,A94)=0,"SKU no encontrado",INDEX(Catalogo!$B$5:$B$905,MATCH(A94,Catalogo!$A$5:$A$905,0))))</f>
        <v>PEPSI PET X8 2250 BLACK</v>
      </c>
      <c r="C94">
        <f>IF(OR(A94="",B94="SKU no encontrado"),"",INDEX(Catalogo!$C$5:$C$905,MATCH(A94,Catalogo!$A$5:$A$905,0)))</f>
        <v>8</v>
      </c>
      <c r="D94" s="19">
        <v>46385</v>
      </c>
      <c r="E94" s="20">
        <v>180</v>
      </c>
      <c r="F94" s="12"/>
      <c r="G94" s="6">
        <f>IF(OR(A94="",B94="SKU no encontrado"),"",IF(INDEX(Catalogo!$H$5:$H$905,MATCH(A94,Catalogo!$A$5:$A$905,0))=0,"",INDEX(Catalogo!$H$5:$H$905,MATCH(A94,Catalogo!$A$5:$A$905,0))))</f>
        <v>19720.349999999999</v>
      </c>
      <c r="H94" s="13" t="str">
        <f t="shared" si="6"/>
        <v/>
      </c>
      <c r="I94" s="6" t="str">
        <f t="shared" si="7"/>
        <v/>
      </c>
      <c r="J94" s="6" t="str">
        <f t="shared" si="8"/>
        <v/>
      </c>
      <c r="K94" s="6" t="str">
        <f t="shared" si="9"/>
        <v/>
      </c>
      <c r="L94" t="str">
        <f t="shared" si="10"/>
        <v>Completar precio unitario</v>
      </c>
      <c r="M94" t="s">
        <v>1839</v>
      </c>
      <c r="N94" s="18">
        <v>180</v>
      </c>
      <c r="O94">
        <v>2</v>
      </c>
      <c r="P94">
        <v>100</v>
      </c>
      <c r="Q94" s="6">
        <f t="shared" si="11"/>
        <v>2465.0437499999998</v>
      </c>
    </row>
    <row r="95" spans="1:17" ht="30" customHeight="1">
      <c r="A95" s="17" t="s">
        <v>64</v>
      </c>
      <c r="B95" s="5" t="str">
        <f>IF(A95="","",IF(COUNTIF(Catalogo!$A$5:$A$905,A95)=0,"SKU no encontrado",INDEX(Catalogo!$B$5:$B$905,MATCH(A95,Catalogo!$A$5:$A$905,0))))</f>
        <v>GATORADE MANZANA * X6 PET 500</v>
      </c>
      <c r="C95">
        <f>IF(OR(A95="",B95="SKU no encontrado"),"",INDEX(Catalogo!$C$5:$C$905,MATCH(A95,Catalogo!$A$5:$A$905,0)))</f>
        <v>6</v>
      </c>
      <c r="D95" s="19">
        <v>46388</v>
      </c>
      <c r="E95" s="20">
        <v>126</v>
      </c>
      <c r="F95" s="12"/>
      <c r="G95" s="6">
        <f>IF(OR(A95="",B95="SKU no encontrado"),"",IF(INDEX(Catalogo!$H$5:$H$905,MATCH(A95,Catalogo!$A$5:$A$905,0))=0,"",INDEX(Catalogo!$H$5:$H$905,MATCH(A95,Catalogo!$A$5:$A$905,0))))</f>
        <v>12591.147000000001</v>
      </c>
      <c r="H95" s="13" t="str">
        <f t="shared" si="6"/>
        <v/>
      </c>
      <c r="I95" s="6" t="str">
        <f t="shared" si="7"/>
        <v/>
      </c>
      <c r="J95" s="6" t="str">
        <f t="shared" si="8"/>
        <v/>
      </c>
      <c r="K95" s="6" t="str">
        <f t="shared" si="9"/>
        <v/>
      </c>
      <c r="L95" t="str">
        <f t="shared" si="10"/>
        <v>Completar precio unitario</v>
      </c>
      <c r="M95" t="s">
        <v>1839</v>
      </c>
      <c r="N95" s="18">
        <v>126</v>
      </c>
      <c r="O95">
        <v>1</v>
      </c>
      <c r="P95">
        <v>103</v>
      </c>
      <c r="Q95" s="6">
        <f t="shared" si="11"/>
        <v>2098.5245</v>
      </c>
    </row>
    <row r="96" spans="1:17" ht="30" customHeight="1">
      <c r="A96" s="17" t="s">
        <v>330</v>
      </c>
      <c r="B96" s="5" t="str">
        <f>IF(A96="","",IF(COUNTIF(Catalogo!$A$5:$A$905,A96)=0,"SKU no encontrado",INDEX(Catalogo!$B$5:$B$905,MATCH(A96,Catalogo!$A$5:$A$905,0))))</f>
        <v>BRAHMA - 4X6 LAT 473</v>
      </c>
      <c r="C96">
        <f>IF(OR(A96="",B96="SKU no encontrado"),"",INDEX(Catalogo!$C$5:$C$905,MATCH(A96,Catalogo!$A$5:$A$905,0)))</f>
        <v>24</v>
      </c>
      <c r="D96" s="19">
        <v>46388</v>
      </c>
      <c r="E96" s="20">
        <v>821.125</v>
      </c>
      <c r="F96" s="12"/>
      <c r="G96" s="6">
        <f>IF(OR(A96="",B96="SKU no encontrado"),"",IF(INDEX(Catalogo!$H$5:$H$905,MATCH(A96,Catalogo!$A$5:$A$905,0))=0,"",INDEX(Catalogo!$H$5:$H$905,MATCH(A96,Catalogo!$A$5:$A$905,0))))</f>
        <v>44611.684000000001</v>
      </c>
      <c r="H96" s="13" t="str">
        <f t="shared" si="6"/>
        <v/>
      </c>
      <c r="I96" s="6" t="str">
        <f t="shared" si="7"/>
        <v/>
      </c>
      <c r="J96" s="6" t="str">
        <f t="shared" si="8"/>
        <v/>
      </c>
      <c r="K96" s="6" t="str">
        <f t="shared" si="9"/>
        <v/>
      </c>
      <c r="L96" t="str">
        <f t="shared" si="10"/>
        <v>Completar precio unitario</v>
      </c>
      <c r="M96" t="s">
        <v>1839</v>
      </c>
      <c r="N96" s="18">
        <v>821.125</v>
      </c>
      <c r="O96">
        <v>1</v>
      </c>
      <c r="P96">
        <v>107</v>
      </c>
      <c r="Q96" s="6">
        <f t="shared" si="11"/>
        <v>1858.8201666666666</v>
      </c>
    </row>
    <row r="97" spans="1:17" ht="30" customHeight="1">
      <c r="A97" s="17" t="s">
        <v>883</v>
      </c>
      <c r="B97" s="5" t="str">
        <f>IF(A97="","",IF(COUNTIF(Catalogo!$A$5:$A$905,A97)=0,"SKU no encontrado",INDEX(Catalogo!$B$5:$B$905,MATCH(A97,Catalogo!$A$5:$A$905,0))))</f>
        <v>ANDES ORIGEN RUBIA 2.0 RET X12 1000CC</v>
      </c>
      <c r="C97">
        <f>IF(OR(A97="",B97="SKU no encontrado"),"",INDEX(Catalogo!$C$5:$C$905,MATCH(A97,Catalogo!$A$5:$A$905,0)))</f>
        <v>12</v>
      </c>
      <c r="D97" s="19">
        <v>46388</v>
      </c>
      <c r="E97" s="20">
        <v>300</v>
      </c>
      <c r="F97" s="12"/>
      <c r="G97" s="6">
        <f>IF(OR(A97="",B97="SKU no encontrado"),"",IF(INDEX(Catalogo!$H$5:$H$905,MATCH(A97,Catalogo!$A$5:$A$905,0))=0,"",INDEX(Catalogo!$H$5:$H$905,MATCH(A97,Catalogo!$A$5:$A$905,0))))</f>
        <v>47326.294999999998</v>
      </c>
      <c r="H97" s="13" t="str">
        <f t="shared" si="6"/>
        <v/>
      </c>
      <c r="I97" s="6" t="str">
        <f t="shared" si="7"/>
        <v/>
      </c>
      <c r="J97" s="6" t="str">
        <f t="shared" si="8"/>
        <v/>
      </c>
      <c r="K97" s="6" t="str">
        <f t="shared" si="9"/>
        <v/>
      </c>
      <c r="L97" t="str">
        <f t="shared" si="10"/>
        <v>Completar precio unitario</v>
      </c>
      <c r="M97" t="s">
        <v>1839</v>
      </c>
      <c r="N97" s="18">
        <v>300</v>
      </c>
      <c r="O97">
        <v>2</v>
      </c>
      <c r="P97">
        <v>103</v>
      </c>
      <c r="Q97" s="6">
        <f t="shared" si="11"/>
        <v>3943.8579166666664</v>
      </c>
    </row>
    <row r="98" spans="1:17" ht="30" customHeight="1">
      <c r="A98" s="17" t="s">
        <v>87</v>
      </c>
      <c r="B98" s="5" t="str">
        <f>IF(A98="","",IF(COUNTIF(Catalogo!$A$5:$A$905,A98)=0,"SKU no encontrado",INDEX(Catalogo!$B$5:$B$905,MATCH(A98,Catalogo!$A$5:$A$905,0))))</f>
        <v>GATORADE UVA * X6 PET 500</v>
      </c>
      <c r="C98">
        <f>IF(OR(A98="",B98="SKU no encontrado"),"",INDEX(Catalogo!$C$5:$C$905,MATCH(A98,Catalogo!$A$5:$A$905,0)))</f>
        <v>6</v>
      </c>
      <c r="D98" s="19">
        <v>46391</v>
      </c>
      <c r="E98" s="20">
        <v>37.833333333299997</v>
      </c>
      <c r="F98" s="12"/>
      <c r="G98" s="6">
        <f>IF(OR(A98="",B98="SKU no encontrado"),"",IF(INDEX(Catalogo!$H$5:$H$905,MATCH(A98,Catalogo!$A$5:$A$905,0))=0,"",INDEX(Catalogo!$H$5:$H$905,MATCH(A98,Catalogo!$A$5:$A$905,0))))</f>
        <v>12591.147000000001</v>
      </c>
      <c r="H98" s="13" t="str">
        <f t="shared" si="6"/>
        <v/>
      </c>
      <c r="I98" s="6" t="str">
        <f t="shared" si="7"/>
        <v/>
      </c>
      <c r="J98" s="6" t="str">
        <f t="shared" si="8"/>
        <v/>
      </c>
      <c r="K98" s="6" t="str">
        <f t="shared" si="9"/>
        <v/>
      </c>
      <c r="L98" t="str">
        <f t="shared" si="10"/>
        <v>Completar precio unitario</v>
      </c>
      <c r="M98" t="s">
        <v>1839</v>
      </c>
      <c r="N98" s="18">
        <v>37.833333333299997</v>
      </c>
      <c r="O98">
        <v>1</v>
      </c>
      <c r="P98">
        <v>106</v>
      </c>
      <c r="Q98" s="6">
        <f t="shared" si="11"/>
        <v>2098.5245</v>
      </c>
    </row>
    <row r="99" spans="1:17" ht="30" customHeight="1">
      <c r="A99" s="17" t="s">
        <v>670</v>
      </c>
      <c r="B99" s="5" t="str">
        <f>IF(A99="","",IF(COUNTIF(Catalogo!$A$5:$A$905,A99)=0,"SKU no encontrado",INDEX(Catalogo!$B$5:$B$905,MATCH(A99,Catalogo!$A$5:$A$905,0))))</f>
        <v>PATAGONIA VERA IPA OW X6 730CC</v>
      </c>
      <c r="C99">
        <f>IF(OR(A99="",B99="SKU no encontrado"),"",INDEX(Catalogo!$C$5:$C$905,MATCH(A99,Catalogo!$A$5:$A$905,0)))</f>
        <v>6</v>
      </c>
      <c r="D99" s="19">
        <v>46391</v>
      </c>
      <c r="E99" s="20">
        <v>78</v>
      </c>
      <c r="F99" s="12"/>
      <c r="G99" s="6">
        <f>IF(OR(A99="",B99="SKU no encontrado"),"",IF(INDEX(Catalogo!$H$5:$H$905,MATCH(A99,Catalogo!$A$5:$A$905,0))=0,"",INDEX(Catalogo!$H$5:$H$905,MATCH(A99,Catalogo!$A$5:$A$905,0))))</f>
        <v>29135.981</v>
      </c>
      <c r="H99" s="13" t="str">
        <f t="shared" si="6"/>
        <v/>
      </c>
      <c r="I99" s="6" t="str">
        <f t="shared" si="7"/>
        <v/>
      </c>
      <c r="J99" s="6" t="str">
        <f t="shared" si="8"/>
        <v/>
      </c>
      <c r="K99" s="6" t="str">
        <f t="shared" si="9"/>
        <v/>
      </c>
      <c r="L99" t="str">
        <f t="shared" si="10"/>
        <v>Completar precio unitario</v>
      </c>
      <c r="M99" t="s">
        <v>1839</v>
      </c>
      <c r="N99" s="18">
        <v>78</v>
      </c>
      <c r="O99">
        <v>1</v>
      </c>
      <c r="P99">
        <v>103</v>
      </c>
      <c r="Q99" s="6">
        <f t="shared" si="11"/>
        <v>4855.9968333333336</v>
      </c>
    </row>
    <row r="100" spans="1:17" ht="30" customHeight="1">
      <c r="A100" s="17" t="s">
        <v>834</v>
      </c>
      <c r="B100" s="5" t="str">
        <f>IF(A100="","",IF(COUNTIF(Catalogo!$A$5:$A$905,A100)=0,"SKU no encontrado",INDEX(Catalogo!$B$5:$B$905,MATCH(A100,Catalogo!$A$5:$A$905,0))))</f>
        <v>SEVEN-UP NF CAN 130 BUL/PAL 4X6 354CC</v>
      </c>
      <c r="C100">
        <f>IF(OR(A100="",B100="SKU no encontrado"),"",INDEX(Catalogo!$C$5:$C$905,MATCH(A100,Catalogo!$A$5:$A$905,0)))</f>
        <v>24</v>
      </c>
      <c r="D100" s="19">
        <v>46391</v>
      </c>
      <c r="E100" s="20">
        <v>260</v>
      </c>
      <c r="F100" s="12"/>
      <c r="G100" s="6">
        <f>IF(OR(A100="",B100="SKU no encontrado"),"",IF(INDEX(Catalogo!$H$5:$H$905,MATCH(A100,Catalogo!$A$5:$A$905,0))=0,"",INDEX(Catalogo!$H$5:$H$905,MATCH(A100,Catalogo!$A$5:$A$905,0))))</f>
        <v>33544.110999999997</v>
      </c>
      <c r="H100" s="13" t="str">
        <f t="shared" si="6"/>
        <v/>
      </c>
      <c r="I100" s="6" t="str">
        <f t="shared" si="7"/>
        <v/>
      </c>
      <c r="J100" s="6" t="str">
        <f t="shared" si="8"/>
        <v/>
      </c>
      <c r="K100" s="6" t="str">
        <f t="shared" si="9"/>
        <v/>
      </c>
      <c r="L100" t="str">
        <f t="shared" si="10"/>
        <v>Completar precio unitario</v>
      </c>
      <c r="M100" t="s">
        <v>1839</v>
      </c>
      <c r="N100" s="18">
        <v>260</v>
      </c>
      <c r="O100">
        <v>2</v>
      </c>
      <c r="P100">
        <v>106</v>
      </c>
      <c r="Q100" s="6">
        <f t="shared" si="11"/>
        <v>1397.6712916666665</v>
      </c>
    </row>
    <row r="101" spans="1:17" ht="30" customHeight="1">
      <c r="A101" s="17" t="s">
        <v>663</v>
      </c>
      <c r="B101" s="5" t="str">
        <f>IF(A101="","",IF(COUNTIF(Catalogo!$A$5:$A$905,A101)=0,"SKU no encontrado",INDEX(Catalogo!$B$5:$B$905,MATCH(A101,Catalogo!$A$5:$A$905,0))))</f>
        <v>STELLA ARTOIS PM OW 4X6 330CC</v>
      </c>
      <c r="C101">
        <f>IF(OR(A101="",B101="SKU no encontrado"),"",INDEX(Catalogo!$C$5:$C$905,MATCH(A101,Catalogo!$A$5:$A$905,0)))</f>
        <v>24</v>
      </c>
      <c r="D101" s="19">
        <v>46392</v>
      </c>
      <c r="E101" s="20">
        <v>48.166666666700003</v>
      </c>
      <c r="F101" s="12"/>
      <c r="G101" s="6">
        <f>IF(OR(A101="",B101="SKU no encontrado"),"",IF(INDEX(Catalogo!$H$5:$H$905,MATCH(A101,Catalogo!$A$5:$A$905,0))=0,"",INDEX(Catalogo!$H$5:$H$905,MATCH(A101,Catalogo!$A$5:$A$905,0))))</f>
        <v>68154.698999999993</v>
      </c>
      <c r="H101" s="13" t="str">
        <f t="shared" si="6"/>
        <v/>
      </c>
      <c r="I101" s="6" t="str">
        <f t="shared" si="7"/>
        <v/>
      </c>
      <c r="J101" s="6" t="str">
        <f t="shared" si="8"/>
        <v/>
      </c>
      <c r="K101" s="6" t="str">
        <f t="shared" si="9"/>
        <v/>
      </c>
      <c r="L101" t="str">
        <f t="shared" si="10"/>
        <v>Completar precio unitario</v>
      </c>
      <c r="M101" t="s">
        <v>1839</v>
      </c>
      <c r="N101" s="18">
        <v>48.166666666700003</v>
      </c>
      <c r="O101">
        <v>1</v>
      </c>
      <c r="P101">
        <v>107</v>
      </c>
      <c r="Q101" s="6">
        <f t="shared" si="11"/>
        <v>2839.7791249999996</v>
      </c>
    </row>
    <row r="102" spans="1:17" ht="30" customHeight="1">
      <c r="A102" s="17" t="s">
        <v>812</v>
      </c>
      <c r="B102" s="5" t="str">
        <f>IF(A102="","",IF(COUNTIF(Catalogo!$A$5:$A$905,A102)=0,"SKU no encontrado",INDEX(Catalogo!$B$5:$B$905,MATCH(A102,Catalogo!$A$5:$A$905,0))))</f>
        <v>H2OH STILL MANZANA PET X6 500CC</v>
      </c>
      <c r="C102">
        <f>IF(OR(A102="",B102="SKU no encontrado"),"",INDEX(Catalogo!$C$5:$C$905,MATCH(A102,Catalogo!$A$5:$A$905,0)))</f>
        <v>6</v>
      </c>
      <c r="D102" s="19">
        <v>46394</v>
      </c>
      <c r="E102" s="20">
        <v>321</v>
      </c>
      <c r="F102" s="12"/>
      <c r="G102" s="6">
        <f>IF(OR(A102="",B102="SKU no encontrado"),"",IF(INDEX(Catalogo!$H$5:$H$905,MATCH(A102,Catalogo!$A$5:$A$905,0))=0,"",INDEX(Catalogo!$H$5:$H$905,MATCH(A102,Catalogo!$A$5:$A$905,0))))</f>
        <v>8378.4660000000003</v>
      </c>
      <c r="H102" s="13" t="str">
        <f t="shared" si="6"/>
        <v/>
      </c>
      <c r="I102" s="6" t="str">
        <f t="shared" si="7"/>
        <v/>
      </c>
      <c r="J102" s="6" t="str">
        <f t="shared" si="8"/>
        <v/>
      </c>
      <c r="K102" s="6" t="str">
        <f t="shared" si="9"/>
        <v/>
      </c>
      <c r="L102" t="str">
        <f t="shared" si="10"/>
        <v>Completar precio unitario</v>
      </c>
      <c r="M102" t="s">
        <v>1839</v>
      </c>
      <c r="N102" s="18">
        <v>321</v>
      </c>
      <c r="O102">
        <v>1</v>
      </c>
      <c r="P102">
        <v>109</v>
      </c>
      <c r="Q102" s="6">
        <f t="shared" si="11"/>
        <v>1396.4110000000001</v>
      </c>
    </row>
    <row r="103" spans="1:17" ht="30" customHeight="1">
      <c r="A103" s="17" t="s">
        <v>816</v>
      </c>
      <c r="B103" s="5" t="str">
        <f>IF(A103="","",IF(COUNTIF(Catalogo!$A$5:$A$905,A103)=0,"SKU no encontrado",INDEX(Catalogo!$B$5:$B$905,MATCH(A103,Catalogo!$A$5:$A$905,0))))</f>
        <v>H2OH STILL POMELO PET X6 500CC</v>
      </c>
      <c r="C103">
        <f>IF(OR(A103="",B103="SKU no encontrado"),"",INDEX(Catalogo!$C$5:$C$905,MATCH(A103,Catalogo!$A$5:$A$905,0)))</f>
        <v>6</v>
      </c>
      <c r="D103" s="19">
        <v>46394</v>
      </c>
      <c r="E103" s="20">
        <v>336</v>
      </c>
      <c r="F103" s="12"/>
      <c r="G103" s="6">
        <f>IF(OR(A103="",B103="SKU no encontrado"),"",IF(INDEX(Catalogo!$H$5:$H$905,MATCH(A103,Catalogo!$A$5:$A$905,0))=0,"",INDEX(Catalogo!$H$5:$H$905,MATCH(A103,Catalogo!$A$5:$A$905,0))))</f>
        <v>8378.4660000000003</v>
      </c>
      <c r="H103" s="13" t="str">
        <f t="shared" si="6"/>
        <v/>
      </c>
      <c r="I103" s="6" t="str">
        <f t="shared" si="7"/>
        <v/>
      </c>
      <c r="J103" s="6" t="str">
        <f t="shared" si="8"/>
        <v/>
      </c>
      <c r="K103" s="6" t="str">
        <f t="shared" si="9"/>
        <v/>
      </c>
      <c r="L103" t="str">
        <f t="shared" si="10"/>
        <v>Completar precio unitario</v>
      </c>
      <c r="M103" t="s">
        <v>1839</v>
      </c>
      <c r="N103" s="18">
        <v>336</v>
      </c>
      <c r="O103">
        <v>2</v>
      </c>
      <c r="P103">
        <v>109</v>
      </c>
      <c r="Q103" s="6">
        <f t="shared" si="11"/>
        <v>1396.4110000000001</v>
      </c>
    </row>
    <row r="104" spans="1:17" ht="30" customHeight="1">
      <c r="A104" s="17" t="s">
        <v>633</v>
      </c>
      <c r="B104" s="5" t="str">
        <f>IF(A104="","",IF(COUNTIF(Catalogo!$A$5:$A$905,A104)=0,"SKU no encontrado",INDEX(Catalogo!$B$5:$B$905,MATCH(A104,Catalogo!$A$5:$A$905,0))))</f>
        <v>STELLA ARTOIS OW X6 710CC</v>
      </c>
      <c r="C104">
        <f>IF(OR(A104="",B104="SKU no encontrado"),"",INDEX(Catalogo!$C$5:$C$905,MATCH(A104,Catalogo!$A$5:$A$905,0)))</f>
        <v>6</v>
      </c>
      <c r="D104" s="19">
        <v>46401</v>
      </c>
      <c r="E104" s="20">
        <v>17</v>
      </c>
      <c r="F104" s="12"/>
      <c r="G104" s="6">
        <f>IF(OR(A104="",B104="SKU no encontrado"),"",IF(INDEX(Catalogo!$H$5:$H$905,MATCH(A104,Catalogo!$A$5:$A$905,0))=0,"",INDEX(Catalogo!$H$5:$H$905,MATCH(A104,Catalogo!$A$5:$A$905,0))))</f>
        <v>26454.031999999999</v>
      </c>
      <c r="H104" s="13" t="str">
        <f t="shared" si="6"/>
        <v/>
      </c>
      <c r="I104" s="6" t="str">
        <f t="shared" si="7"/>
        <v/>
      </c>
      <c r="J104" s="6" t="str">
        <f t="shared" si="8"/>
        <v/>
      </c>
      <c r="K104" s="6" t="str">
        <f t="shared" si="9"/>
        <v/>
      </c>
      <c r="L104" t="str">
        <f t="shared" si="10"/>
        <v>Completar precio unitario</v>
      </c>
      <c r="M104" t="s">
        <v>1839</v>
      </c>
      <c r="N104" s="18">
        <v>17</v>
      </c>
      <c r="O104">
        <v>1</v>
      </c>
      <c r="P104">
        <v>116</v>
      </c>
      <c r="Q104" s="6">
        <f t="shared" si="11"/>
        <v>4409.0053333333335</v>
      </c>
    </row>
    <row r="105" spans="1:17" ht="30" customHeight="1">
      <c r="A105" s="17" t="s">
        <v>700</v>
      </c>
      <c r="B105" s="5" t="str">
        <f>IF(A105="","",IF(COUNTIF(Catalogo!$A$5:$A$905,A105)=0,"SKU no encontrado",INDEX(Catalogo!$B$5:$B$905,MATCH(A105,Catalogo!$A$5:$A$905,0))))</f>
        <v>GATORADE COOL BLUE PET X6 1250CC</v>
      </c>
      <c r="C105">
        <f>IF(OR(A105="",B105="SKU no encontrado"),"",INDEX(Catalogo!$C$5:$C$905,MATCH(A105,Catalogo!$A$5:$A$905,0)))</f>
        <v>6</v>
      </c>
      <c r="D105" s="19">
        <v>46404</v>
      </c>
      <c r="E105" s="20">
        <v>26.666666666699999</v>
      </c>
      <c r="F105" s="12"/>
      <c r="G105" s="6">
        <f>IF(OR(A105="",B105="SKU no encontrado"),"",IF(INDEX(Catalogo!$H$5:$H$905,MATCH(A105,Catalogo!$A$5:$A$905,0))=0,"",INDEX(Catalogo!$H$5:$H$905,MATCH(A105,Catalogo!$A$5:$A$905,0))))</f>
        <v>26114.945</v>
      </c>
      <c r="H105" s="13" t="str">
        <f t="shared" si="6"/>
        <v/>
      </c>
      <c r="I105" s="6" t="str">
        <f t="shared" si="7"/>
        <v/>
      </c>
      <c r="J105" s="6" t="str">
        <f t="shared" si="8"/>
        <v/>
      </c>
      <c r="K105" s="6" t="str">
        <f t="shared" si="9"/>
        <v/>
      </c>
      <c r="L105" t="str">
        <f t="shared" si="10"/>
        <v>Completar precio unitario</v>
      </c>
      <c r="M105" t="s">
        <v>1839</v>
      </c>
      <c r="N105" s="18">
        <v>26.666666666699999</v>
      </c>
      <c r="O105">
        <v>1</v>
      </c>
      <c r="P105">
        <v>119</v>
      </c>
      <c r="Q105" s="6">
        <f t="shared" si="11"/>
        <v>4352.4908333333333</v>
      </c>
    </row>
    <row r="106" spans="1:17" ht="30" customHeight="1">
      <c r="A106" s="17" t="s">
        <v>922</v>
      </c>
      <c r="B106" s="5" t="str">
        <f>IF(A106="","",IF(COUNTIF(Catalogo!$A$5:$A$905,A106)=0,"SKU no encontrado",INDEX(Catalogo!$B$5:$B$905,MATCH(A106,Catalogo!$A$5:$A$905,0))))</f>
        <v>MICHELOB ULTRA GLUT FREE CAN 4X6 473CC</v>
      </c>
      <c r="C106">
        <f>IF(OR(A106="",B106="SKU no encontrado"),"",INDEX(Catalogo!$C$5:$C$905,MATCH(A106,Catalogo!$A$5:$A$905,0)))</f>
        <v>24</v>
      </c>
      <c r="D106" s="19">
        <v>46405</v>
      </c>
      <c r="E106" s="20">
        <v>13.875</v>
      </c>
      <c r="F106" s="12"/>
      <c r="G106" s="6">
        <f>IF(OR(A106="",B106="SKU no encontrado"),"",IF(INDEX(Catalogo!$H$5:$H$905,MATCH(A106,Catalogo!$A$5:$A$905,0))=0,"",INDEX(Catalogo!$H$5:$H$905,MATCH(A106,Catalogo!$A$5:$A$905,0))))</f>
        <v>51547.457000000002</v>
      </c>
      <c r="H106" s="13" t="str">
        <f t="shared" si="6"/>
        <v/>
      </c>
      <c r="I106" s="6" t="str">
        <f t="shared" si="7"/>
        <v/>
      </c>
      <c r="J106" s="6" t="str">
        <f t="shared" si="8"/>
        <v/>
      </c>
      <c r="K106" s="6" t="str">
        <f t="shared" si="9"/>
        <v/>
      </c>
      <c r="L106" t="str">
        <f t="shared" si="10"/>
        <v>Completar precio unitario</v>
      </c>
      <c r="M106" t="s">
        <v>1839</v>
      </c>
      <c r="N106" s="18">
        <v>13.875</v>
      </c>
      <c r="O106">
        <v>1</v>
      </c>
      <c r="P106">
        <v>120</v>
      </c>
      <c r="Q106" s="6">
        <f t="shared" si="11"/>
        <v>2147.8107083333334</v>
      </c>
    </row>
    <row r="107" spans="1:17" ht="30" customHeight="1">
      <c r="A107" s="17" t="s">
        <v>358</v>
      </c>
      <c r="B107" s="5" t="str">
        <f>IF(A107="","",IF(COUNTIF(Catalogo!$A$5:$A$905,A107)=0,"SKU no encontrado",INDEX(Catalogo!$B$5:$B$905,MATCH(A107,Catalogo!$A$5:$A$905,0))))</f>
        <v>MIRINDA MANZANA * X6 PET3000</v>
      </c>
      <c r="C107">
        <f>IF(OR(A107="",B107="SKU no encontrado"),"",INDEX(Catalogo!$C$5:$C$905,MATCH(A107,Catalogo!$A$5:$A$905,0)))</f>
        <v>6</v>
      </c>
      <c r="D107" s="19">
        <v>46406</v>
      </c>
      <c r="E107" s="20">
        <v>71.833333333300004</v>
      </c>
      <c r="F107" s="12"/>
      <c r="G107" s="6">
        <f>IF(OR(A107="",B107="SKU no encontrado"),"",IF(INDEX(Catalogo!$H$5:$H$905,MATCH(A107,Catalogo!$A$5:$A$905,0))=0,"",INDEX(Catalogo!$H$5:$H$905,MATCH(A107,Catalogo!$A$5:$A$905,0))))</f>
        <v>16404.333999999999</v>
      </c>
      <c r="H107" s="13" t="str">
        <f t="shared" si="6"/>
        <v/>
      </c>
      <c r="I107" s="6" t="str">
        <f t="shared" si="7"/>
        <v/>
      </c>
      <c r="J107" s="6" t="str">
        <f t="shared" si="8"/>
        <v/>
      </c>
      <c r="K107" s="6" t="str">
        <f t="shared" si="9"/>
        <v/>
      </c>
      <c r="L107" t="str">
        <f t="shared" si="10"/>
        <v>Completar precio unitario</v>
      </c>
      <c r="M107" t="s">
        <v>1839</v>
      </c>
      <c r="N107" s="18">
        <v>71.833333333300004</v>
      </c>
      <c r="O107">
        <v>1</v>
      </c>
      <c r="P107">
        <v>121</v>
      </c>
      <c r="Q107" s="6">
        <f t="shared" si="11"/>
        <v>2734.0556666666666</v>
      </c>
    </row>
    <row r="108" spans="1:17" ht="30" customHeight="1">
      <c r="A108" s="17" t="s">
        <v>907</v>
      </c>
      <c r="B108" s="5" t="str">
        <f>IF(A108="","",IF(COUNTIF(Catalogo!$A$5:$A$905,A108)=0,"SKU no encontrado",INDEX(Catalogo!$B$5:$B$905,MATCH(A108,Catalogo!$A$5:$A$905,0))))</f>
        <v>PATAGONIA LAGER DEL SUR OW X6 730CC</v>
      </c>
      <c r="C108">
        <f>IF(OR(A108="",B108="SKU no encontrado"),"",INDEX(Catalogo!$C$5:$C$905,MATCH(A108,Catalogo!$A$5:$A$905,0)))</f>
        <v>6</v>
      </c>
      <c r="D108" s="19">
        <v>46406</v>
      </c>
      <c r="E108" s="20">
        <v>78</v>
      </c>
      <c r="F108" s="12"/>
      <c r="G108" s="6">
        <f>IF(OR(A108="",B108="SKU no encontrado"),"",IF(INDEX(Catalogo!$H$5:$H$905,MATCH(A108,Catalogo!$A$5:$A$905,0))=0,"",INDEX(Catalogo!$H$5:$H$905,MATCH(A108,Catalogo!$A$5:$A$905,0))))</f>
        <v>29135.981</v>
      </c>
      <c r="H108" s="13" t="str">
        <f t="shared" si="6"/>
        <v/>
      </c>
      <c r="I108" s="6" t="str">
        <f t="shared" si="7"/>
        <v/>
      </c>
      <c r="J108" s="6" t="str">
        <f t="shared" si="8"/>
        <v/>
      </c>
      <c r="K108" s="6" t="str">
        <f t="shared" si="9"/>
        <v/>
      </c>
      <c r="L108" t="str">
        <f t="shared" si="10"/>
        <v>Completar precio unitario</v>
      </c>
      <c r="M108" t="s">
        <v>1839</v>
      </c>
      <c r="N108" s="18">
        <v>78</v>
      </c>
      <c r="O108">
        <v>1</v>
      </c>
      <c r="P108">
        <v>121</v>
      </c>
      <c r="Q108" s="6">
        <f t="shared" si="11"/>
        <v>4855.9968333333336</v>
      </c>
    </row>
    <row r="109" spans="1:17" ht="30" customHeight="1">
      <c r="A109" s="17" t="s">
        <v>61</v>
      </c>
      <c r="B109" s="5" t="str">
        <f>IF(A109="","",IF(COUNTIF(Catalogo!$A$5:$A$905,A109)=0,"SKU no encontrado",INDEX(Catalogo!$B$5:$B$905,MATCH(A109,Catalogo!$A$5:$A$905,0))))</f>
        <v>MIRINDA MANZANA * X8 PET2250</v>
      </c>
      <c r="C109">
        <f>IF(OR(A109="",B109="SKU no encontrado"),"",INDEX(Catalogo!$C$5:$C$905,MATCH(A109,Catalogo!$A$5:$A$905,0)))</f>
        <v>8</v>
      </c>
      <c r="D109" s="19">
        <v>46407</v>
      </c>
      <c r="E109" s="20">
        <v>50.5</v>
      </c>
      <c r="F109" s="12"/>
      <c r="G109" s="6">
        <f>IF(OR(A109="",B109="SKU no encontrado"),"",IF(INDEX(Catalogo!$H$5:$H$905,MATCH(A109,Catalogo!$A$5:$A$905,0))=0,"",INDEX(Catalogo!$H$5:$H$905,MATCH(A109,Catalogo!$A$5:$A$905,0))))</f>
        <v>19048.438999999998</v>
      </c>
      <c r="H109" s="13" t="str">
        <f t="shared" si="6"/>
        <v/>
      </c>
      <c r="I109" s="6" t="str">
        <f t="shared" si="7"/>
        <v/>
      </c>
      <c r="J109" s="6" t="str">
        <f t="shared" si="8"/>
        <v/>
      </c>
      <c r="K109" s="6" t="str">
        <f t="shared" si="9"/>
        <v/>
      </c>
      <c r="L109" t="str">
        <f t="shared" si="10"/>
        <v>Completar precio unitario</v>
      </c>
      <c r="M109" t="s">
        <v>1839</v>
      </c>
      <c r="N109" s="18">
        <v>50.5</v>
      </c>
      <c r="O109">
        <v>1</v>
      </c>
      <c r="P109">
        <v>122</v>
      </c>
      <c r="Q109" s="6">
        <f t="shared" si="11"/>
        <v>2381.0548749999998</v>
      </c>
    </row>
    <row r="110" spans="1:17" ht="30" customHeight="1">
      <c r="A110" s="17" t="s">
        <v>576</v>
      </c>
      <c r="B110" s="5" t="str">
        <f>IF(A110="","",IF(COUNTIF(Catalogo!$A$5:$A$905,A110)=0,"SKU no encontrado",INDEX(Catalogo!$B$5:$B$905,MATCH(A110,Catalogo!$A$5:$A$905,0))))</f>
        <v>PATAGONIA VERA IPA EURO KEG 20L</v>
      </c>
      <c r="C110">
        <f>IF(OR(A110="",B110="SKU no encontrado"),"",INDEX(Catalogo!$C$5:$C$905,MATCH(A110,Catalogo!$A$5:$A$905,0)))</f>
        <v>1</v>
      </c>
      <c r="D110" s="19">
        <v>46408</v>
      </c>
      <c r="E110" s="20">
        <v>1</v>
      </c>
      <c r="F110" s="12"/>
      <c r="G110" s="6">
        <f>IF(OR(A110="",B110="SKU no encontrado"),"",IF(INDEX(Catalogo!$H$5:$H$905,MATCH(A110,Catalogo!$A$5:$A$905,0))=0,"",INDEX(Catalogo!$H$5:$H$905,MATCH(A110,Catalogo!$A$5:$A$905,0))))</f>
        <v>145134.34400000001</v>
      </c>
      <c r="H110" s="13" t="str">
        <f t="shared" si="6"/>
        <v/>
      </c>
      <c r="I110" s="6" t="str">
        <f t="shared" si="7"/>
        <v/>
      </c>
      <c r="J110" s="6" t="str">
        <f t="shared" si="8"/>
        <v/>
      </c>
      <c r="K110" s="6" t="str">
        <f t="shared" si="9"/>
        <v/>
      </c>
      <c r="L110" t="str">
        <f t="shared" si="10"/>
        <v>Completar precio unitario</v>
      </c>
      <c r="M110" t="s">
        <v>1839</v>
      </c>
      <c r="N110" s="18">
        <v>1</v>
      </c>
      <c r="O110">
        <v>1</v>
      </c>
      <c r="P110">
        <v>123</v>
      </c>
      <c r="Q110" s="6">
        <f t="shared" si="11"/>
        <v>145134.34400000001</v>
      </c>
    </row>
    <row r="111" spans="1:17" ht="30" customHeight="1">
      <c r="A111" s="17" t="s">
        <v>466</v>
      </c>
      <c r="B111" s="5" t="str">
        <f>IF(A111="","",IF(COUNTIF(Catalogo!$A$5:$A$905,A111)=0,"SKU no encontrado",INDEX(Catalogo!$B$5:$B$905,MATCH(A111,Catalogo!$A$5:$A$905,0))))</f>
        <v>PATAGONIA IPA CAN 4X6 473 CART</v>
      </c>
      <c r="C111">
        <f>IF(OR(A111="",B111="SKU no encontrado"),"",INDEX(Catalogo!$C$5:$C$905,MATCH(A111,Catalogo!$A$5:$A$905,0)))</f>
        <v>24</v>
      </c>
      <c r="D111" s="19">
        <v>46410</v>
      </c>
      <c r="E111" s="20">
        <v>100</v>
      </c>
      <c r="F111" s="12"/>
      <c r="G111" s="6">
        <f>IF(OR(A111="",B111="SKU no encontrado"),"",IF(INDEX(Catalogo!$H$5:$H$905,MATCH(A111,Catalogo!$A$5:$A$905,0))=0,"",INDEX(Catalogo!$H$5:$H$905,MATCH(A111,Catalogo!$A$5:$A$905,0))))</f>
        <v>79485.894</v>
      </c>
      <c r="H111" s="13" t="str">
        <f t="shared" si="6"/>
        <v/>
      </c>
      <c r="I111" s="6" t="str">
        <f t="shared" si="7"/>
        <v/>
      </c>
      <c r="J111" s="6" t="str">
        <f t="shared" si="8"/>
        <v/>
      </c>
      <c r="K111" s="6" t="str">
        <f t="shared" si="9"/>
        <v/>
      </c>
      <c r="L111" t="str">
        <f t="shared" si="10"/>
        <v>Completar precio unitario</v>
      </c>
      <c r="M111" t="s">
        <v>1839</v>
      </c>
      <c r="N111" s="18">
        <v>100</v>
      </c>
      <c r="O111">
        <v>1</v>
      </c>
      <c r="P111">
        <v>125</v>
      </c>
      <c r="Q111" s="6">
        <f t="shared" si="11"/>
        <v>3311.9122499999999</v>
      </c>
    </row>
    <row r="112" spans="1:17" ht="30" customHeight="1">
      <c r="A112" s="17" t="s">
        <v>696</v>
      </c>
      <c r="B112" s="5" t="str">
        <f>IF(A112="","",IF(COUNTIF(Catalogo!$A$5:$A$905,A112)=0,"SKU no encontrado",INDEX(Catalogo!$B$5:$B$905,MATCH(A112,Catalogo!$A$5:$A$905,0))))</f>
        <v>GATORADE APPLE PET X6 1250CC</v>
      </c>
      <c r="C112">
        <f>IF(OR(A112="",B112="SKU no encontrado"),"",INDEX(Catalogo!$C$5:$C$905,MATCH(A112,Catalogo!$A$5:$A$905,0)))</f>
        <v>6</v>
      </c>
      <c r="D112" s="19">
        <v>46410</v>
      </c>
      <c r="E112" s="20">
        <v>28</v>
      </c>
      <c r="F112" s="12"/>
      <c r="G112" s="6">
        <f>IF(OR(A112="",B112="SKU no encontrado"),"",IF(INDEX(Catalogo!$H$5:$H$905,MATCH(A112,Catalogo!$A$5:$A$905,0))=0,"",INDEX(Catalogo!$H$5:$H$905,MATCH(A112,Catalogo!$A$5:$A$905,0))))</f>
        <v>26114.945</v>
      </c>
      <c r="H112" s="13" t="str">
        <f t="shared" si="6"/>
        <v/>
      </c>
      <c r="I112" s="6" t="str">
        <f t="shared" si="7"/>
        <v/>
      </c>
      <c r="J112" s="6" t="str">
        <f t="shared" si="8"/>
        <v/>
      </c>
      <c r="K112" s="6" t="str">
        <f t="shared" si="9"/>
        <v/>
      </c>
      <c r="L112" t="str">
        <f t="shared" si="10"/>
        <v>Completar precio unitario</v>
      </c>
      <c r="M112" t="s">
        <v>1839</v>
      </c>
      <c r="N112" s="18">
        <v>28</v>
      </c>
      <c r="O112">
        <v>1</v>
      </c>
      <c r="P112">
        <v>125</v>
      </c>
      <c r="Q112" s="6">
        <f t="shared" si="11"/>
        <v>4352.4908333333333</v>
      </c>
    </row>
    <row r="113" spans="1:17" ht="30" customHeight="1">
      <c r="A113" s="17" t="s">
        <v>326</v>
      </c>
      <c r="B113" s="5" t="str">
        <f>IF(A113="","",IF(COUNTIF(Catalogo!$A$5:$A$905,A113)=0,"SKU no encontrado",INDEX(Catalogo!$B$5:$B$905,MATCH(A113,Catalogo!$A$5:$A$905,0))))</f>
        <v>PASO DLT TONICA * X6 PET1500#</v>
      </c>
      <c r="C113">
        <f>IF(OR(A113="",B113="SKU no encontrado"),"",INDEX(Catalogo!$C$5:$C$905,MATCH(A113,Catalogo!$A$5:$A$905,0)))</f>
        <v>6</v>
      </c>
      <c r="D113" s="19">
        <v>46412</v>
      </c>
      <c r="E113" s="20">
        <v>240</v>
      </c>
      <c r="F113" s="12"/>
      <c r="G113" s="6">
        <f>IF(OR(A113="",B113="SKU no encontrado"),"",IF(INDEX(Catalogo!$H$5:$H$905,MATCH(A113,Catalogo!$A$5:$A$905,0))=0,"",INDEX(Catalogo!$H$5:$H$905,MATCH(A113,Catalogo!$A$5:$A$905,0))))</f>
        <v>21688.986000000001</v>
      </c>
      <c r="H113" s="13" t="str">
        <f t="shared" si="6"/>
        <v/>
      </c>
      <c r="I113" s="6" t="str">
        <f t="shared" si="7"/>
        <v/>
      </c>
      <c r="J113" s="6" t="str">
        <f t="shared" si="8"/>
        <v/>
      </c>
      <c r="K113" s="6" t="str">
        <f t="shared" si="9"/>
        <v/>
      </c>
      <c r="L113" t="str">
        <f t="shared" si="10"/>
        <v>Completar precio unitario</v>
      </c>
      <c r="M113" t="s">
        <v>1839</v>
      </c>
      <c r="N113" s="18">
        <v>240</v>
      </c>
      <c r="O113">
        <v>2</v>
      </c>
      <c r="P113">
        <v>127</v>
      </c>
      <c r="Q113" s="6">
        <f t="shared" si="11"/>
        <v>3614.8310000000001</v>
      </c>
    </row>
    <row r="114" spans="1:17" ht="30" customHeight="1">
      <c r="A114" s="17" t="s">
        <v>56</v>
      </c>
      <c r="B114" s="5" t="str">
        <f>IF(A114="","",IF(COUNTIF(Catalogo!$A$5:$A$905,A114)=0,"SKU no encontrado",INDEX(Catalogo!$B$5:$B$905,MATCH(A114,Catalogo!$A$5:$A$905,0))))</f>
        <v>ANDES ORIGEN IPA RET X12 1000</v>
      </c>
      <c r="C114">
        <f>IF(OR(A114="",B114="SKU no encontrado"),"",INDEX(Catalogo!$C$5:$C$905,MATCH(A114,Catalogo!$A$5:$A$905,0)))</f>
        <v>12</v>
      </c>
      <c r="D114" s="19">
        <v>46412</v>
      </c>
      <c r="E114" s="20">
        <v>50</v>
      </c>
      <c r="F114" s="12"/>
      <c r="G114" s="6">
        <f>IF(OR(A114="",B114="SKU no encontrado"),"",IF(INDEX(Catalogo!$H$5:$H$905,MATCH(A114,Catalogo!$A$5:$A$905,0))=0,"",INDEX(Catalogo!$H$5:$H$905,MATCH(A114,Catalogo!$A$5:$A$905,0))))</f>
        <v>50984.146000000001</v>
      </c>
      <c r="H114" s="13" t="str">
        <f t="shared" si="6"/>
        <v/>
      </c>
      <c r="I114" s="6" t="str">
        <f t="shared" si="7"/>
        <v/>
      </c>
      <c r="J114" s="6" t="str">
        <f t="shared" si="8"/>
        <v/>
      </c>
      <c r="K114" s="6" t="str">
        <f t="shared" si="9"/>
        <v/>
      </c>
      <c r="L114" t="str">
        <f t="shared" si="10"/>
        <v>Completar precio unitario</v>
      </c>
      <c r="M114" t="s">
        <v>1839</v>
      </c>
      <c r="N114" s="18">
        <v>50</v>
      </c>
      <c r="O114">
        <v>2</v>
      </c>
      <c r="P114">
        <v>127</v>
      </c>
      <c r="Q114" s="6">
        <f t="shared" si="11"/>
        <v>4248.6788333333334</v>
      </c>
    </row>
    <row r="115" spans="1:17" ht="30" customHeight="1">
      <c r="A115" s="17" t="s">
        <v>804</v>
      </c>
      <c r="B115" s="5" t="str">
        <f>IF(A115="","",IF(COUNTIF(Catalogo!$A$5:$A$905,A115)=0,"SKU no encontrado",INDEX(Catalogo!$B$5:$B$905,MATCH(A115,Catalogo!$A$5:$A$905,0))))</f>
        <v>STELLA ARTOIS CAN 4X4 710CC</v>
      </c>
      <c r="C115">
        <f>IF(OR(A115="",B115="SKU no encontrado"),"",INDEX(Catalogo!$C$5:$C$905,MATCH(A115,Catalogo!$A$5:$A$905,0)))</f>
        <v>16</v>
      </c>
      <c r="D115" s="19">
        <v>46413</v>
      </c>
      <c r="E115" s="20">
        <v>192</v>
      </c>
      <c r="F115" s="12"/>
      <c r="G115" s="6">
        <f>IF(OR(A115="",B115="SKU no encontrado"),"",IF(INDEX(Catalogo!$H$5:$H$905,MATCH(A115,Catalogo!$A$5:$A$905,0))=0,"",INDEX(Catalogo!$H$5:$H$905,MATCH(A115,Catalogo!$A$5:$A$905,0))))</f>
        <v>70533.793000000005</v>
      </c>
      <c r="H115" s="13" t="str">
        <f t="shared" si="6"/>
        <v/>
      </c>
      <c r="I115" s="6" t="str">
        <f t="shared" si="7"/>
        <v/>
      </c>
      <c r="J115" s="6" t="str">
        <f t="shared" si="8"/>
        <v/>
      </c>
      <c r="K115" s="6" t="str">
        <f t="shared" si="9"/>
        <v/>
      </c>
      <c r="L115" t="str">
        <f t="shared" si="10"/>
        <v>Completar precio unitario</v>
      </c>
      <c r="M115" t="s">
        <v>1839</v>
      </c>
      <c r="N115" s="18">
        <v>192</v>
      </c>
      <c r="O115">
        <v>2</v>
      </c>
      <c r="P115">
        <v>128</v>
      </c>
      <c r="Q115" s="6">
        <f t="shared" si="11"/>
        <v>4408.3620625000003</v>
      </c>
    </row>
    <row r="116" spans="1:17" ht="30" customHeight="1">
      <c r="A116" s="17" t="s">
        <v>324</v>
      </c>
      <c r="B116" s="5" t="str">
        <f>IF(A116="","",IF(COUNTIF(Catalogo!$A$5:$A$905,A116)=0,"SKU no encontrado",INDEX(Catalogo!$B$5:$B$905,MATCH(A116,Catalogo!$A$5:$A$905,0))))</f>
        <v>PASO DLT POMELO * X6 PET1500#</v>
      </c>
      <c r="C116">
        <f>IF(OR(A116="",B116="SKU no encontrado"),"",INDEX(Catalogo!$C$5:$C$905,MATCH(A116,Catalogo!$A$5:$A$905,0)))</f>
        <v>6</v>
      </c>
      <c r="D116" s="19">
        <v>46414</v>
      </c>
      <c r="E116" s="20">
        <v>240</v>
      </c>
      <c r="F116" s="12"/>
      <c r="G116" s="6">
        <f>IF(OR(A116="",B116="SKU no encontrado"),"",IF(INDEX(Catalogo!$H$5:$H$905,MATCH(A116,Catalogo!$A$5:$A$905,0))=0,"",INDEX(Catalogo!$H$5:$H$905,MATCH(A116,Catalogo!$A$5:$A$905,0))))</f>
        <v>21688.986000000001</v>
      </c>
      <c r="H116" s="13" t="str">
        <f t="shared" si="6"/>
        <v/>
      </c>
      <c r="I116" s="6" t="str">
        <f t="shared" si="7"/>
        <v/>
      </c>
      <c r="J116" s="6" t="str">
        <f t="shared" si="8"/>
        <v/>
      </c>
      <c r="K116" s="6" t="str">
        <f t="shared" si="9"/>
        <v/>
      </c>
      <c r="L116" t="str">
        <f t="shared" si="10"/>
        <v>Completar precio unitario</v>
      </c>
      <c r="M116" t="s">
        <v>1839</v>
      </c>
      <c r="N116" s="18">
        <v>240</v>
      </c>
      <c r="O116">
        <v>2</v>
      </c>
      <c r="P116">
        <v>129</v>
      </c>
      <c r="Q116" s="6">
        <f t="shared" si="11"/>
        <v>3614.8310000000001</v>
      </c>
    </row>
    <row r="117" spans="1:17" ht="30" customHeight="1">
      <c r="A117" s="17" t="s">
        <v>523</v>
      </c>
      <c r="B117" s="5" t="str">
        <f>IF(A117="","",IF(COUNTIF(Catalogo!$A$5:$A$905,A117)=0,"SKU no encontrado",INDEX(Catalogo!$B$5:$B$905,MATCH(A117,Catalogo!$A$5:$A$905,0))))</f>
        <v>ANDES ORIGEN NEGRA CAN 4X6 473</v>
      </c>
      <c r="C117">
        <f>IF(OR(A117="",B117="SKU no encontrado"),"",INDEX(Catalogo!$C$5:$C$905,MATCH(A117,Catalogo!$A$5:$A$905,0)))</f>
        <v>24</v>
      </c>
      <c r="D117" s="19">
        <v>46414</v>
      </c>
      <c r="E117" s="20">
        <v>43.791666666700003</v>
      </c>
      <c r="F117" s="12"/>
      <c r="G117" s="6">
        <f>IF(OR(A117="",B117="SKU no encontrado"),"",IF(INDEX(Catalogo!$H$5:$H$905,MATCH(A117,Catalogo!$A$5:$A$905,0))=0,"",INDEX(Catalogo!$H$5:$H$905,MATCH(A117,Catalogo!$A$5:$A$905,0))))</f>
        <v>63068.307000000001</v>
      </c>
      <c r="H117" s="13" t="str">
        <f t="shared" si="6"/>
        <v/>
      </c>
      <c r="I117" s="6" t="str">
        <f t="shared" si="7"/>
        <v/>
      </c>
      <c r="J117" s="6" t="str">
        <f t="shared" si="8"/>
        <v/>
      </c>
      <c r="K117" s="6" t="str">
        <f t="shared" si="9"/>
        <v/>
      </c>
      <c r="L117" t="str">
        <f t="shared" si="10"/>
        <v>Completar precio unitario</v>
      </c>
      <c r="M117" t="s">
        <v>1839</v>
      </c>
      <c r="N117" s="18">
        <v>43.791666666700003</v>
      </c>
      <c r="O117">
        <v>1</v>
      </c>
      <c r="P117">
        <v>129</v>
      </c>
      <c r="Q117" s="6">
        <f t="shared" si="11"/>
        <v>2627.846125</v>
      </c>
    </row>
    <row r="118" spans="1:17" ht="30" customHeight="1">
      <c r="A118" s="17" t="s">
        <v>1051</v>
      </c>
      <c r="B118" s="5" t="str">
        <f>IF(A118="","",IF(COUNTIF(Catalogo!$A$5:$A$905,A118)=0,"SKU no encontrado",INDEX(Catalogo!$B$5:$B$905,MATCH(A118,Catalogo!$A$5:$A$905,0))))</f>
        <v>QUILMES 1890 CAN 4X4 710CC</v>
      </c>
      <c r="C118">
        <f>IF(OR(A118="",B118="SKU no encontrado"),"",INDEX(Catalogo!$C$5:$C$905,MATCH(A118,Catalogo!$A$5:$A$905,0)))</f>
        <v>16</v>
      </c>
      <c r="D118" s="19">
        <v>46415</v>
      </c>
      <c r="E118" s="20">
        <v>142.5</v>
      </c>
      <c r="F118" s="12"/>
      <c r="G118" s="6">
        <f>IF(OR(A118="",B118="SKU no encontrado"),"",IF(INDEX(Catalogo!$H$5:$H$905,MATCH(A118,Catalogo!$A$5:$A$905,0))=0,"",INDEX(Catalogo!$H$5:$H$905,MATCH(A118,Catalogo!$A$5:$A$905,0))))</f>
        <v>37137.404000000002</v>
      </c>
      <c r="H118" s="13" t="str">
        <f t="shared" si="6"/>
        <v/>
      </c>
      <c r="I118" s="6" t="str">
        <f t="shared" si="7"/>
        <v/>
      </c>
      <c r="J118" s="6" t="str">
        <f t="shared" si="8"/>
        <v/>
      </c>
      <c r="K118" s="6" t="str">
        <f t="shared" si="9"/>
        <v/>
      </c>
      <c r="L118" t="str">
        <f t="shared" si="10"/>
        <v>Completar precio unitario</v>
      </c>
      <c r="M118" t="s">
        <v>1839</v>
      </c>
      <c r="N118" s="18">
        <v>142.5</v>
      </c>
      <c r="O118">
        <v>1</v>
      </c>
      <c r="P118">
        <v>130</v>
      </c>
      <c r="Q118" s="6">
        <f t="shared" si="11"/>
        <v>2321.0877500000001</v>
      </c>
    </row>
    <row r="119" spans="1:17" ht="30" customHeight="1">
      <c r="A119" s="17" t="s">
        <v>810</v>
      </c>
      <c r="B119" s="5" t="str">
        <f>IF(A119="","",IF(COUNTIF(Catalogo!$A$5:$A$905,A119)=0,"SKU no encontrado",INDEX(Catalogo!$B$5:$B$905,MATCH(A119,Catalogo!$A$5:$A$905,0))))</f>
        <v>RED BULL FRUTA DEL DRAGON CAN 6X4 250CC</v>
      </c>
      <c r="C119">
        <f>IF(OR(A119="",B119="SKU no encontrado"),"",INDEX(Catalogo!$C$5:$C$905,MATCH(A119,Catalogo!$A$5:$A$905,0)))</f>
        <v>24</v>
      </c>
      <c r="D119" s="19">
        <v>46416</v>
      </c>
      <c r="E119" s="20">
        <v>32.5</v>
      </c>
      <c r="F119" s="12"/>
      <c r="G119" s="6">
        <f>IF(OR(A119="",B119="SKU no encontrado"),"",IF(INDEX(Catalogo!$H$5:$H$905,MATCH(A119,Catalogo!$A$5:$A$905,0))=0,"",INDEX(Catalogo!$H$5:$H$905,MATCH(A119,Catalogo!$A$5:$A$905,0))))</f>
        <v>65853.251000000004</v>
      </c>
      <c r="H119" s="13" t="str">
        <f t="shared" si="6"/>
        <v/>
      </c>
      <c r="I119" s="6" t="str">
        <f t="shared" si="7"/>
        <v/>
      </c>
      <c r="J119" s="6" t="str">
        <f t="shared" si="8"/>
        <v/>
      </c>
      <c r="K119" s="6" t="str">
        <f t="shared" si="9"/>
        <v/>
      </c>
      <c r="L119" t="str">
        <f t="shared" si="10"/>
        <v>Completar precio unitario</v>
      </c>
      <c r="M119" t="s">
        <v>1839</v>
      </c>
      <c r="N119" s="18">
        <v>32.5</v>
      </c>
      <c r="O119">
        <v>1</v>
      </c>
      <c r="P119">
        <v>131</v>
      </c>
      <c r="Q119" s="6">
        <f t="shared" si="11"/>
        <v>2743.8854583333336</v>
      </c>
    </row>
    <row r="120" spans="1:17" ht="30" customHeight="1">
      <c r="A120" s="17" t="s">
        <v>448</v>
      </c>
      <c r="B120" s="5" t="str">
        <f>IF(A120="","",IF(COUNTIF(Catalogo!$A$5:$A$905,A120)=0,"SKU no encontrado",INDEX(Catalogo!$B$5:$B$905,MATCH(A120,Catalogo!$A$5:$A$905,0))))</f>
        <v>GATORADE COOL BLUE PET X6 750 204</v>
      </c>
      <c r="C120">
        <f>IF(OR(A120="",B120="SKU no encontrado"),"",INDEX(Catalogo!$C$5:$C$905,MATCH(A120,Catalogo!$A$5:$A$905,0)))</f>
        <v>6</v>
      </c>
      <c r="D120" s="19">
        <v>46418</v>
      </c>
      <c r="E120" s="20">
        <v>247.5</v>
      </c>
      <c r="F120" s="12"/>
      <c r="G120" s="6">
        <f>IF(OR(A120="",B120="SKU no encontrado"),"",IF(INDEX(Catalogo!$H$5:$H$905,MATCH(A120,Catalogo!$A$5:$A$905,0))=0,"",INDEX(Catalogo!$H$5:$H$905,MATCH(A120,Catalogo!$A$5:$A$905,0))))</f>
        <v>17021.356</v>
      </c>
      <c r="H120" s="13" t="str">
        <f t="shared" si="6"/>
        <v/>
      </c>
      <c r="I120" s="6" t="str">
        <f t="shared" si="7"/>
        <v/>
      </c>
      <c r="J120" s="6" t="str">
        <f t="shared" si="8"/>
        <v/>
      </c>
      <c r="K120" s="6" t="str">
        <f t="shared" si="9"/>
        <v/>
      </c>
      <c r="L120" t="str">
        <f t="shared" si="10"/>
        <v>Completar precio unitario</v>
      </c>
      <c r="M120" t="s">
        <v>1839</v>
      </c>
      <c r="N120" s="18">
        <v>247.5</v>
      </c>
      <c r="O120">
        <v>1</v>
      </c>
      <c r="P120">
        <v>133</v>
      </c>
      <c r="Q120" s="6">
        <f t="shared" si="11"/>
        <v>2836.8926666666666</v>
      </c>
    </row>
    <row r="121" spans="1:17" ht="30" customHeight="1">
      <c r="A121" s="17" t="s">
        <v>633</v>
      </c>
      <c r="B121" s="5" t="str">
        <f>IF(A121="","",IF(COUNTIF(Catalogo!$A$5:$A$905,A121)=0,"SKU no encontrado",INDEX(Catalogo!$B$5:$B$905,MATCH(A121,Catalogo!$A$5:$A$905,0))))</f>
        <v>STELLA ARTOIS OW X6 710CC</v>
      </c>
      <c r="C121">
        <f>IF(OR(A121="",B121="SKU no encontrado"),"",INDEX(Catalogo!$C$5:$C$905,MATCH(A121,Catalogo!$A$5:$A$905,0)))</f>
        <v>6</v>
      </c>
      <c r="D121" s="19">
        <v>46418</v>
      </c>
      <c r="E121" s="20">
        <v>280</v>
      </c>
      <c r="F121" s="12"/>
      <c r="G121" s="6">
        <f>IF(OR(A121="",B121="SKU no encontrado"),"",IF(INDEX(Catalogo!$H$5:$H$905,MATCH(A121,Catalogo!$A$5:$A$905,0))=0,"",INDEX(Catalogo!$H$5:$H$905,MATCH(A121,Catalogo!$A$5:$A$905,0))))</f>
        <v>26454.031999999999</v>
      </c>
      <c r="H121" s="13" t="str">
        <f t="shared" si="6"/>
        <v/>
      </c>
      <c r="I121" s="6" t="str">
        <f t="shared" si="7"/>
        <v/>
      </c>
      <c r="J121" s="6" t="str">
        <f t="shared" si="8"/>
        <v/>
      </c>
      <c r="K121" s="6" t="str">
        <f t="shared" si="9"/>
        <v/>
      </c>
      <c r="L121" t="str">
        <f t="shared" si="10"/>
        <v>Completar precio unitario</v>
      </c>
      <c r="M121" t="s">
        <v>1839</v>
      </c>
      <c r="N121" s="18">
        <v>280</v>
      </c>
      <c r="O121">
        <v>2</v>
      </c>
      <c r="P121">
        <v>133</v>
      </c>
      <c r="Q121" s="6">
        <f t="shared" si="11"/>
        <v>4409.0053333333335</v>
      </c>
    </row>
    <row r="122" spans="1:17" ht="30" customHeight="1">
      <c r="A122" s="17" t="s">
        <v>400</v>
      </c>
      <c r="B122" s="5" t="str">
        <f>IF(A122="","",IF(COUNTIF(Catalogo!$A$5:$A$905,A122)=0,"SKU no encontrado",INDEX(Catalogo!$B$5:$B$905,MATCH(A122,Catalogo!$A$5:$A$905,0))))</f>
        <v>PATAGONIA SLIMKEG 0 20 L IPA CON SAUCO</v>
      </c>
      <c r="C122">
        <f>IF(OR(A122="",B122="SKU no encontrado"),"",INDEX(Catalogo!$C$5:$C$905,MATCH(A122,Catalogo!$A$5:$A$905,0)))</f>
        <v>1</v>
      </c>
      <c r="D122" s="19">
        <v>46419</v>
      </c>
      <c r="E122" s="20">
        <v>3</v>
      </c>
      <c r="F122" s="12"/>
      <c r="G122" s="6">
        <f>IF(OR(A122="",B122="SKU no encontrado"),"",IF(INDEX(Catalogo!$H$5:$H$905,MATCH(A122,Catalogo!$A$5:$A$905,0))=0,"",INDEX(Catalogo!$H$5:$H$905,MATCH(A122,Catalogo!$A$5:$A$905,0))))</f>
        <v>145097.87700000001</v>
      </c>
      <c r="H122" s="13" t="str">
        <f t="shared" si="6"/>
        <v/>
      </c>
      <c r="I122" s="6" t="str">
        <f t="shared" si="7"/>
        <v/>
      </c>
      <c r="J122" s="6" t="str">
        <f t="shared" si="8"/>
        <v/>
      </c>
      <c r="K122" s="6" t="str">
        <f t="shared" si="9"/>
        <v/>
      </c>
      <c r="L122" t="str">
        <f t="shared" si="10"/>
        <v>Completar precio unitario</v>
      </c>
      <c r="M122" t="s">
        <v>1839</v>
      </c>
      <c r="N122" s="18">
        <v>3</v>
      </c>
      <c r="O122">
        <v>2</v>
      </c>
      <c r="P122">
        <v>134</v>
      </c>
      <c r="Q122" s="6">
        <f t="shared" si="11"/>
        <v>145097.87700000001</v>
      </c>
    </row>
    <row r="123" spans="1:17" ht="30" customHeight="1">
      <c r="A123" s="17" t="s">
        <v>452</v>
      </c>
      <c r="B123" s="5" t="str">
        <f>IF(A123="","",IF(COUNTIF(Catalogo!$A$5:$A$905,A123)=0,"SKU no encontrado",INDEX(Catalogo!$B$5:$B$905,MATCH(A123,Catalogo!$A$5:$A$905,0))))</f>
        <v>GATORADE FRUTAS TROP PET X6 750 204</v>
      </c>
      <c r="C123">
        <f>IF(OR(A123="",B123="SKU no encontrado"),"",INDEX(Catalogo!$C$5:$C$905,MATCH(A123,Catalogo!$A$5:$A$905,0)))</f>
        <v>6</v>
      </c>
      <c r="D123" s="19">
        <v>46419</v>
      </c>
      <c r="E123" s="20">
        <v>70</v>
      </c>
      <c r="F123" s="12"/>
      <c r="G123" s="6">
        <f>IF(OR(A123="",B123="SKU no encontrado"),"",IF(INDEX(Catalogo!$H$5:$H$905,MATCH(A123,Catalogo!$A$5:$A$905,0))=0,"",INDEX(Catalogo!$H$5:$H$905,MATCH(A123,Catalogo!$A$5:$A$905,0))))</f>
        <v>17021.356</v>
      </c>
      <c r="H123" s="13" t="str">
        <f t="shared" si="6"/>
        <v/>
      </c>
      <c r="I123" s="6" t="str">
        <f t="shared" si="7"/>
        <v/>
      </c>
      <c r="J123" s="6" t="str">
        <f t="shared" si="8"/>
        <v/>
      </c>
      <c r="K123" s="6" t="str">
        <f t="shared" si="9"/>
        <v/>
      </c>
      <c r="L123" t="str">
        <f t="shared" si="10"/>
        <v>Completar precio unitario</v>
      </c>
      <c r="M123" t="s">
        <v>1839</v>
      </c>
      <c r="N123" s="18">
        <v>70</v>
      </c>
      <c r="O123">
        <v>1</v>
      </c>
      <c r="P123">
        <v>134</v>
      </c>
      <c r="Q123" s="6">
        <f t="shared" si="11"/>
        <v>2836.8926666666666</v>
      </c>
    </row>
    <row r="124" spans="1:17" ht="30" customHeight="1">
      <c r="A124" s="17" t="s">
        <v>922</v>
      </c>
      <c r="B124" s="5" t="str">
        <f>IF(A124="","",IF(COUNTIF(Catalogo!$A$5:$A$905,A124)=0,"SKU no encontrado",INDEX(Catalogo!$B$5:$B$905,MATCH(A124,Catalogo!$A$5:$A$905,0))))</f>
        <v>MICHELOB ULTRA GLUT FREE CAN 4X6 473CC</v>
      </c>
      <c r="C124">
        <f>IF(OR(A124="",B124="SKU no encontrado"),"",INDEX(Catalogo!$C$5:$C$905,MATCH(A124,Catalogo!$A$5:$A$905,0)))</f>
        <v>24</v>
      </c>
      <c r="D124" s="19">
        <v>46419</v>
      </c>
      <c r="E124" s="20">
        <v>200</v>
      </c>
      <c r="F124" s="12"/>
      <c r="G124" s="6">
        <f>IF(OR(A124="",B124="SKU no encontrado"),"",IF(INDEX(Catalogo!$H$5:$H$905,MATCH(A124,Catalogo!$A$5:$A$905,0))=0,"",INDEX(Catalogo!$H$5:$H$905,MATCH(A124,Catalogo!$A$5:$A$905,0))))</f>
        <v>51547.457000000002</v>
      </c>
      <c r="H124" s="13" t="str">
        <f t="shared" si="6"/>
        <v/>
      </c>
      <c r="I124" s="6" t="str">
        <f t="shared" si="7"/>
        <v/>
      </c>
      <c r="J124" s="6" t="str">
        <f t="shared" si="8"/>
        <v/>
      </c>
      <c r="K124" s="6" t="str">
        <f t="shared" si="9"/>
        <v/>
      </c>
      <c r="L124" t="str">
        <f t="shared" si="10"/>
        <v>Completar precio unitario</v>
      </c>
      <c r="M124" t="s">
        <v>1839</v>
      </c>
      <c r="N124" s="18">
        <v>200</v>
      </c>
      <c r="O124">
        <v>2</v>
      </c>
      <c r="P124">
        <v>134</v>
      </c>
      <c r="Q124" s="6">
        <f t="shared" si="11"/>
        <v>2147.8107083333334</v>
      </c>
    </row>
    <row r="125" spans="1:17" ht="30" customHeight="1">
      <c r="A125" s="17" t="s">
        <v>452</v>
      </c>
      <c r="B125" s="5" t="str">
        <f>IF(A125="","",IF(COUNTIF(Catalogo!$A$5:$A$905,A125)=0,"SKU no encontrado",INDEX(Catalogo!$B$5:$B$905,MATCH(A125,Catalogo!$A$5:$A$905,0))))</f>
        <v>GATORADE FRUTAS TROP PET X6 750 204</v>
      </c>
      <c r="C125">
        <f>IF(OR(A125="",B125="SKU no encontrado"),"",INDEX(Catalogo!$C$5:$C$905,MATCH(A125,Catalogo!$A$5:$A$905,0)))</f>
        <v>6</v>
      </c>
      <c r="D125" s="19">
        <v>46420</v>
      </c>
      <c r="E125" s="20">
        <v>59</v>
      </c>
      <c r="F125" s="12"/>
      <c r="G125" s="6">
        <f>IF(OR(A125="",B125="SKU no encontrado"),"",IF(INDEX(Catalogo!$H$5:$H$905,MATCH(A125,Catalogo!$A$5:$A$905,0))=0,"",INDEX(Catalogo!$H$5:$H$905,MATCH(A125,Catalogo!$A$5:$A$905,0))))</f>
        <v>17021.356</v>
      </c>
      <c r="H125" s="13" t="str">
        <f t="shared" si="6"/>
        <v/>
      </c>
      <c r="I125" s="6" t="str">
        <f t="shared" si="7"/>
        <v/>
      </c>
      <c r="J125" s="6" t="str">
        <f t="shared" si="8"/>
        <v/>
      </c>
      <c r="K125" s="6" t="str">
        <f t="shared" si="9"/>
        <v/>
      </c>
      <c r="L125" t="str">
        <f t="shared" si="10"/>
        <v>Completar precio unitario</v>
      </c>
      <c r="M125" t="s">
        <v>1839</v>
      </c>
      <c r="N125" s="18">
        <v>59</v>
      </c>
      <c r="O125">
        <v>2</v>
      </c>
      <c r="P125">
        <v>135</v>
      </c>
      <c r="Q125" s="6">
        <f t="shared" si="11"/>
        <v>2836.8926666666666</v>
      </c>
    </row>
    <row r="126" spans="1:17" ht="30" customHeight="1">
      <c r="A126" s="17" t="s">
        <v>1026</v>
      </c>
      <c r="B126" s="5" t="str">
        <f>IF(A126="","",IF(COUNTIF(Catalogo!$A$5:$A$905,A126)=0,"SKU no encontrado",INDEX(Catalogo!$B$5:$B$905,MATCH(A126,Catalogo!$A$5:$A$905,0))))</f>
        <v>PDT POMELO PET X8 2000CC</v>
      </c>
      <c r="C126">
        <f>IF(OR(A126="",B126="SKU no encontrado"),"",INDEX(Catalogo!$C$5:$C$905,MATCH(A126,Catalogo!$A$5:$A$905,0)))</f>
        <v>8</v>
      </c>
      <c r="D126" s="19">
        <v>46422</v>
      </c>
      <c r="E126" s="20">
        <v>119.125</v>
      </c>
      <c r="F126" s="12"/>
      <c r="G126" s="6">
        <f>IF(OR(A126="",B126="SKU no encontrado"),"",IF(INDEX(Catalogo!$H$5:$H$905,MATCH(A126,Catalogo!$A$5:$A$905,0))=0,"",INDEX(Catalogo!$H$5:$H$905,MATCH(A126,Catalogo!$A$5:$A$905,0))))</f>
        <v>27070.505000000001</v>
      </c>
      <c r="H126" s="13" t="str">
        <f t="shared" si="6"/>
        <v/>
      </c>
      <c r="I126" s="6" t="str">
        <f t="shared" si="7"/>
        <v/>
      </c>
      <c r="J126" s="6" t="str">
        <f t="shared" si="8"/>
        <v/>
      </c>
      <c r="K126" s="6" t="str">
        <f t="shared" si="9"/>
        <v/>
      </c>
      <c r="L126" t="str">
        <f t="shared" si="10"/>
        <v>Completar precio unitario</v>
      </c>
      <c r="M126" t="s">
        <v>1839</v>
      </c>
      <c r="N126" s="18">
        <v>119.125</v>
      </c>
      <c r="O126">
        <v>1</v>
      </c>
      <c r="P126">
        <v>137</v>
      </c>
      <c r="Q126" s="6">
        <f t="shared" si="11"/>
        <v>3383.8131250000001</v>
      </c>
    </row>
    <row r="127" spans="1:17" ht="30" customHeight="1">
      <c r="A127" s="17" t="s">
        <v>466</v>
      </c>
      <c r="B127" s="5" t="str">
        <f>IF(A127="","",IF(COUNTIF(Catalogo!$A$5:$A$905,A127)=0,"SKU no encontrado",INDEX(Catalogo!$B$5:$B$905,MATCH(A127,Catalogo!$A$5:$A$905,0))))</f>
        <v>PATAGONIA IPA CAN 4X6 473 CART</v>
      </c>
      <c r="C127">
        <f>IF(OR(A127="",B127="SKU no encontrado"),"",INDEX(Catalogo!$C$5:$C$905,MATCH(A127,Catalogo!$A$5:$A$905,0)))</f>
        <v>24</v>
      </c>
      <c r="D127" s="19">
        <v>46424</v>
      </c>
      <c r="E127" s="20">
        <v>100</v>
      </c>
      <c r="F127" s="12"/>
      <c r="G127" s="6">
        <f>IF(OR(A127="",B127="SKU no encontrado"),"",IF(INDEX(Catalogo!$H$5:$H$905,MATCH(A127,Catalogo!$A$5:$A$905,0))=0,"",INDEX(Catalogo!$H$5:$H$905,MATCH(A127,Catalogo!$A$5:$A$905,0))))</f>
        <v>79485.894</v>
      </c>
      <c r="H127" s="13" t="str">
        <f t="shared" si="6"/>
        <v/>
      </c>
      <c r="I127" s="6" t="str">
        <f t="shared" si="7"/>
        <v/>
      </c>
      <c r="J127" s="6" t="str">
        <f t="shared" si="8"/>
        <v/>
      </c>
      <c r="K127" s="6" t="str">
        <f t="shared" si="9"/>
        <v/>
      </c>
      <c r="L127" t="str">
        <f t="shared" si="10"/>
        <v>Completar precio unitario</v>
      </c>
      <c r="M127" t="s">
        <v>1839</v>
      </c>
      <c r="N127" s="18">
        <v>100</v>
      </c>
      <c r="O127">
        <v>2</v>
      </c>
      <c r="P127">
        <v>139</v>
      </c>
      <c r="Q127" s="6">
        <f t="shared" si="11"/>
        <v>3311.9122499999999</v>
      </c>
    </row>
    <row r="128" spans="1:17" ht="30" customHeight="1">
      <c r="A128" s="17" t="s">
        <v>653</v>
      </c>
      <c r="B128" s="5" t="str">
        <f>IF(A128="","",IF(COUNTIF(Catalogo!$A$5:$A$905,A128)=0,"SKU no encontrado",INDEX(Catalogo!$B$5:$B$905,MATCH(A128,Catalogo!$A$5:$A$905,0))))</f>
        <v>STELLA ARTOIS PM CAN 4X6 473CC CART</v>
      </c>
      <c r="C128">
        <f>IF(OR(A128="",B128="SKU no encontrado"),"",INDEX(Catalogo!$C$5:$C$905,MATCH(A128,Catalogo!$A$5:$A$905,0)))</f>
        <v>24</v>
      </c>
      <c r="D128" s="19">
        <v>46424</v>
      </c>
      <c r="E128" s="20">
        <v>65.708333333300004</v>
      </c>
      <c r="F128" s="12"/>
      <c r="G128" s="6">
        <f>IF(OR(A128="",B128="SKU no encontrado"),"",IF(INDEX(Catalogo!$H$5:$H$905,MATCH(A128,Catalogo!$A$5:$A$905,0))=0,"",INDEX(Catalogo!$H$5:$H$905,MATCH(A128,Catalogo!$A$5:$A$905,0))))</f>
        <v>72010.180999999997</v>
      </c>
      <c r="H128" s="13" t="str">
        <f t="shared" si="6"/>
        <v/>
      </c>
      <c r="I128" s="6" t="str">
        <f t="shared" si="7"/>
        <v/>
      </c>
      <c r="J128" s="6" t="str">
        <f t="shared" si="8"/>
        <v/>
      </c>
      <c r="K128" s="6" t="str">
        <f t="shared" si="9"/>
        <v/>
      </c>
      <c r="L128" t="str">
        <f t="shared" si="10"/>
        <v>Completar precio unitario</v>
      </c>
      <c r="M128" t="s">
        <v>1839</v>
      </c>
      <c r="N128" s="18">
        <v>65.708333333300004</v>
      </c>
      <c r="O128">
        <v>1</v>
      </c>
      <c r="P128">
        <v>139</v>
      </c>
      <c r="Q128" s="6">
        <f t="shared" si="11"/>
        <v>3000.4242083333334</v>
      </c>
    </row>
    <row r="129" spans="1:17" ht="30" customHeight="1">
      <c r="A129" s="17" t="s">
        <v>58</v>
      </c>
      <c r="B129" s="5" t="str">
        <f>IF(A129="","",IF(COUNTIF(Catalogo!$A$5:$A$905,A129)=0,"SKU no encontrado",INDEX(Catalogo!$B$5:$B$905,MATCH(A129,Catalogo!$A$5:$A$905,0))))</f>
        <v>STELLA PURE GOLD CAN 4X6 473CC T</v>
      </c>
      <c r="C129">
        <f>IF(OR(A129="",B129="SKU no encontrado"),"",INDEX(Catalogo!$C$5:$C$905,MATCH(A129,Catalogo!$A$5:$A$905,0)))</f>
        <v>24</v>
      </c>
      <c r="D129" s="19">
        <v>46424</v>
      </c>
      <c r="E129" s="20">
        <v>21.708333333300001</v>
      </c>
      <c r="F129" s="12"/>
      <c r="G129" s="6">
        <f>IF(OR(A129="",B129="SKU no encontrado"),"",IF(INDEX(Catalogo!$H$5:$H$905,MATCH(A129,Catalogo!$A$5:$A$905,0))=0,"",INDEX(Catalogo!$H$5:$H$905,MATCH(A129,Catalogo!$A$5:$A$905,0))))</f>
        <v>72010.180999999997</v>
      </c>
      <c r="H129" s="13" t="str">
        <f t="shared" si="6"/>
        <v/>
      </c>
      <c r="I129" s="6" t="str">
        <f t="shared" si="7"/>
        <v/>
      </c>
      <c r="J129" s="6" t="str">
        <f t="shared" si="8"/>
        <v/>
      </c>
      <c r="K129" s="6" t="str">
        <f t="shared" si="9"/>
        <v/>
      </c>
      <c r="L129" t="str">
        <f t="shared" si="10"/>
        <v>Completar precio unitario</v>
      </c>
      <c r="M129" t="s">
        <v>1839</v>
      </c>
      <c r="N129" s="18">
        <v>21.708333333300001</v>
      </c>
      <c r="O129">
        <v>1</v>
      </c>
      <c r="P129">
        <v>139</v>
      </c>
      <c r="Q129" s="6">
        <f t="shared" si="11"/>
        <v>3000.4242083333334</v>
      </c>
    </row>
    <row r="130" spans="1:17" ht="30" customHeight="1">
      <c r="A130" s="17" t="s">
        <v>574</v>
      </c>
      <c r="B130" s="5" t="str">
        <f>IF(A130="","",IF(COUNTIF(Catalogo!$A$5:$A$905,A130)=0,"SKU no encontrado",INDEX(Catalogo!$B$5:$B$905,MATCH(A130,Catalogo!$A$5:$A$905,0))))</f>
        <v>PATAGONIA VERA IPA CAN 4X6 CART</v>
      </c>
      <c r="C130">
        <f>IF(OR(A130="",B130="SKU no encontrado"),"",INDEX(Catalogo!$C$5:$C$905,MATCH(A130,Catalogo!$A$5:$A$905,0)))</f>
        <v>24</v>
      </c>
      <c r="D130" s="19">
        <v>46427</v>
      </c>
      <c r="E130" s="20">
        <v>100</v>
      </c>
      <c r="F130" s="12"/>
      <c r="G130" s="6">
        <f>IF(OR(A130="",B130="SKU no encontrado"),"",IF(INDEX(Catalogo!$H$5:$H$905,MATCH(A130,Catalogo!$A$5:$A$905,0))=0,"",INDEX(Catalogo!$H$5:$H$905,MATCH(A130,Catalogo!$A$5:$A$905,0))))</f>
        <v>79485.894</v>
      </c>
      <c r="H130" s="13" t="str">
        <f t="shared" si="6"/>
        <v/>
      </c>
      <c r="I130" s="6" t="str">
        <f t="shared" si="7"/>
        <v/>
      </c>
      <c r="J130" s="6" t="str">
        <f t="shared" si="8"/>
        <v/>
      </c>
      <c r="K130" s="6" t="str">
        <f t="shared" si="9"/>
        <v/>
      </c>
      <c r="L130" t="str">
        <f t="shared" si="10"/>
        <v>Completar precio unitario</v>
      </c>
      <c r="M130" t="s">
        <v>1839</v>
      </c>
      <c r="N130" s="18">
        <v>100</v>
      </c>
      <c r="O130">
        <v>1</v>
      </c>
      <c r="P130">
        <v>142</v>
      </c>
      <c r="Q130" s="6">
        <f t="shared" si="11"/>
        <v>3311.9122499999999</v>
      </c>
    </row>
    <row r="131" spans="1:17" ht="30" customHeight="1">
      <c r="A131" s="17" t="s">
        <v>885</v>
      </c>
      <c r="B131" s="5" t="str">
        <f>IF(A131="","",IF(COUNTIF(Catalogo!$A$5:$A$905,A131)=0,"SKU no encontrado",INDEX(Catalogo!$B$5:$B$905,MATCH(A131,Catalogo!$A$5:$A$905,0))))</f>
        <v>ANDES ORIGEN RUBIA 2.0 CAN 4X6 473CC</v>
      </c>
      <c r="C131">
        <f>IF(OR(A131="",B131="SKU no encontrado"),"",INDEX(Catalogo!$C$5:$C$905,MATCH(A131,Catalogo!$A$5:$A$905,0)))</f>
        <v>24</v>
      </c>
      <c r="D131" s="19">
        <v>46429</v>
      </c>
      <c r="E131" s="20">
        <v>69.541666666699996</v>
      </c>
      <c r="F131" s="12"/>
      <c r="G131" s="6">
        <f>IF(OR(A131="",B131="SKU no encontrado"),"",IF(INDEX(Catalogo!$H$5:$H$905,MATCH(A131,Catalogo!$A$5:$A$905,0))=0,"",INDEX(Catalogo!$H$5:$H$905,MATCH(A131,Catalogo!$A$5:$A$905,0))))</f>
        <v>57611.010999999999</v>
      </c>
      <c r="H131" s="13" t="str">
        <f t="shared" si="6"/>
        <v/>
      </c>
      <c r="I131" s="6" t="str">
        <f t="shared" si="7"/>
        <v/>
      </c>
      <c r="J131" s="6" t="str">
        <f t="shared" si="8"/>
        <v/>
      </c>
      <c r="K131" s="6" t="str">
        <f t="shared" si="9"/>
        <v/>
      </c>
      <c r="L131" t="str">
        <f t="shared" si="10"/>
        <v>Completar precio unitario</v>
      </c>
      <c r="M131" t="s">
        <v>1839</v>
      </c>
      <c r="N131" s="18">
        <v>69.541666666699996</v>
      </c>
      <c r="O131">
        <v>1</v>
      </c>
      <c r="P131">
        <v>144</v>
      </c>
      <c r="Q131" s="6">
        <f t="shared" si="11"/>
        <v>2400.4587916666665</v>
      </c>
    </row>
    <row r="132" spans="1:17" ht="30" customHeight="1">
      <c r="A132" s="17" t="s">
        <v>87</v>
      </c>
      <c r="B132" s="5" t="str">
        <f>IF(A132="","",IF(COUNTIF(Catalogo!$A$5:$A$905,A132)=0,"SKU no encontrado",INDEX(Catalogo!$B$5:$B$905,MATCH(A132,Catalogo!$A$5:$A$905,0))))</f>
        <v>GATORADE UVA * X6 PET 500</v>
      </c>
      <c r="C132">
        <f>IF(OR(A132="",B132="SKU no encontrado"),"",INDEX(Catalogo!$C$5:$C$905,MATCH(A132,Catalogo!$A$5:$A$905,0)))</f>
        <v>6</v>
      </c>
      <c r="D132" s="19">
        <v>46431</v>
      </c>
      <c r="E132" s="20">
        <v>315</v>
      </c>
      <c r="F132" s="12"/>
      <c r="G132" s="6">
        <f>IF(OR(A132="",B132="SKU no encontrado"),"",IF(INDEX(Catalogo!$H$5:$H$905,MATCH(A132,Catalogo!$A$5:$A$905,0))=0,"",INDEX(Catalogo!$H$5:$H$905,MATCH(A132,Catalogo!$A$5:$A$905,0))))</f>
        <v>12591.147000000001</v>
      </c>
      <c r="H132" s="13" t="str">
        <f t="shared" si="6"/>
        <v/>
      </c>
      <c r="I132" s="6" t="str">
        <f t="shared" si="7"/>
        <v/>
      </c>
      <c r="J132" s="6" t="str">
        <f t="shared" si="8"/>
        <v/>
      </c>
      <c r="K132" s="6" t="str">
        <f t="shared" si="9"/>
        <v/>
      </c>
      <c r="L132" t="str">
        <f t="shared" si="10"/>
        <v>Completar precio unitario</v>
      </c>
      <c r="M132" t="s">
        <v>1839</v>
      </c>
      <c r="N132" s="18">
        <v>315</v>
      </c>
      <c r="O132">
        <v>2</v>
      </c>
      <c r="P132">
        <v>146</v>
      </c>
      <c r="Q132" s="6">
        <f t="shared" si="11"/>
        <v>2098.5245</v>
      </c>
    </row>
    <row r="133" spans="1:17" ht="30" customHeight="1">
      <c r="A133" s="17" t="s">
        <v>386</v>
      </c>
      <c r="B133" s="5" t="str">
        <f>IF(A133="","",IF(COUNTIF(Catalogo!$A$5:$A$905,A133)=0,"SKU no encontrado",INDEX(Catalogo!$B$5:$B$905,MATCH(A133,Catalogo!$A$5:$A$905,0))))</f>
        <v>GATORADE FRU TRO * X6 PET 500#</v>
      </c>
      <c r="C133">
        <f>IF(OR(A133="",B133="SKU no encontrado"),"",INDEX(Catalogo!$C$5:$C$905,MATCH(A133,Catalogo!$A$5:$A$905,0)))</f>
        <v>6</v>
      </c>
      <c r="D133" s="19">
        <v>46432</v>
      </c>
      <c r="E133" s="20">
        <v>630</v>
      </c>
      <c r="F133" s="12"/>
      <c r="G133" s="6">
        <f>IF(OR(A133="",B133="SKU no encontrado"),"",IF(INDEX(Catalogo!$H$5:$H$905,MATCH(A133,Catalogo!$A$5:$A$905,0))=0,"",INDEX(Catalogo!$H$5:$H$905,MATCH(A133,Catalogo!$A$5:$A$905,0))))</f>
        <v>12591.147000000001</v>
      </c>
      <c r="H133" s="13" t="str">
        <f t="shared" ref="H133:H196" si="12">IF(OR(M133="ELIMINAR",G133="",F133="",F133&lt;0,C133&lt;=0,F133*C133&gt;G133,E133&gt;N133),"",1-F133*C133/G133)</f>
        <v/>
      </c>
      <c r="I133" s="6" t="str">
        <f t="shared" ref="I133:I196" si="13">IF(H133="","",G133-F133*C133)</f>
        <v/>
      </c>
      <c r="J133" s="6" t="str">
        <f t="shared" ref="J133:J196" si="14">IF(OR(I133="",E133="",E133&lt;=0),"",I133*E133)</f>
        <v/>
      </c>
      <c r="K133" s="6" t="str">
        <f t="shared" ref="K133:K196" si="15">IF(OR(H133="",C133&lt;=0),"",F133*C133)</f>
        <v/>
      </c>
      <c r="L133" t="str">
        <f t="shared" ref="L133:L196" si="16">IF(M133="ELIMINAR","ELIMINAR según origen",IF(G133="","Sin precio válido",IF(C133&lt;=0,"Sin unidades por bulto",IF(F133="","Completar precio unitario",IF(OR(F133&lt;0,F133*C133&gt;G133),"Revisar precio unitario",IF(OR(E133&lt;=0,E133&gt;N133),"Revisar bultos vs. stock","Estimado proporcional"))))))</f>
        <v>Completar precio unitario</v>
      </c>
      <c r="M133" t="s">
        <v>1839</v>
      </c>
      <c r="N133" s="18">
        <v>630</v>
      </c>
      <c r="O133">
        <v>2</v>
      </c>
      <c r="P133">
        <v>147</v>
      </c>
      <c r="Q133" s="6">
        <f t="shared" ref="Q133:Q196" si="17">IF(OR(G133="",C133&lt;=0),"",G133/C133)</f>
        <v>2098.5245</v>
      </c>
    </row>
    <row r="134" spans="1:17" ht="30" customHeight="1">
      <c r="A134" s="17" t="s">
        <v>326</v>
      </c>
      <c r="B134" s="5" t="str">
        <f>IF(A134="","",IF(COUNTIF(Catalogo!$A$5:$A$905,A134)=0,"SKU no encontrado",INDEX(Catalogo!$B$5:$B$905,MATCH(A134,Catalogo!$A$5:$A$905,0))))</f>
        <v>PASO DLT TONICA * X6 PET1500#</v>
      </c>
      <c r="C134">
        <f>IF(OR(A134="",B134="SKU no encontrado"),"",INDEX(Catalogo!$C$5:$C$905,MATCH(A134,Catalogo!$A$5:$A$905,0)))</f>
        <v>6</v>
      </c>
      <c r="D134" s="19">
        <v>46433</v>
      </c>
      <c r="E134" s="20">
        <v>480</v>
      </c>
      <c r="F134" s="12"/>
      <c r="G134" s="6">
        <f>IF(OR(A134="",B134="SKU no encontrado"),"",IF(INDEX(Catalogo!$H$5:$H$905,MATCH(A134,Catalogo!$A$5:$A$905,0))=0,"",INDEX(Catalogo!$H$5:$H$905,MATCH(A134,Catalogo!$A$5:$A$905,0))))</f>
        <v>21688.986000000001</v>
      </c>
      <c r="H134" s="13" t="str">
        <f t="shared" si="12"/>
        <v/>
      </c>
      <c r="I134" s="6" t="str">
        <f t="shared" si="13"/>
        <v/>
      </c>
      <c r="J134" s="6" t="str">
        <f t="shared" si="14"/>
        <v/>
      </c>
      <c r="K134" s="6" t="str">
        <f t="shared" si="15"/>
        <v/>
      </c>
      <c r="L134" t="str">
        <f t="shared" si="16"/>
        <v>Completar precio unitario</v>
      </c>
      <c r="M134" t="s">
        <v>1839</v>
      </c>
      <c r="N134" s="18">
        <v>480</v>
      </c>
      <c r="O134">
        <v>3</v>
      </c>
      <c r="P134">
        <v>148</v>
      </c>
      <c r="Q134" s="6">
        <f t="shared" si="17"/>
        <v>3614.8310000000001</v>
      </c>
    </row>
    <row r="135" spans="1:17" ht="30" customHeight="1">
      <c r="A135" s="17" t="s">
        <v>462</v>
      </c>
      <c r="B135" s="5" t="str">
        <f>IF(A135="","",IF(COUNTIF(Catalogo!$A$5:$A$905,A135)=0,"SKU no encontrado",INDEX(Catalogo!$B$5:$B$905,MATCH(A135,Catalogo!$A$5:$A$905,0))))</f>
        <v>ECO DE LOS ANDES CG PET X12 500 MIX 203</v>
      </c>
      <c r="C135">
        <f>IF(OR(A135="",B135="SKU no encontrado"),"",INDEX(Catalogo!$C$5:$C$905,MATCH(A135,Catalogo!$A$5:$A$905,0)))</f>
        <v>12</v>
      </c>
      <c r="D135" s="19">
        <v>46433</v>
      </c>
      <c r="E135" s="20">
        <v>134</v>
      </c>
      <c r="F135" s="12"/>
      <c r="G135" s="6">
        <f>IF(OR(A135="",B135="SKU no encontrado"),"",IF(INDEX(Catalogo!$H$5:$H$905,MATCH(A135,Catalogo!$A$5:$A$905,0))=0,"",INDEX(Catalogo!$H$5:$H$905,MATCH(A135,Catalogo!$A$5:$A$905,0))))</f>
        <v>18843.681</v>
      </c>
      <c r="H135" s="13" t="str">
        <f t="shared" si="12"/>
        <v/>
      </c>
      <c r="I135" s="6" t="str">
        <f t="shared" si="13"/>
        <v/>
      </c>
      <c r="J135" s="6" t="str">
        <f t="shared" si="14"/>
        <v/>
      </c>
      <c r="K135" s="6" t="str">
        <f t="shared" si="15"/>
        <v/>
      </c>
      <c r="L135" t="str">
        <f t="shared" si="16"/>
        <v>Completar precio unitario</v>
      </c>
      <c r="M135" t="s">
        <v>1839</v>
      </c>
      <c r="N135" s="18">
        <v>134</v>
      </c>
      <c r="O135">
        <v>1</v>
      </c>
      <c r="P135">
        <v>148</v>
      </c>
      <c r="Q135" s="6">
        <f t="shared" si="17"/>
        <v>1570.30675</v>
      </c>
    </row>
    <row r="136" spans="1:17" ht="30" customHeight="1">
      <c r="A136" s="17" t="s">
        <v>462</v>
      </c>
      <c r="B136" s="5" t="str">
        <f>IF(A136="","",IF(COUNTIF(Catalogo!$A$5:$A$905,A136)=0,"SKU no encontrado",INDEX(Catalogo!$B$5:$B$905,MATCH(A136,Catalogo!$A$5:$A$905,0))))</f>
        <v>ECO DE LOS ANDES CG PET X12 500 MIX 203</v>
      </c>
      <c r="C136">
        <f>IF(OR(A136="",B136="SKU no encontrado"),"",INDEX(Catalogo!$C$5:$C$905,MATCH(A136,Catalogo!$A$5:$A$905,0)))</f>
        <v>12</v>
      </c>
      <c r="D136" s="19">
        <v>46434</v>
      </c>
      <c r="E136" s="20">
        <v>406</v>
      </c>
      <c r="F136" s="12"/>
      <c r="G136" s="6">
        <f>IF(OR(A136="",B136="SKU no encontrado"),"",IF(INDEX(Catalogo!$H$5:$H$905,MATCH(A136,Catalogo!$A$5:$A$905,0))=0,"",INDEX(Catalogo!$H$5:$H$905,MATCH(A136,Catalogo!$A$5:$A$905,0))))</f>
        <v>18843.681</v>
      </c>
      <c r="H136" s="13" t="str">
        <f t="shared" si="12"/>
        <v/>
      </c>
      <c r="I136" s="6" t="str">
        <f t="shared" si="13"/>
        <v/>
      </c>
      <c r="J136" s="6" t="str">
        <f t="shared" si="14"/>
        <v/>
      </c>
      <c r="K136" s="6" t="str">
        <f t="shared" si="15"/>
        <v/>
      </c>
      <c r="L136" t="str">
        <f t="shared" si="16"/>
        <v>Completar precio unitario</v>
      </c>
      <c r="M136" t="s">
        <v>1839</v>
      </c>
      <c r="N136" s="18">
        <v>406</v>
      </c>
      <c r="O136">
        <v>2</v>
      </c>
      <c r="P136">
        <v>149</v>
      </c>
      <c r="Q136" s="6">
        <f t="shared" si="17"/>
        <v>1570.30675</v>
      </c>
    </row>
    <row r="137" spans="1:17" ht="30" customHeight="1">
      <c r="A137" s="17" t="s">
        <v>986</v>
      </c>
      <c r="B137" s="5" t="str">
        <f>IF(A137="","",IF(COUNTIF(Catalogo!$A$5:$A$905,A137)=0,"SKU no encontrado",INDEX(Catalogo!$B$5:$B$905,MATCH(A137,Catalogo!$A$5:$A$905,0))))</f>
        <v>QUILMES BAJO CERO CAN 4X6 473CC TT</v>
      </c>
      <c r="C137">
        <f>IF(OR(A137="",B137="SKU no encontrado"),"",INDEX(Catalogo!$C$5:$C$905,MATCH(A137,Catalogo!$A$5:$A$905,0)))</f>
        <v>24</v>
      </c>
      <c r="D137" s="19">
        <v>46434</v>
      </c>
      <c r="E137" s="20">
        <v>1.4583333332999999</v>
      </c>
      <c r="F137" s="12"/>
      <c r="G137" s="6">
        <f>IF(OR(A137="",B137="SKU no encontrado"),"",IF(INDEX(Catalogo!$H$5:$H$905,MATCH(A137,Catalogo!$A$5:$A$905,0))=0,"",INDEX(Catalogo!$H$5:$H$905,MATCH(A137,Catalogo!$A$5:$A$905,0))))</f>
        <v>38904.855000000003</v>
      </c>
      <c r="H137" s="13" t="str">
        <f t="shared" si="12"/>
        <v/>
      </c>
      <c r="I137" s="6" t="str">
        <f t="shared" si="13"/>
        <v/>
      </c>
      <c r="J137" s="6" t="str">
        <f t="shared" si="14"/>
        <v/>
      </c>
      <c r="K137" s="6" t="str">
        <f t="shared" si="15"/>
        <v/>
      </c>
      <c r="L137" t="str">
        <f t="shared" si="16"/>
        <v>Completar precio unitario</v>
      </c>
      <c r="M137" t="s">
        <v>1839</v>
      </c>
      <c r="N137" s="18">
        <v>1.4583333332999999</v>
      </c>
      <c r="O137">
        <v>1</v>
      </c>
      <c r="P137">
        <v>149</v>
      </c>
      <c r="Q137" s="6">
        <f t="shared" si="17"/>
        <v>1621.0356250000002</v>
      </c>
    </row>
    <row r="138" spans="1:17" ht="30" customHeight="1">
      <c r="A138" s="17" t="s">
        <v>560</v>
      </c>
      <c r="B138" s="5" t="str">
        <f>IF(A138="","",IF(COUNTIF(Catalogo!$A$5:$A$905,A138)=0,"SKU no encontrado",INDEX(Catalogo!$B$5:$B$905,MATCH(A138,Catalogo!$A$5:$A$905,0))))</f>
        <v>ANDES ORIGEN IPA CAN 4X6 473</v>
      </c>
      <c r="C138">
        <f>IF(OR(A138="",B138="SKU no encontrado"),"",INDEX(Catalogo!$C$5:$C$905,MATCH(A138,Catalogo!$A$5:$A$905,0)))</f>
        <v>24</v>
      </c>
      <c r="D138" s="19">
        <v>46436</v>
      </c>
      <c r="E138" s="20">
        <v>100</v>
      </c>
      <c r="F138" s="12"/>
      <c r="G138" s="6">
        <f>IF(OR(A138="",B138="SKU no encontrado"),"",IF(INDEX(Catalogo!$H$5:$H$905,MATCH(A138,Catalogo!$A$5:$A$905,0))=0,"",INDEX(Catalogo!$H$5:$H$905,MATCH(A138,Catalogo!$A$5:$A$905,0))))</f>
        <v>63068.307000000001</v>
      </c>
      <c r="H138" s="13" t="str">
        <f t="shared" si="12"/>
        <v/>
      </c>
      <c r="I138" s="6" t="str">
        <f t="shared" si="13"/>
        <v/>
      </c>
      <c r="J138" s="6" t="str">
        <f t="shared" si="14"/>
        <v/>
      </c>
      <c r="K138" s="6" t="str">
        <f t="shared" si="15"/>
        <v/>
      </c>
      <c r="L138" t="str">
        <f t="shared" si="16"/>
        <v>Completar precio unitario</v>
      </c>
      <c r="M138" t="s">
        <v>1839</v>
      </c>
      <c r="N138" s="18">
        <v>100</v>
      </c>
      <c r="O138">
        <v>2</v>
      </c>
      <c r="P138">
        <v>151</v>
      </c>
      <c r="Q138" s="6">
        <f t="shared" si="17"/>
        <v>2627.846125</v>
      </c>
    </row>
    <row r="139" spans="1:17" ht="30" customHeight="1">
      <c r="A139" s="17" t="s">
        <v>543</v>
      </c>
      <c r="B139" s="5" t="str">
        <f>IF(A139="","",IF(COUNTIF(Catalogo!$A$5:$A$905,A139)=0,"SKU no encontrado",INDEX(Catalogo!$B$5:$B$905,MATCH(A139,Catalogo!$A$5:$A$905,0))))</f>
        <v>BUD RET X12 1000 CMQ</v>
      </c>
      <c r="C139">
        <f>IF(OR(A139="",B139="SKU no encontrado"),"",INDEX(Catalogo!$C$5:$C$905,MATCH(A139,Catalogo!$A$5:$A$905,0)))</f>
        <v>12</v>
      </c>
      <c r="D139" s="19">
        <v>46438</v>
      </c>
      <c r="E139" s="20">
        <v>30.75</v>
      </c>
      <c r="F139" s="12"/>
      <c r="G139" s="6">
        <f>IF(OR(A139="",B139="SKU no encontrado"),"",IF(INDEX(Catalogo!$H$5:$H$905,MATCH(A139,Catalogo!$A$5:$A$905,0))=0,"",INDEX(Catalogo!$H$5:$H$905,MATCH(A139,Catalogo!$A$5:$A$905,0))))</f>
        <v>39858.839</v>
      </c>
      <c r="H139" s="13" t="str">
        <f t="shared" si="12"/>
        <v/>
      </c>
      <c r="I139" s="6" t="str">
        <f t="shared" si="13"/>
        <v/>
      </c>
      <c r="J139" s="6" t="str">
        <f t="shared" si="14"/>
        <v/>
      </c>
      <c r="K139" s="6" t="str">
        <f t="shared" si="15"/>
        <v/>
      </c>
      <c r="L139" t="str">
        <f t="shared" si="16"/>
        <v>Completar precio unitario</v>
      </c>
      <c r="M139" t="s">
        <v>1839</v>
      </c>
      <c r="N139" s="18">
        <v>30.75</v>
      </c>
      <c r="O139">
        <v>1</v>
      </c>
      <c r="P139">
        <v>153</v>
      </c>
      <c r="Q139" s="6">
        <f t="shared" si="17"/>
        <v>3321.5699166666668</v>
      </c>
    </row>
    <row r="140" spans="1:17" ht="30" customHeight="1">
      <c r="A140" s="17" t="s">
        <v>696</v>
      </c>
      <c r="B140" s="5" t="str">
        <f>IF(A140="","",IF(COUNTIF(Catalogo!$A$5:$A$905,A140)=0,"SKU no encontrado",INDEX(Catalogo!$B$5:$B$905,MATCH(A140,Catalogo!$A$5:$A$905,0))))</f>
        <v>GATORADE APPLE PET X6 1250CC</v>
      </c>
      <c r="C140">
        <f>IF(OR(A140="",B140="SKU no encontrado"),"",INDEX(Catalogo!$C$5:$C$905,MATCH(A140,Catalogo!$A$5:$A$905,0)))</f>
        <v>6</v>
      </c>
      <c r="D140" s="19">
        <v>46440</v>
      </c>
      <c r="E140" s="20">
        <v>14</v>
      </c>
      <c r="F140" s="12"/>
      <c r="G140" s="6">
        <f>IF(OR(A140="",B140="SKU no encontrado"),"",IF(INDEX(Catalogo!$H$5:$H$905,MATCH(A140,Catalogo!$A$5:$A$905,0))=0,"",INDEX(Catalogo!$H$5:$H$905,MATCH(A140,Catalogo!$A$5:$A$905,0))))</f>
        <v>26114.945</v>
      </c>
      <c r="H140" s="13" t="str">
        <f t="shared" si="12"/>
        <v/>
      </c>
      <c r="I140" s="6" t="str">
        <f t="shared" si="13"/>
        <v/>
      </c>
      <c r="J140" s="6" t="str">
        <f t="shared" si="14"/>
        <v/>
      </c>
      <c r="K140" s="6" t="str">
        <f t="shared" si="15"/>
        <v/>
      </c>
      <c r="L140" t="str">
        <f t="shared" si="16"/>
        <v>Completar precio unitario</v>
      </c>
      <c r="M140" t="s">
        <v>1839</v>
      </c>
      <c r="N140" s="18">
        <v>14</v>
      </c>
      <c r="O140">
        <v>2</v>
      </c>
      <c r="P140">
        <v>155</v>
      </c>
      <c r="Q140" s="6">
        <f t="shared" si="17"/>
        <v>4352.4908333333333</v>
      </c>
    </row>
    <row r="141" spans="1:17" ht="30" customHeight="1">
      <c r="A141" s="17" t="s">
        <v>661</v>
      </c>
      <c r="B141" s="5" t="str">
        <f>IF(A141="","",IF(COUNTIF(Catalogo!$A$5:$A$905,A141)=0,"SKU no encontrado",INDEX(Catalogo!$B$5:$B$905,MATCH(A141,Catalogo!$A$5:$A$905,0))))</f>
        <v>STELLA ARTOIS KEG RET 20L</v>
      </c>
      <c r="C141">
        <f>IF(OR(A141="",B141="SKU no encontrado"),"",INDEX(Catalogo!$C$5:$C$905,MATCH(A141,Catalogo!$A$5:$A$905,0)))</f>
        <v>1</v>
      </c>
      <c r="D141" s="19">
        <v>46443</v>
      </c>
      <c r="E141" s="20">
        <v>52</v>
      </c>
      <c r="F141" s="12"/>
      <c r="G141" s="6">
        <f>IF(OR(A141="",B141="SKU no encontrado"),"",IF(INDEX(Catalogo!$H$5:$H$905,MATCH(A141,Catalogo!$A$5:$A$905,0))=0,"",INDEX(Catalogo!$H$5:$H$905,MATCH(A141,Catalogo!$A$5:$A$905,0))))</f>
        <v>129265.254</v>
      </c>
      <c r="H141" s="13" t="str">
        <f t="shared" si="12"/>
        <v/>
      </c>
      <c r="I141" s="6" t="str">
        <f t="shared" si="13"/>
        <v/>
      </c>
      <c r="J141" s="6" t="str">
        <f t="shared" si="14"/>
        <v/>
      </c>
      <c r="K141" s="6" t="str">
        <f t="shared" si="15"/>
        <v/>
      </c>
      <c r="L141" t="str">
        <f t="shared" si="16"/>
        <v>Completar precio unitario</v>
      </c>
      <c r="M141" t="s">
        <v>1839</v>
      </c>
      <c r="N141" s="18">
        <v>52</v>
      </c>
      <c r="O141">
        <v>2</v>
      </c>
      <c r="P141">
        <v>158</v>
      </c>
      <c r="Q141" s="6">
        <f t="shared" si="17"/>
        <v>129265.254</v>
      </c>
    </row>
    <row r="142" spans="1:17" ht="30" customHeight="1">
      <c r="A142" s="17" t="s">
        <v>653</v>
      </c>
      <c r="B142" s="5" t="str">
        <f>IF(A142="","",IF(COUNTIF(Catalogo!$A$5:$A$905,A142)=0,"SKU no encontrado",INDEX(Catalogo!$B$5:$B$905,MATCH(A142,Catalogo!$A$5:$A$905,0))))</f>
        <v>STELLA ARTOIS PM CAN 4X6 473CC CART</v>
      </c>
      <c r="C142">
        <f>IF(OR(A142="",B142="SKU no encontrado"),"",INDEX(Catalogo!$C$5:$C$905,MATCH(A142,Catalogo!$A$5:$A$905,0)))</f>
        <v>24</v>
      </c>
      <c r="D142" s="19">
        <v>46451</v>
      </c>
      <c r="E142" s="20">
        <v>200</v>
      </c>
      <c r="F142" s="12"/>
      <c r="G142" s="6">
        <f>IF(OR(A142="",B142="SKU no encontrado"),"",IF(INDEX(Catalogo!$H$5:$H$905,MATCH(A142,Catalogo!$A$5:$A$905,0))=0,"",INDEX(Catalogo!$H$5:$H$905,MATCH(A142,Catalogo!$A$5:$A$905,0))))</f>
        <v>72010.180999999997</v>
      </c>
      <c r="H142" s="13" t="str">
        <f t="shared" si="12"/>
        <v/>
      </c>
      <c r="I142" s="6" t="str">
        <f t="shared" si="13"/>
        <v/>
      </c>
      <c r="J142" s="6" t="str">
        <f t="shared" si="14"/>
        <v/>
      </c>
      <c r="K142" s="6" t="str">
        <f t="shared" si="15"/>
        <v/>
      </c>
      <c r="L142" t="str">
        <f t="shared" si="16"/>
        <v>Completar precio unitario</v>
      </c>
      <c r="M142" t="s">
        <v>1839</v>
      </c>
      <c r="N142" s="18">
        <v>200</v>
      </c>
      <c r="O142">
        <v>2</v>
      </c>
      <c r="P142">
        <v>166</v>
      </c>
      <c r="Q142" s="6">
        <f t="shared" si="17"/>
        <v>3000.4242083333334</v>
      </c>
    </row>
    <row r="143" spans="1:17" ht="30" customHeight="1">
      <c r="A143" s="17" t="s">
        <v>521</v>
      </c>
      <c r="B143" s="5" t="str">
        <f>IF(A143="","",IF(COUNTIF(Catalogo!$A$5:$A$905,A143)=0,"SKU no encontrado",INDEX(Catalogo!$B$5:$B$905,MATCH(A143,Catalogo!$A$5:$A$905,0))))</f>
        <v>ANDES ORIGEN ROJA CAN 4X6 473</v>
      </c>
      <c r="C143">
        <f>IF(OR(A143="",B143="SKU no encontrado"),"",INDEX(Catalogo!$C$5:$C$905,MATCH(A143,Catalogo!$A$5:$A$905,0)))</f>
        <v>24</v>
      </c>
      <c r="D143" s="19">
        <v>46458</v>
      </c>
      <c r="E143" s="20">
        <v>216.125</v>
      </c>
      <c r="F143" s="12"/>
      <c r="G143" s="6">
        <f>IF(OR(A143="",B143="SKU no encontrado"),"",IF(INDEX(Catalogo!$H$5:$H$905,MATCH(A143,Catalogo!$A$5:$A$905,0))=0,"",INDEX(Catalogo!$H$5:$H$905,MATCH(A143,Catalogo!$A$5:$A$905,0))))</f>
        <v>63068.307000000001</v>
      </c>
      <c r="H143" s="13" t="str">
        <f t="shared" si="12"/>
        <v/>
      </c>
      <c r="I143" s="6" t="str">
        <f t="shared" si="13"/>
        <v/>
      </c>
      <c r="J143" s="6" t="str">
        <f t="shared" si="14"/>
        <v/>
      </c>
      <c r="K143" s="6" t="str">
        <f t="shared" si="15"/>
        <v/>
      </c>
      <c r="L143" t="str">
        <f t="shared" si="16"/>
        <v>Completar precio unitario</v>
      </c>
      <c r="M143" t="s">
        <v>1839</v>
      </c>
      <c r="N143" s="18">
        <v>216.125</v>
      </c>
      <c r="O143">
        <v>1</v>
      </c>
      <c r="P143">
        <v>173</v>
      </c>
      <c r="Q143" s="6">
        <f t="shared" si="17"/>
        <v>2627.846125</v>
      </c>
    </row>
    <row r="144" spans="1:17" ht="30" customHeight="1">
      <c r="A144" s="17" t="s">
        <v>808</v>
      </c>
      <c r="B144" s="5" t="str">
        <f>IF(A144="","",IF(COUNTIF(Catalogo!$A$5:$A$905,A144)=0,"SKU no encontrado",INDEX(Catalogo!$B$5:$B$905,MATCH(A144,Catalogo!$A$5:$A$905,0))))</f>
        <v>QUILMES 1890 CAN X24 473CC SMK</v>
      </c>
      <c r="C144">
        <f>IF(OR(A144="",B144="SKU no encontrado"),"",INDEX(Catalogo!$C$5:$C$905,MATCH(A144,Catalogo!$A$5:$A$905,0)))</f>
        <v>24</v>
      </c>
      <c r="D144" s="19">
        <v>46458</v>
      </c>
      <c r="E144" s="20">
        <v>696.375</v>
      </c>
      <c r="F144" s="12"/>
      <c r="G144" s="6">
        <f>IF(OR(A144="",B144="SKU no encontrado"),"",IF(INDEX(Catalogo!$H$5:$H$905,MATCH(A144,Catalogo!$A$5:$A$905,0))=0,"",INDEX(Catalogo!$H$5:$H$905,MATCH(A144,Catalogo!$A$5:$A$905,0))))</f>
        <v>38819.690999999999</v>
      </c>
      <c r="H144" s="13" t="str">
        <f t="shared" si="12"/>
        <v/>
      </c>
      <c r="I144" s="6" t="str">
        <f t="shared" si="13"/>
        <v/>
      </c>
      <c r="J144" s="6" t="str">
        <f t="shared" si="14"/>
        <v/>
      </c>
      <c r="K144" s="6" t="str">
        <f t="shared" si="15"/>
        <v/>
      </c>
      <c r="L144" t="str">
        <f t="shared" si="16"/>
        <v>Completar precio unitario</v>
      </c>
      <c r="M144" t="s">
        <v>1839</v>
      </c>
      <c r="N144" s="18">
        <v>696.375</v>
      </c>
      <c r="O144">
        <v>1</v>
      </c>
      <c r="P144">
        <v>177</v>
      </c>
      <c r="Q144" s="6">
        <f t="shared" si="17"/>
        <v>1617.4871249999999</v>
      </c>
    </row>
    <row r="145" spans="1:17" ht="30" customHeight="1">
      <c r="A145" s="17" t="s">
        <v>806</v>
      </c>
      <c r="B145" s="5" t="str">
        <f>IF(A145="","",IF(COUNTIF(Catalogo!$A$5:$A$905,A145)=0,"SKU no encontrado",INDEX(Catalogo!$B$5:$B$905,MATCH(A145,Catalogo!$A$5:$A$905,0))))</f>
        <v>QUILMES 1890 RET X12 1L SMK</v>
      </c>
      <c r="C145">
        <f>IF(OR(A145="",B145="SKU no encontrado"),"",INDEX(Catalogo!$C$5:$C$905,MATCH(A145,Catalogo!$A$5:$A$905,0)))</f>
        <v>12</v>
      </c>
      <c r="D145" s="19">
        <v>46459</v>
      </c>
      <c r="E145" s="20">
        <v>2075.0833333332998</v>
      </c>
      <c r="F145" s="12"/>
      <c r="G145" s="6">
        <f>IF(OR(A145="",B145="SKU no encontrado"),"",IF(INDEX(Catalogo!$H$5:$H$905,MATCH(A145,Catalogo!$A$5:$A$905,0))=0,"",INDEX(Catalogo!$H$5:$H$905,MATCH(A145,Catalogo!$A$5:$A$905,0))))</f>
        <v>32491.339</v>
      </c>
      <c r="H145" s="13" t="str">
        <f t="shared" si="12"/>
        <v/>
      </c>
      <c r="I145" s="6" t="str">
        <f t="shared" si="13"/>
        <v/>
      </c>
      <c r="J145" s="6" t="str">
        <f t="shared" si="14"/>
        <v/>
      </c>
      <c r="K145" s="6" t="str">
        <f t="shared" si="15"/>
        <v/>
      </c>
      <c r="L145" t="str">
        <f t="shared" si="16"/>
        <v>Completar precio unitario</v>
      </c>
      <c r="M145" t="s">
        <v>1839</v>
      </c>
      <c r="N145" s="18">
        <v>2075.0833333332998</v>
      </c>
      <c r="O145">
        <v>1</v>
      </c>
      <c r="P145">
        <v>178</v>
      </c>
      <c r="Q145" s="6">
        <f t="shared" si="17"/>
        <v>2707.6115833333333</v>
      </c>
    </row>
    <row r="146" spans="1:17" ht="30" customHeight="1">
      <c r="A146" s="17" t="s">
        <v>330</v>
      </c>
      <c r="B146" s="5" t="str">
        <f>IF(A146="","",IF(COUNTIF(Catalogo!$A$5:$A$905,A146)=0,"SKU no encontrado",INDEX(Catalogo!$B$5:$B$905,MATCH(A146,Catalogo!$A$5:$A$905,0))))</f>
        <v>BRAHMA - 4X6 LAT 473</v>
      </c>
      <c r="C146">
        <f>IF(OR(A146="",B146="SKU no encontrado"),"",INDEX(Catalogo!$C$5:$C$905,MATCH(A146,Catalogo!$A$5:$A$905,0)))</f>
        <v>24</v>
      </c>
      <c r="D146" s="19">
        <v>46460</v>
      </c>
      <c r="E146" s="20">
        <v>271.5</v>
      </c>
      <c r="F146" s="12"/>
      <c r="G146" s="6">
        <f>IF(OR(A146="",B146="SKU no encontrado"),"",IF(INDEX(Catalogo!$H$5:$H$905,MATCH(A146,Catalogo!$A$5:$A$905,0))=0,"",INDEX(Catalogo!$H$5:$H$905,MATCH(A146,Catalogo!$A$5:$A$905,0))))</f>
        <v>44611.684000000001</v>
      </c>
      <c r="H146" s="13" t="str">
        <f t="shared" si="12"/>
        <v/>
      </c>
      <c r="I146" s="6" t="str">
        <f t="shared" si="13"/>
        <v/>
      </c>
      <c r="J146" s="6" t="str">
        <f t="shared" si="14"/>
        <v/>
      </c>
      <c r="K146" s="6" t="str">
        <f t="shared" si="15"/>
        <v/>
      </c>
      <c r="L146" t="str">
        <f t="shared" si="16"/>
        <v>Completar precio unitario</v>
      </c>
      <c r="M146" t="s">
        <v>1839</v>
      </c>
      <c r="N146" s="18">
        <v>271.5</v>
      </c>
      <c r="O146">
        <v>2</v>
      </c>
      <c r="P146">
        <v>179</v>
      </c>
      <c r="Q146" s="6">
        <f t="shared" si="17"/>
        <v>1858.8201666666666</v>
      </c>
    </row>
    <row r="147" spans="1:17" ht="30" customHeight="1">
      <c r="A147" s="17" t="s">
        <v>836</v>
      </c>
      <c r="B147" s="5" t="str">
        <f>IF(A147="","",IF(COUNTIF(Catalogo!$A$5:$A$905,A147)=0,"SKU no encontrado",INDEX(Catalogo!$B$5:$B$905,MATCH(A147,Catalogo!$A$5:$A$905,0))))</f>
        <v>CORONA CAN 4X6 473CC AR</v>
      </c>
      <c r="C147">
        <f>IF(OR(A147="",B147="SKU no encontrado"),"",INDEX(Catalogo!$C$5:$C$905,MATCH(A147,Catalogo!$A$5:$A$905,0)))</f>
        <v>24</v>
      </c>
      <c r="D147" s="19">
        <v>46466</v>
      </c>
      <c r="E147" s="20">
        <v>18.958333333300001</v>
      </c>
      <c r="F147" s="12"/>
      <c r="G147" s="6">
        <f>IF(OR(A147="",B147="SKU no encontrado"),"",IF(INDEX(Catalogo!$H$5:$H$905,MATCH(A147,Catalogo!$A$5:$A$905,0))=0,"",INDEX(Catalogo!$H$5:$H$905,MATCH(A147,Catalogo!$A$5:$A$905,0))))</f>
        <v>81838.585999999996</v>
      </c>
      <c r="H147" s="13" t="str">
        <f t="shared" si="12"/>
        <v/>
      </c>
      <c r="I147" s="6" t="str">
        <f t="shared" si="13"/>
        <v/>
      </c>
      <c r="J147" s="6" t="str">
        <f t="shared" si="14"/>
        <v/>
      </c>
      <c r="K147" s="6" t="str">
        <f t="shared" si="15"/>
        <v/>
      </c>
      <c r="L147" t="str">
        <f t="shared" si="16"/>
        <v>Completar precio unitario</v>
      </c>
      <c r="M147" t="s">
        <v>1839</v>
      </c>
      <c r="N147" s="18">
        <v>18.958333333300001</v>
      </c>
      <c r="O147">
        <v>1</v>
      </c>
      <c r="P147">
        <v>181</v>
      </c>
      <c r="Q147" s="6">
        <f t="shared" si="17"/>
        <v>3409.9410833333332</v>
      </c>
    </row>
    <row r="148" spans="1:17" ht="30" customHeight="1">
      <c r="A148" s="17" t="s">
        <v>836</v>
      </c>
      <c r="B148" s="5" t="str">
        <f>IF(A148="","",IF(COUNTIF(Catalogo!$A$5:$A$905,A148)=0,"SKU no encontrado",INDEX(Catalogo!$B$5:$B$905,MATCH(A148,Catalogo!$A$5:$A$905,0))))</f>
        <v>CORONA CAN 4X6 473CC AR</v>
      </c>
      <c r="C148">
        <f>IF(OR(A148="",B148="SKU no encontrado"),"",INDEX(Catalogo!$C$5:$C$905,MATCH(A148,Catalogo!$A$5:$A$905,0)))</f>
        <v>24</v>
      </c>
      <c r="D148" s="19">
        <v>46469</v>
      </c>
      <c r="E148" s="20">
        <v>100</v>
      </c>
      <c r="F148" s="12"/>
      <c r="G148" s="6">
        <f>IF(OR(A148="",B148="SKU no encontrado"),"",IF(INDEX(Catalogo!$H$5:$H$905,MATCH(A148,Catalogo!$A$5:$A$905,0))=0,"",INDEX(Catalogo!$H$5:$H$905,MATCH(A148,Catalogo!$A$5:$A$905,0))))</f>
        <v>81838.585999999996</v>
      </c>
      <c r="H148" s="13" t="str">
        <f t="shared" si="12"/>
        <v/>
      </c>
      <c r="I148" s="6" t="str">
        <f t="shared" si="13"/>
        <v/>
      </c>
      <c r="J148" s="6" t="str">
        <f t="shared" si="14"/>
        <v/>
      </c>
      <c r="K148" s="6" t="str">
        <f t="shared" si="15"/>
        <v/>
      </c>
      <c r="L148" t="str">
        <f t="shared" si="16"/>
        <v>Completar precio unitario</v>
      </c>
      <c r="M148" t="s">
        <v>1839</v>
      </c>
      <c r="N148" s="18">
        <v>100</v>
      </c>
      <c r="O148">
        <v>2</v>
      </c>
      <c r="P148">
        <v>184</v>
      </c>
      <c r="Q148" s="6">
        <f t="shared" si="17"/>
        <v>3409.9410833333332</v>
      </c>
    </row>
    <row r="149" spans="1:17" ht="30" customHeight="1">
      <c r="A149" s="17" t="s">
        <v>806</v>
      </c>
      <c r="B149" s="5" t="str">
        <f>IF(A149="","",IF(COUNTIF(Catalogo!$A$5:$A$905,A149)=0,"SKU no encontrado",INDEX(Catalogo!$B$5:$B$905,MATCH(A149,Catalogo!$A$5:$A$905,0))))</f>
        <v>QUILMES 1890 RET X12 1L SMK</v>
      </c>
      <c r="C149">
        <f>IF(OR(A149="",B149="SKU no encontrado"),"",INDEX(Catalogo!$C$5:$C$905,MATCH(A149,Catalogo!$A$5:$A$905,0)))</f>
        <v>12</v>
      </c>
      <c r="D149" s="19">
        <v>46470</v>
      </c>
      <c r="E149" s="20">
        <v>98.25</v>
      </c>
      <c r="F149" s="12"/>
      <c r="G149" s="6">
        <f>IF(OR(A149="",B149="SKU no encontrado"),"",IF(INDEX(Catalogo!$H$5:$H$905,MATCH(A149,Catalogo!$A$5:$A$905,0))=0,"",INDEX(Catalogo!$H$5:$H$905,MATCH(A149,Catalogo!$A$5:$A$905,0))))</f>
        <v>32491.339</v>
      </c>
      <c r="H149" s="13" t="str">
        <f t="shared" si="12"/>
        <v/>
      </c>
      <c r="I149" s="6" t="str">
        <f t="shared" si="13"/>
        <v/>
      </c>
      <c r="J149" s="6" t="str">
        <f t="shared" si="14"/>
        <v/>
      </c>
      <c r="K149" s="6" t="str">
        <f t="shared" si="15"/>
        <v/>
      </c>
      <c r="L149" t="str">
        <f t="shared" si="16"/>
        <v>Completar precio unitario</v>
      </c>
      <c r="M149" t="s">
        <v>1839</v>
      </c>
      <c r="N149" s="18">
        <v>98.25</v>
      </c>
      <c r="O149">
        <v>2</v>
      </c>
      <c r="P149">
        <v>189</v>
      </c>
      <c r="Q149" s="6">
        <f t="shared" si="17"/>
        <v>2707.6115833333333</v>
      </c>
    </row>
    <row r="150" spans="1:17" ht="30" customHeight="1">
      <c r="A150" s="17" t="s">
        <v>891</v>
      </c>
      <c r="B150" s="5" t="str">
        <f>IF(A150="","",IF(COUNTIF(Catalogo!$A$5:$A$905,A150)=0,"SKU no encontrado",INDEX(Catalogo!$B$5:$B$905,MATCH(A150,Catalogo!$A$5:$A$905,0))))</f>
        <v>QUILMES CLASICA CAN 4X4 710CC</v>
      </c>
      <c r="C150">
        <f>IF(OR(A150="",B150="SKU no encontrado"),"",INDEX(Catalogo!$C$5:$C$905,MATCH(A150,Catalogo!$A$5:$A$905,0)))</f>
        <v>16</v>
      </c>
      <c r="D150" s="19">
        <v>46471</v>
      </c>
      <c r="E150" s="20">
        <v>535.8125</v>
      </c>
      <c r="F150" s="12"/>
      <c r="G150" s="6">
        <f>IF(OR(A150="",B150="SKU no encontrado"),"",IF(INDEX(Catalogo!$H$5:$H$905,MATCH(A150,Catalogo!$A$5:$A$905,0))=0,"",INDEX(Catalogo!$H$5:$H$905,MATCH(A150,Catalogo!$A$5:$A$905,0))))</f>
        <v>45830.072</v>
      </c>
      <c r="H150" s="13" t="str">
        <f t="shared" si="12"/>
        <v/>
      </c>
      <c r="I150" s="6" t="str">
        <f t="shared" si="13"/>
        <v/>
      </c>
      <c r="J150" s="6" t="str">
        <f t="shared" si="14"/>
        <v/>
      </c>
      <c r="K150" s="6" t="str">
        <f t="shared" si="15"/>
        <v/>
      </c>
      <c r="L150" t="str">
        <f t="shared" si="16"/>
        <v>Completar precio unitario</v>
      </c>
      <c r="M150" t="s">
        <v>1839</v>
      </c>
      <c r="N150" s="18">
        <v>535.8125</v>
      </c>
      <c r="O150">
        <v>1</v>
      </c>
      <c r="P150">
        <v>186</v>
      </c>
      <c r="Q150" s="6">
        <f t="shared" si="17"/>
        <v>2864.3795</v>
      </c>
    </row>
    <row r="151" spans="1:17" ht="30" customHeight="1">
      <c r="A151" s="17" t="s">
        <v>543</v>
      </c>
      <c r="B151" s="5" t="str">
        <f>IF(A151="","",IF(COUNTIF(Catalogo!$A$5:$A$905,A151)=0,"SKU no encontrado",INDEX(Catalogo!$B$5:$B$905,MATCH(A151,Catalogo!$A$5:$A$905,0))))</f>
        <v>BUD RET X12 1000 CMQ</v>
      </c>
      <c r="C151">
        <f>IF(OR(A151="",B151="SKU no encontrado"),"",INDEX(Catalogo!$C$5:$C$905,MATCH(A151,Catalogo!$A$5:$A$905,0)))</f>
        <v>12</v>
      </c>
      <c r="D151" s="19">
        <v>46473</v>
      </c>
      <c r="E151" s="20">
        <v>100</v>
      </c>
      <c r="F151" s="12"/>
      <c r="G151" s="6">
        <f>IF(OR(A151="",B151="SKU no encontrado"),"",IF(INDEX(Catalogo!$H$5:$H$905,MATCH(A151,Catalogo!$A$5:$A$905,0))=0,"",INDEX(Catalogo!$H$5:$H$905,MATCH(A151,Catalogo!$A$5:$A$905,0))))</f>
        <v>39858.839</v>
      </c>
      <c r="H151" s="13" t="str">
        <f t="shared" si="12"/>
        <v/>
      </c>
      <c r="I151" s="6" t="str">
        <f t="shared" si="13"/>
        <v/>
      </c>
      <c r="J151" s="6" t="str">
        <f t="shared" si="14"/>
        <v/>
      </c>
      <c r="K151" s="6" t="str">
        <f t="shared" si="15"/>
        <v/>
      </c>
      <c r="L151" t="str">
        <f t="shared" si="16"/>
        <v>Completar precio unitario</v>
      </c>
      <c r="M151" t="s">
        <v>1839</v>
      </c>
      <c r="N151" s="18">
        <v>100</v>
      </c>
      <c r="O151">
        <v>2</v>
      </c>
      <c r="P151">
        <v>188</v>
      </c>
      <c r="Q151" s="6">
        <f t="shared" si="17"/>
        <v>3321.5699166666668</v>
      </c>
    </row>
    <row r="152" spans="1:17" ht="30" customHeight="1">
      <c r="A152" s="17" t="s">
        <v>370</v>
      </c>
      <c r="B152" s="5" t="str">
        <f>IF(A152="","",IF(COUNTIF(Catalogo!$A$5:$A$905,A152)=0,"SKU no encontrado",INDEX(Catalogo!$B$5:$B$905,MATCH(A152,Catalogo!$A$5:$A$905,0))))</f>
        <v>PATAGO AMBER - X1 BAR 20L</v>
      </c>
      <c r="C152">
        <f>IF(OR(A152="",B152="SKU no encontrado"),"",INDEX(Catalogo!$C$5:$C$905,MATCH(A152,Catalogo!$A$5:$A$905,0)))</f>
        <v>1</v>
      </c>
      <c r="D152" s="19">
        <v>46475</v>
      </c>
      <c r="E152" s="20">
        <v>36</v>
      </c>
      <c r="F152" s="12"/>
      <c r="G152" s="6">
        <f>IF(OR(A152="",B152="SKU no encontrado"),"",IF(INDEX(Catalogo!$H$5:$H$905,MATCH(A152,Catalogo!$A$5:$A$905,0))=0,"",INDEX(Catalogo!$H$5:$H$905,MATCH(A152,Catalogo!$A$5:$A$905,0))))</f>
        <v>145134.34400000001</v>
      </c>
      <c r="H152" s="13" t="str">
        <f t="shared" si="12"/>
        <v/>
      </c>
      <c r="I152" s="6" t="str">
        <f t="shared" si="13"/>
        <v/>
      </c>
      <c r="J152" s="6" t="str">
        <f t="shared" si="14"/>
        <v/>
      </c>
      <c r="K152" s="6" t="str">
        <f t="shared" si="15"/>
        <v/>
      </c>
      <c r="L152" t="str">
        <f t="shared" si="16"/>
        <v>Completar precio unitario</v>
      </c>
      <c r="M152" t="s">
        <v>1839</v>
      </c>
      <c r="N152" s="18">
        <v>36</v>
      </c>
      <c r="O152">
        <v>2</v>
      </c>
      <c r="P152">
        <v>190</v>
      </c>
      <c r="Q152" s="6">
        <f t="shared" si="17"/>
        <v>145134.34400000001</v>
      </c>
    </row>
    <row r="153" spans="1:17" ht="30" customHeight="1">
      <c r="A153" s="17" t="s">
        <v>637</v>
      </c>
      <c r="B153" s="5" t="str">
        <f>IF(A153="","",IF(COUNTIF(Catalogo!$A$5:$A$905,A153)=0,"SKU no encontrado",INDEX(Catalogo!$B$5:$B$905,MATCH(A153,Catalogo!$A$5:$A$905,0))))</f>
        <v>CORONA 4X6 OW 330CC PROMO</v>
      </c>
      <c r="C153">
        <f>IF(OR(A153="",B153="SKU no encontrado"),"",INDEX(Catalogo!$C$5:$C$905,MATCH(A153,Catalogo!$A$5:$A$905,0)))</f>
        <v>24</v>
      </c>
      <c r="D153" s="19">
        <v>46477</v>
      </c>
      <c r="E153" s="20">
        <v>45.041666666700003</v>
      </c>
      <c r="F153" s="12"/>
      <c r="G153" s="6">
        <f>IF(OR(A153="",B153="SKU no encontrado"),"",IF(INDEX(Catalogo!$H$5:$H$905,MATCH(A153,Catalogo!$A$5:$A$905,0))=0,"",INDEX(Catalogo!$H$5:$H$905,MATCH(A153,Catalogo!$A$5:$A$905,0))))</f>
        <v>74267.078999999998</v>
      </c>
      <c r="H153" s="13" t="str">
        <f t="shared" si="12"/>
        <v/>
      </c>
      <c r="I153" s="6" t="str">
        <f t="shared" si="13"/>
        <v/>
      </c>
      <c r="J153" s="6" t="str">
        <f t="shared" si="14"/>
        <v/>
      </c>
      <c r="K153" s="6" t="str">
        <f t="shared" si="15"/>
        <v/>
      </c>
      <c r="L153" t="str">
        <f t="shared" si="16"/>
        <v>Completar precio unitario</v>
      </c>
      <c r="M153" t="s">
        <v>1839</v>
      </c>
      <c r="N153" s="18">
        <v>45.041666666700003</v>
      </c>
      <c r="O153">
        <v>1</v>
      </c>
      <c r="P153">
        <v>192</v>
      </c>
      <c r="Q153" s="6">
        <f t="shared" si="17"/>
        <v>3094.4616249999999</v>
      </c>
    </row>
    <row r="154" spans="1:17" ht="30" customHeight="1">
      <c r="A154" s="17" t="s">
        <v>55</v>
      </c>
      <c r="B154" s="5" t="str">
        <f>IF(A154="","",IF(COUNTIF(Catalogo!$A$5:$A$905,A154)=0,"SKU no encontrado",INDEX(Catalogo!$B$5:$B$905,MATCH(A154,Catalogo!$A$5:$A$905,0))))</f>
        <v>QUILMES - 4X6 LAT 473</v>
      </c>
      <c r="C154">
        <f>IF(OR(A154="",B154="SKU no encontrado"),"",INDEX(Catalogo!$C$5:$C$905,MATCH(A154,Catalogo!$A$5:$A$905,0)))</f>
        <v>24</v>
      </c>
      <c r="D154" s="19">
        <v>46480</v>
      </c>
      <c r="E154" s="20">
        <v>449.375</v>
      </c>
      <c r="F154" s="12"/>
      <c r="G154" s="6">
        <f>IF(OR(A154="",B154="SKU no encontrado"),"",IF(INDEX(Catalogo!$H$5:$H$905,MATCH(A154,Catalogo!$A$5:$A$905,0))=0,"",INDEX(Catalogo!$H$5:$H$905,MATCH(A154,Catalogo!$A$5:$A$905,0))))</f>
        <v>48405.919000000002</v>
      </c>
      <c r="H154" s="13" t="str">
        <f t="shared" si="12"/>
        <v/>
      </c>
      <c r="I154" s="6" t="str">
        <f t="shared" si="13"/>
        <v/>
      </c>
      <c r="J154" s="6" t="str">
        <f t="shared" si="14"/>
        <v/>
      </c>
      <c r="K154" s="6" t="str">
        <f t="shared" si="15"/>
        <v/>
      </c>
      <c r="L154" t="str">
        <f t="shared" si="16"/>
        <v>Completar precio unitario</v>
      </c>
      <c r="M154" t="s">
        <v>1839</v>
      </c>
      <c r="N154" s="18">
        <v>449.375</v>
      </c>
      <c r="O154">
        <v>1</v>
      </c>
      <c r="P154">
        <v>199</v>
      </c>
      <c r="Q154" s="6">
        <f t="shared" si="17"/>
        <v>2016.9132916666667</v>
      </c>
    </row>
    <row r="155" spans="1:17" ht="30" customHeight="1">
      <c r="A155" s="17" t="s">
        <v>450</v>
      </c>
      <c r="B155" s="5" t="str">
        <f>IF(A155="","",IF(COUNTIF(Catalogo!$A$5:$A$905,A155)=0,"SKU no encontrado",INDEX(Catalogo!$B$5:$B$905,MATCH(A155,Catalogo!$A$5:$A$905,0))))</f>
        <v>GATORADE MANZANA PET X6 750 204</v>
      </c>
      <c r="C155">
        <f>IF(OR(A155="",B155="SKU no encontrado"),"",INDEX(Catalogo!$C$5:$C$905,MATCH(A155,Catalogo!$A$5:$A$905,0)))</f>
        <v>6</v>
      </c>
      <c r="D155" s="19">
        <v>46481</v>
      </c>
      <c r="E155" s="20">
        <v>160.6666666667</v>
      </c>
      <c r="F155" s="12"/>
      <c r="G155" s="6">
        <f>IF(OR(A155="",B155="SKU no encontrado"),"",IF(INDEX(Catalogo!$H$5:$H$905,MATCH(A155,Catalogo!$A$5:$A$905,0))=0,"",INDEX(Catalogo!$H$5:$H$905,MATCH(A155,Catalogo!$A$5:$A$905,0))))</f>
        <v>17021.356</v>
      </c>
      <c r="H155" s="13" t="str">
        <f t="shared" si="12"/>
        <v/>
      </c>
      <c r="I155" s="6" t="str">
        <f t="shared" si="13"/>
        <v/>
      </c>
      <c r="J155" s="6" t="str">
        <f t="shared" si="14"/>
        <v/>
      </c>
      <c r="K155" s="6" t="str">
        <f t="shared" si="15"/>
        <v/>
      </c>
      <c r="L155" t="str">
        <f t="shared" si="16"/>
        <v>Completar precio unitario</v>
      </c>
      <c r="M155" t="s">
        <v>1839</v>
      </c>
      <c r="N155" s="18">
        <v>160.6666666667</v>
      </c>
      <c r="O155">
        <v>1</v>
      </c>
      <c r="P155">
        <v>196</v>
      </c>
      <c r="Q155" s="6">
        <f t="shared" si="17"/>
        <v>2836.8926666666666</v>
      </c>
    </row>
    <row r="156" spans="1:17" ht="30" customHeight="1">
      <c r="A156" s="17" t="s">
        <v>655</v>
      </c>
      <c r="B156" s="5" t="str">
        <f>IF(A156="","",IF(COUNTIF(Catalogo!$A$5:$A$905,A156)=0,"SKU no encontrado",INDEX(Catalogo!$B$5:$B$905,MATCH(A156,Catalogo!$A$5:$A$905,0))))</f>
        <v>STELLA ARTOIS PM RET X12 975CC</v>
      </c>
      <c r="C156">
        <f>IF(OR(A156="",B156="SKU no encontrado"),"",INDEX(Catalogo!$C$5:$C$905,MATCH(A156,Catalogo!$A$5:$A$905,0)))</f>
        <v>12</v>
      </c>
      <c r="D156" s="19">
        <v>46482</v>
      </c>
      <c r="E156" s="20">
        <v>221</v>
      </c>
      <c r="F156" s="12"/>
      <c r="G156" s="6">
        <f>IF(OR(A156="",B156="SKU no encontrado"),"",IF(INDEX(Catalogo!$H$5:$H$905,MATCH(A156,Catalogo!$A$5:$A$905,0))=0,"",INDEX(Catalogo!$H$5:$H$905,MATCH(A156,Catalogo!$A$5:$A$905,0))))</f>
        <v>59336.406999999999</v>
      </c>
      <c r="H156" s="13" t="str">
        <f t="shared" si="12"/>
        <v/>
      </c>
      <c r="I156" s="6" t="str">
        <f t="shared" si="13"/>
        <v/>
      </c>
      <c r="J156" s="6" t="str">
        <f t="shared" si="14"/>
        <v/>
      </c>
      <c r="K156" s="6" t="str">
        <f t="shared" si="15"/>
        <v/>
      </c>
      <c r="L156" t="str">
        <f t="shared" si="16"/>
        <v>Completar precio unitario</v>
      </c>
      <c r="M156" t="s">
        <v>1839</v>
      </c>
      <c r="N156" s="18">
        <v>221</v>
      </c>
      <c r="O156">
        <v>1</v>
      </c>
      <c r="P156">
        <v>201</v>
      </c>
      <c r="Q156" s="6">
        <f t="shared" si="17"/>
        <v>4944.7005833333333</v>
      </c>
    </row>
    <row r="157" spans="1:17" ht="30" customHeight="1">
      <c r="A157" s="17" t="s">
        <v>55</v>
      </c>
      <c r="B157" s="5" t="str">
        <f>IF(A157="","",IF(COUNTIF(Catalogo!$A$5:$A$905,A157)=0,"SKU no encontrado",INDEX(Catalogo!$B$5:$B$905,MATCH(A157,Catalogo!$A$5:$A$905,0))))</f>
        <v>QUILMES - 4X6 LAT 473</v>
      </c>
      <c r="C157">
        <f>IF(OR(A157="",B157="SKU no encontrado"),"",INDEX(Catalogo!$C$5:$C$905,MATCH(A157,Catalogo!$A$5:$A$905,0)))</f>
        <v>24</v>
      </c>
      <c r="D157" s="19">
        <v>46484</v>
      </c>
      <c r="E157" s="20">
        <v>800</v>
      </c>
      <c r="F157" s="12"/>
      <c r="G157" s="6">
        <f>IF(OR(A157="",B157="SKU no encontrado"),"",IF(INDEX(Catalogo!$H$5:$H$905,MATCH(A157,Catalogo!$A$5:$A$905,0))=0,"",INDEX(Catalogo!$H$5:$H$905,MATCH(A157,Catalogo!$A$5:$A$905,0))))</f>
        <v>48405.919000000002</v>
      </c>
      <c r="H157" s="13" t="str">
        <f t="shared" si="12"/>
        <v/>
      </c>
      <c r="I157" s="6" t="str">
        <f t="shared" si="13"/>
        <v/>
      </c>
      <c r="J157" s="6" t="str">
        <f t="shared" si="14"/>
        <v/>
      </c>
      <c r="K157" s="6" t="str">
        <f t="shared" si="15"/>
        <v/>
      </c>
      <c r="L157" t="str">
        <f t="shared" si="16"/>
        <v>Completar precio unitario</v>
      </c>
      <c r="M157" t="s">
        <v>1839</v>
      </c>
      <c r="N157" s="18">
        <v>800</v>
      </c>
      <c r="O157">
        <v>2</v>
      </c>
      <c r="P157">
        <v>203</v>
      </c>
      <c r="Q157" s="6">
        <f t="shared" si="17"/>
        <v>2016.9132916666667</v>
      </c>
    </row>
    <row r="158" spans="1:17" ht="30" customHeight="1">
      <c r="A158" s="17" t="s">
        <v>891</v>
      </c>
      <c r="B158" s="5" t="str">
        <f>IF(A158="","",IF(COUNTIF(Catalogo!$A$5:$A$905,A158)=0,"SKU no encontrado",INDEX(Catalogo!$B$5:$B$905,MATCH(A158,Catalogo!$A$5:$A$905,0))))</f>
        <v>QUILMES CLASICA CAN 4X4 710CC</v>
      </c>
      <c r="C158">
        <f>IF(OR(A158="",B158="SKU no encontrado"),"",INDEX(Catalogo!$C$5:$C$905,MATCH(A158,Catalogo!$A$5:$A$905,0)))</f>
        <v>16</v>
      </c>
      <c r="D158" s="19">
        <v>46485</v>
      </c>
      <c r="E158" s="20">
        <v>576</v>
      </c>
      <c r="F158" s="12"/>
      <c r="G158" s="6">
        <f>IF(OR(A158="",B158="SKU no encontrado"),"",IF(INDEX(Catalogo!$H$5:$H$905,MATCH(A158,Catalogo!$A$5:$A$905,0))=0,"",INDEX(Catalogo!$H$5:$H$905,MATCH(A158,Catalogo!$A$5:$A$905,0))))</f>
        <v>45830.072</v>
      </c>
      <c r="H158" s="13" t="str">
        <f t="shared" si="12"/>
        <v/>
      </c>
      <c r="I158" s="6" t="str">
        <f t="shared" si="13"/>
        <v/>
      </c>
      <c r="J158" s="6" t="str">
        <f t="shared" si="14"/>
        <v/>
      </c>
      <c r="K158" s="6" t="str">
        <f t="shared" si="15"/>
        <v/>
      </c>
      <c r="L158" t="str">
        <f t="shared" si="16"/>
        <v>Completar precio unitario</v>
      </c>
      <c r="M158" t="s">
        <v>1839</v>
      </c>
      <c r="N158" s="18">
        <v>576</v>
      </c>
      <c r="O158">
        <v>2</v>
      </c>
      <c r="P158">
        <v>200</v>
      </c>
      <c r="Q158" s="6">
        <f t="shared" si="17"/>
        <v>2864.3795</v>
      </c>
    </row>
    <row r="159" spans="1:17" ht="30" customHeight="1">
      <c r="A159" s="17" t="s">
        <v>312</v>
      </c>
      <c r="B159" s="5" t="str">
        <f>IF(A159="","",IF(COUNTIF(Catalogo!$A$5:$A$905,A159)=0,"SKU no encontrado",INDEX(Catalogo!$B$5:$B$905,MATCH(A159,Catalogo!$A$5:$A$905,0))))</f>
        <v>QUILMES - X12 1000RET</v>
      </c>
      <c r="C159">
        <f>IF(OR(A159="",B159="SKU no encontrado"),"",INDEX(Catalogo!$C$5:$C$905,MATCH(A159,Catalogo!$A$5:$A$905,0)))</f>
        <v>12</v>
      </c>
      <c r="D159" s="19">
        <v>46486</v>
      </c>
      <c r="E159" s="20">
        <v>264</v>
      </c>
      <c r="F159" s="12"/>
      <c r="G159" s="6">
        <f>IF(OR(A159="",B159="SKU no encontrado"),"",IF(INDEX(Catalogo!$H$5:$H$905,MATCH(A159,Catalogo!$A$5:$A$905,0))=0,"",INDEX(Catalogo!$H$5:$H$905,MATCH(A159,Catalogo!$A$5:$A$905,0))))</f>
        <v>39858.839</v>
      </c>
      <c r="H159" s="13" t="str">
        <f t="shared" si="12"/>
        <v/>
      </c>
      <c r="I159" s="6" t="str">
        <f t="shared" si="13"/>
        <v/>
      </c>
      <c r="J159" s="6" t="str">
        <f t="shared" si="14"/>
        <v/>
      </c>
      <c r="K159" s="6" t="str">
        <f t="shared" si="15"/>
        <v/>
      </c>
      <c r="L159" t="str">
        <f t="shared" si="16"/>
        <v>Completar precio unitario</v>
      </c>
      <c r="M159" t="s">
        <v>1839</v>
      </c>
      <c r="N159" s="18">
        <v>264</v>
      </c>
      <c r="O159">
        <v>1</v>
      </c>
      <c r="P159">
        <v>205</v>
      </c>
      <c r="Q159" s="6">
        <f t="shared" si="17"/>
        <v>3321.5699166666668</v>
      </c>
    </row>
    <row r="160" spans="1:17" ht="30" customHeight="1">
      <c r="A160" s="17" t="s">
        <v>316</v>
      </c>
      <c r="B160" s="5" t="str">
        <f>IF(A160="","",IF(COUNTIF(Catalogo!$A$5:$A$905,A160)=0,"SKU no encontrado",INDEX(Catalogo!$B$5:$B$905,MATCH(A160,Catalogo!$A$5:$A$905,0))))</f>
        <v>BRAHMA - X12 1000RET#</v>
      </c>
      <c r="C160">
        <f>IF(OR(A160="",B160="SKU no encontrado"),"",INDEX(Catalogo!$C$5:$C$905,MATCH(A160,Catalogo!$A$5:$A$905,0)))</f>
        <v>12</v>
      </c>
      <c r="D160" s="19">
        <v>46486</v>
      </c>
      <c r="E160" s="20">
        <v>879.16666666670005</v>
      </c>
      <c r="F160" s="12"/>
      <c r="G160" s="6">
        <f>IF(OR(A160="",B160="SKU no encontrado"),"",IF(INDEX(Catalogo!$H$5:$H$905,MATCH(A160,Catalogo!$A$5:$A$905,0))=0,"",INDEX(Catalogo!$H$5:$H$905,MATCH(A160,Catalogo!$A$5:$A$905,0))))</f>
        <v>37981.633000000002</v>
      </c>
      <c r="H160" s="13" t="str">
        <f t="shared" si="12"/>
        <v/>
      </c>
      <c r="I160" s="6" t="str">
        <f t="shared" si="13"/>
        <v/>
      </c>
      <c r="J160" s="6" t="str">
        <f t="shared" si="14"/>
        <v/>
      </c>
      <c r="K160" s="6" t="str">
        <f t="shared" si="15"/>
        <v/>
      </c>
      <c r="L160" t="str">
        <f t="shared" si="16"/>
        <v>Completar precio unitario</v>
      </c>
      <c r="M160" t="s">
        <v>1839</v>
      </c>
      <c r="N160" s="18">
        <v>879.16666666670005</v>
      </c>
      <c r="O160">
        <v>1</v>
      </c>
      <c r="P160">
        <v>205</v>
      </c>
      <c r="Q160" s="6">
        <f t="shared" si="17"/>
        <v>3165.1360833333333</v>
      </c>
    </row>
    <row r="161" spans="1:17" ht="30" customHeight="1">
      <c r="A161" s="17" t="s">
        <v>312</v>
      </c>
      <c r="B161" s="5" t="str">
        <f>IF(A161="","",IF(COUNTIF(Catalogo!$A$5:$A$905,A161)=0,"SKU no encontrado",INDEX(Catalogo!$B$5:$B$905,MATCH(A161,Catalogo!$A$5:$A$905,0))))</f>
        <v>QUILMES - X12 1000RET</v>
      </c>
      <c r="C161">
        <f>IF(OR(A161="",B161="SKU no encontrado"),"",INDEX(Catalogo!$C$5:$C$905,MATCH(A161,Catalogo!$A$5:$A$905,0)))</f>
        <v>12</v>
      </c>
      <c r="D161" s="19">
        <v>46487</v>
      </c>
      <c r="E161" s="20">
        <v>1408</v>
      </c>
      <c r="F161" s="12"/>
      <c r="G161" s="6">
        <f>IF(OR(A161="",B161="SKU no encontrado"),"",IF(INDEX(Catalogo!$H$5:$H$905,MATCH(A161,Catalogo!$A$5:$A$905,0))=0,"",INDEX(Catalogo!$H$5:$H$905,MATCH(A161,Catalogo!$A$5:$A$905,0))))</f>
        <v>39858.839</v>
      </c>
      <c r="H161" s="13" t="str">
        <f t="shared" si="12"/>
        <v/>
      </c>
      <c r="I161" s="6" t="str">
        <f t="shared" si="13"/>
        <v/>
      </c>
      <c r="J161" s="6" t="str">
        <f t="shared" si="14"/>
        <v/>
      </c>
      <c r="K161" s="6" t="str">
        <f t="shared" si="15"/>
        <v/>
      </c>
      <c r="L161" t="str">
        <f t="shared" si="16"/>
        <v>Completar precio unitario</v>
      </c>
      <c r="M161" t="s">
        <v>1839</v>
      </c>
      <c r="N161" s="18">
        <v>1408</v>
      </c>
      <c r="O161">
        <v>2</v>
      </c>
      <c r="P161">
        <v>206</v>
      </c>
      <c r="Q161" s="6">
        <f t="shared" si="17"/>
        <v>3321.5699166666668</v>
      </c>
    </row>
    <row r="162" spans="1:17" ht="30" customHeight="1">
      <c r="A162" s="17" t="s">
        <v>400</v>
      </c>
      <c r="B162" s="5" t="str">
        <f>IF(A162="","",IF(COUNTIF(Catalogo!$A$5:$A$905,A162)=0,"SKU no encontrado",INDEX(Catalogo!$B$5:$B$905,MATCH(A162,Catalogo!$A$5:$A$905,0))))</f>
        <v>PATAGONIA SLIMKEG 0 20 L IPA CON SAUCO</v>
      </c>
      <c r="C162">
        <f>IF(OR(A162="",B162="SKU no encontrado"),"",INDEX(Catalogo!$C$5:$C$905,MATCH(A162,Catalogo!$A$5:$A$905,0)))</f>
        <v>1</v>
      </c>
      <c r="D162" s="19">
        <v>46487</v>
      </c>
      <c r="E162" s="20">
        <v>40</v>
      </c>
      <c r="F162" s="12"/>
      <c r="G162" s="6">
        <f>IF(OR(A162="",B162="SKU no encontrado"),"",IF(INDEX(Catalogo!$H$5:$H$905,MATCH(A162,Catalogo!$A$5:$A$905,0))=0,"",INDEX(Catalogo!$H$5:$H$905,MATCH(A162,Catalogo!$A$5:$A$905,0))))</f>
        <v>145097.87700000001</v>
      </c>
      <c r="H162" s="13" t="str">
        <f t="shared" si="12"/>
        <v/>
      </c>
      <c r="I162" s="6" t="str">
        <f t="shared" si="13"/>
        <v/>
      </c>
      <c r="J162" s="6" t="str">
        <f t="shared" si="14"/>
        <v/>
      </c>
      <c r="K162" s="6" t="str">
        <f t="shared" si="15"/>
        <v/>
      </c>
      <c r="L162" t="str">
        <f t="shared" si="16"/>
        <v>Completar precio unitario</v>
      </c>
      <c r="M162" t="s">
        <v>1839</v>
      </c>
      <c r="N162" s="18">
        <v>40</v>
      </c>
      <c r="O162">
        <v>3</v>
      </c>
      <c r="P162">
        <v>202</v>
      </c>
      <c r="Q162" s="6">
        <f t="shared" si="17"/>
        <v>145097.87700000001</v>
      </c>
    </row>
    <row r="163" spans="1:17" ht="30" customHeight="1">
      <c r="A163" s="17" t="s">
        <v>60</v>
      </c>
      <c r="B163" s="5" t="str">
        <f>IF(A163="","",IF(COUNTIF(Catalogo!$A$5:$A$905,A163)=0,"SKU no encontrado",INDEX(Catalogo!$B$5:$B$905,MATCH(A163,Catalogo!$A$5:$A$905,0))))</f>
        <v>BRAHMA CAN 4X4 710CC</v>
      </c>
      <c r="C163">
        <f>IF(OR(A163="",B163="SKU no encontrado"),"",INDEX(Catalogo!$C$5:$C$905,MATCH(A163,Catalogo!$A$5:$A$905,0)))</f>
        <v>16</v>
      </c>
      <c r="D163" s="19">
        <v>46488</v>
      </c>
      <c r="E163" s="20">
        <v>180.4375</v>
      </c>
      <c r="F163" s="12"/>
      <c r="G163" s="6">
        <f>IF(OR(A163="",B163="SKU no encontrado"),"",IF(INDEX(Catalogo!$H$5:$H$905,MATCH(A163,Catalogo!$A$5:$A$905,0))=0,"",INDEX(Catalogo!$H$5:$H$905,MATCH(A163,Catalogo!$A$5:$A$905,0))))</f>
        <v>44562.415000000001</v>
      </c>
      <c r="H163" s="13" t="str">
        <f t="shared" si="12"/>
        <v/>
      </c>
      <c r="I163" s="6" t="str">
        <f t="shared" si="13"/>
        <v/>
      </c>
      <c r="J163" s="6" t="str">
        <f t="shared" si="14"/>
        <v/>
      </c>
      <c r="K163" s="6" t="str">
        <f t="shared" si="15"/>
        <v/>
      </c>
      <c r="L163" t="str">
        <f t="shared" si="16"/>
        <v>Completar precio unitario</v>
      </c>
      <c r="M163" t="s">
        <v>1839</v>
      </c>
      <c r="N163" s="18">
        <v>180.4375</v>
      </c>
      <c r="O163">
        <v>1</v>
      </c>
      <c r="P163">
        <v>203</v>
      </c>
      <c r="Q163" s="6">
        <f t="shared" si="17"/>
        <v>2785.1509375000001</v>
      </c>
    </row>
    <row r="164" spans="1:17" ht="30" customHeight="1">
      <c r="A164" s="17" t="s">
        <v>960</v>
      </c>
      <c r="B164" s="5" t="str">
        <f>IF(A164="","",IF(COUNTIF(Catalogo!$A$5:$A$905,A164)=0,"SKU no encontrado",INDEX(Catalogo!$B$5:$B$905,MATCH(A164,Catalogo!$A$5:$A$905,0))))</f>
        <v>3P-LECHE PARC DESCREM APOSTOLES X12 1L</v>
      </c>
      <c r="C164">
        <f>IF(OR(A164="",B164="SKU no encontrado"),"",INDEX(Catalogo!$C$5:$C$905,MATCH(A164,Catalogo!$A$5:$A$905,0)))</f>
        <v>12</v>
      </c>
      <c r="D164" s="19">
        <v>46489</v>
      </c>
      <c r="E164" s="20">
        <v>14</v>
      </c>
      <c r="F164" s="12"/>
      <c r="G164" s="6">
        <f>IF(OR(A164="",B164="SKU no encontrado"),"",IF(INDEX(Catalogo!$H$5:$H$905,MATCH(A164,Catalogo!$A$5:$A$905,0))=0,"",INDEX(Catalogo!$H$5:$H$905,MATCH(A164,Catalogo!$A$5:$A$905,0))))</f>
        <v>24610.850999999999</v>
      </c>
      <c r="H164" s="13" t="str">
        <f t="shared" si="12"/>
        <v/>
      </c>
      <c r="I164" s="6" t="str">
        <f t="shared" si="13"/>
        <v/>
      </c>
      <c r="J164" s="6" t="str">
        <f t="shared" si="14"/>
        <v/>
      </c>
      <c r="K164" s="6" t="str">
        <f t="shared" si="15"/>
        <v/>
      </c>
      <c r="L164" t="str">
        <f t="shared" si="16"/>
        <v>Completar precio unitario</v>
      </c>
      <c r="M164" t="s">
        <v>1839</v>
      </c>
      <c r="N164" s="18">
        <v>14</v>
      </c>
      <c r="O164">
        <v>1</v>
      </c>
      <c r="P164">
        <v>196</v>
      </c>
      <c r="Q164" s="6">
        <f t="shared" si="17"/>
        <v>2050.90425</v>
      </c>
    </row>
    <row r="165" spans="1:17" ht="30" customHeight="1">
      <c r="A165" s="17" t="s">
        <v>60</v>
      </c>
      <c r="B165" s="5" t="str">
        <f>IF(A165="","",IF(COUNTIF(Catalogo!$A$5:$A$905,A165)=0,"SKU no encontrado",INDEX(Catalogo!$B$5:$B$905,MATCH(A165,Catalogo!$A$5:$A$905,0))))</f>
        <v>BRAHMA CAN 4X4 710CC</v>
      </c>
      <c r="C165">
        <f>IF(OR(A165="",B165="SKU no encontrado"),"",INDEX(Catalogo!$C$5:$C$905,MATCH(A165,Catalogo!$A$5:$A$905,0)))</f>
        <v>16</v>
      </c>
      <c r="D165" s="19">
        <v>46493</v>
      </c>
      <c r="E165" s="20">
        <v>384</v>
      </c>
      <c r="F165" s="12"/>
      <c r="G165" s="6">
        <f>IF(OR(A165="",B165="SKU no encontrado"),"",IF(INDEX(Catalogo!$H$5:$H$905,MATCH(A165,Catalogo!$A$5:$A$905,0))=0,"",INDEX(Catalogo!$H$5:$H$905,MATCH(A165,Catalogo!$A$5:$A$905,0))))</f>
        <v>44562.415000000001</v>
      </c>
      <c r="H165" s="13" t="str">
        <f t="shared" si="12"/>
        <v/>
      </c>
      <c r="I165" s="6" t="str">
        <f t="shared" si="13"/>
        <v/>
      </c>
      <c r="J165" s="6" t="str">
        <f t="shared" si="14"/>
        <v/>
      </c>
      <c r="K165" s="6" t="str">
        <f t="shared" si="15"/>
        <v/>
      </c>
      <c r="L165" t="str">
        <f t="shared" si="16"/>
        <v>Completar precio unitario</v>
      </c>
      <c r="M165" t="s">
        <v>1839</v>
      </c>
      <c r="N165" s="18">
        <v>384</v>
      </c>
      <c r="O165">
        <v>2</v>
      </c>
      <c r="P165">
        <v>208</v>
      </c>
      <c r="Q165" s="6">
        <f t="shared" si="17"/>
        <v>2785.1509375000001</v>
      </c>
    </row>
    <row r="166" spans="1:17" ht="30" customHeight="1">
      <c r="A166" s="17" t="s">
        <v>808</v>
      </c>
      <c r="B166" s="5" t="str">
        <f>IF(A166="","",IF(COUNTIF(Catalogo!$A$5:$A$905,A166)=0,"SKU no encontrado",INDEX(Catalogo!$B$5:$B$905,MATCH(A166,Catalogo!$A$5:$A$905,0))))</f>
        <v>QUILMES 1890 CAN X24 473CC SMK</v>
      </c>
      <c r="C166">
        <f>IF(OR(A166="",B166="SKU no encontrado"),"",INDEX(Catalogo!$C$5:$C$905,MATCH(A166,Catalogo!$A$5:$A$905,0)))</f>
        <v>24</v>
      </c>
      <c r="D166" s="19">
        <v>46494</v>
      </c>
      <c r="E166" s="20">
        <v>1600</v>
      </c>
      <c r="F166" s="12"/>
      <c r="G166" s="6">
        <f>IF(OR(A166="",B166="SKU no encontrado"),"",IF(INDEX(Catalogo!$H$5:$H$905,MATCH(A166,Catalogo!$A$5:$A$905,0))=0,"",INDEX(Catalogo!$H$5:$H$905,MATCH(A166,Catalogo!$A$5:$A$905,0))))</f>
        <v>38819.690999999999</v>
      </c>
      <c r="H166" s="13" t="str">
        <f t="shared" si="12"/>
        <v/>
      </c>
      <c r="I166" s="6" t="str">
        <f t="shared" si="13"/>
        <v/>
      </c>
      <c r="J166" s="6" t="str">
        <f t="shared" si="14"/>
        <v/>
      </c>
      <c r="K166" s="6" t="str">
        <f t="shared" si="15"/>
        <v/>
      </c>
      <c r="L166" t="str">
        <f t="shared" si="16"/>
        <v>Completar precio unitario</v>
      </c>
      <c r="M166" t="s">
        <v>1839</v>
      </c>
      <c r="N166" s="18">
        <v>1600</v>
      </c>
      <c r="O166">
        <v>2</v>
      </c>
      <c r="P166">
        <v>213</v>
      </c>
      <c r="Q166" s="6">
        <f t="shared" si="17"/>
        <v>1617.4871249999999</v>
      </c>
    </row>
    <row r="167" spans="1:17" ht="30" customHeight="1">
      <c r="A167" s="17" t="s">
        <v>698</v>
      </c>
      <c r="B167" s="5" t="str">
        <f>IF(A167="","",IF(COUNTIF(Catalogo!$A$5:$A$905,A167)=0,"SKU no encontrado",INDEX(Catalogo!$B$5:$B$905,MATCH(A167,Catalogo!$A$5:$A$905,0))))</f>
        <v>GATORADE FRUTAS PET X6 1250CC</v>
      </c>
      <c r="C167">
        <f>IF(OR(A167="",B167="SKU no encontrado"),"",INDEX(Catalogo!$C$5:$C$905,MATCH(A167,Catalogo!$A$5:$A$905,0)))</f>
        <v>6</v>
      </c>
      <c r="D167" s="19">
        <v>46495</v>
      </c>
      <c r="E167" s="20">
        <v>43</v>
      </c>
      <c r="F167" s="12"/>
      <c r="G167" s="6">
        <f>IF(OR(A167="",B167="SKU no encontrado"),"",IF(INDEX(Catalogo!$H$5:$H$905,MATCH(A167,Catalogo!$A$5:$A$905,0))=0,"",INDEX(Catalogo!$H$5:$H$905,MATCH(A167,Catalogo!$A$5:$A$905,0))))</f>
        <v>26114.945</v>
      </c>
      <c r="H167" s="13" t="str">
        <f t="shared" si="12"/>
        <v/>
      </c>
      <c r="I167" s="6" t="str">
        <f t="shared" si="13"/>
        <v/>
      </c>
      <c r="J167" s="6" t="str">
        <f t="shared" si="14"/>
        <v/>
      </c>
      <c r="K167" s="6" t="str">
        <f t="shared" si="15"/>
        <v/>
      </c>
      <c r="L167" t="str">
        <f t="shared" si="16"/>
        <v>Completar precio unitario</v>
      </c>
      <c r="M167" t="s">
        <v>1839</v>
      </c>
      <c r="N167" s="18">
        <v>43</v>
      </c>
      <c r="O167">
        <v>2</v>
      </c>
      <c r="P167">
        <v>210</v>
      </c>
      <c r="Q167" s="6">
        <f t="shared" si="17"/>
        <v>4352.4908333333333</v>
      </c>
    </row>
    <row r="168" spans="1:17" ht="30" customHeight="1">
      <c r="A168" s="17" t="s">
        <v>700</v>
      </c>
      <c r="B168" s="5" t="str">
        <f>IF(A168="","",IF(COUNTIF(Catalogo!$A$5:$A$905,A168)=0,"SKU no encontrado",INDEX(Catalogo!$B$5:$B$905,MATCH(A168,Catalogo!$A$5:$A$905,0))))</f>
        <v>GATORADE COOL BLUE PET X6 1250CC</v>
      </c>
      <c r="C168">
        <f>IF(OR(A168="",B168="SKU no encontrado"),"",INDEX(Catalogo!$C$5:$C$905,MATCH(A168,Catalogo!$A$5:$A$905,0)))</f>
        <v>6</v>
      </c>
      <c r="D168" s="19">
        <v>46496</v>
      </c>
      <c r="E168" s="20">
        <v>220</v>
      </c>
      <c r="F168" s="12"/>
      <c r="G168" s="6">
        <f>IF(OR(A168="",B168="SKU no encontrado"),"",IF(INDEX(Catalogo!$H$5:$H$905,MATCH(A168,Catalogo!$A$5:$A$905,0))=0,"",INDEX(Catalogo!$H$5:$H$905,MATCH(A168,Catalogo!$A$5:$A$905,0))))</f>
        <v>26114.945</v>
      </c>
      <c r="H168" s="13" t="str">
        <f t="shared" si="12"/>
        <v/>
      </c>
      <c r="I168" s="6" t="str">
        <f t="shared" si="13"/>
        <v/>
      </c>
      <c r="J168" s="6" t="str">
        <f t="shared" si="14"/>
        <v/>
      </c>
      <c r="K168" s="6" t="str">
        <f t="shared" si="15"/>
        <v/>
      </c>
      <c r="L168" t="str">
        <f t="shared" si="16"/>
        <v>Completar precio unitario</v>
      </c>
      <c r="M168" t="s">
        <v>1839</v>
      </c>
      <c r="N168" s="18">
        <v>220</v>
      </c>
      <c r="O168">
        <v>2</v>
      </c>
      <c r="P168">
        <v>211</v>
      </c>
      <c r="Q168" s="6">
        <f t="shared" si="17"/>
        <v>4352.4908333333333</v>
      </c>
    </row>
    <row r="169" spans="1:17" ht="30" customHeight="1">
      <c r="A169" s="17" t="s">
        <v>696</v>
      </c>
      <c r="B169" s="5" t="str">
        <f>IF(A169="","",IF(COUNTIF(Catalogo!$A$5:$A$905,A169)=0,"SKU no encontrado",INDEX(Catalogo!$B$5:$B$905,MATCH(A169,Catalogo!$A$5:$A$905,0))))</f>
        <v>GATORADE APPLE PET X6 1250CC</v>
      </c>
      <c r="C169">
        <f>IF(OR(A169="",B169="SKU no encontrado"),"",INDEX(Catalogo!$C$5:$C$905,MATCH(A169,Catalogo!$A$5:$A$905,0)))</f>
        <v>6</v>
      </c>
      <c r="D169" s="19">
        <v>46497</v>
      </c>
      <c r="E169" s="20">
        <v>220</v>
      </c>
      <c r="F169" s="12"/>
      <c r="G169" s="6">
        <f>IF(OR(A169="",B169="SKU no encontrado"),"",IF(INDEX(Catalogo!$H$5:$H$905,MATCH(A169,Catalogo!$A$5:$A$905,0))=0,"",INDEX(Catalogo!$H$5:$H$905,MATCH(A169,Catalogo!$A$5:$A$905,0))))</f>
        <v>26114.945</v>
      </c>
      <c r="H169" s="13" t="str">
        <f t="shared" si="12"/>
        <v/>
      </c>
      <c r="I169" s="6" t="str">
        <f t="shared" si="13"/>
        <v/>
      </c>
      <c r="J169" s="6" t="str">
        <f t="shared" si="14"/>
        <v/>
      </c>
      <c r="K169" s="6" t="str">
        <f t="shared" si="15"/>
        <v/>
      </c>
      <c r="L169" t="str">
        <f t="shared" si="16"/>
        <v>Completar precio unitario</v>
      </c>
      <c r="M169" t="s">
        <v>1839</v>
      </c>
      <c r="N169" s="18">
        <v>220</v>
      </c>
      <c r="O169">
        <v>3</v>
      </c>
      <c r="P169">
        <v>212</v>
      </c>
      <c r="Q169" s="6">
        <f t="shared" si="17"/>
        <v>4352.4908333333333</v>
      </c>
    </row>
    <row r="170" spans="1:17" ht="30" customHeight="1">
      <c r="A170" s="17" t="s">
        <v>475</v>
      </c>
      <c r="B170" s="5" t="str">
        <f>IF(A170="","",IF(COUNTIF(Catalogo!$A$5:$A$905,A170)=0,"SKU no encontrado",INDEX(Catalogo!$B$5:$B$905,MATCH(A170,Catalogo!$A$5:$A$905,0))))</f>
        <v>RED BULL SUGAR FREE CAN 6X4 250</v>
      </c>
      <c r="C170">
        <f>IF(OR(A170="",B170="SKU no encontrado"),"",INDEX(Catalogo!$C$5:$C$905,MATCH(A170,Catalogo!$A$5:$A$905,0)))</f>
        <v>24</v>
      </c>
      <c r="D170" s="19">
        <v>46498</v>
      </c>
      <c r="E170" s="20">
        <v>6.0833333332999997</v>
      </c>
      <c r="F170" s="12"/>
      <c r="G170" s="6">
        <f>IF(OR(A170="",B170="SKU no encontrado"),"",IF(INDEX(Catalogo!$H$5:$H$905,MATCH(A170,Catalogo!$A$5:$A$905,0))=0,"",INDEX(Catalogo!$H$5:$H$905,MATCH(A170,Catalogo!$A$5:$A$905,0))))</f>
        <v>65853.251000000004</v>
      </c>
      <c r="H170" s="13" t="str">
        <f t="shared" si="12"/>
        <v/>
      </c>
      <c r="I170" s="6" t="str">
        <f t="shared" si="13"/>
        <v/>
      </c>
      <c r="J170" s="6" t="str">
        <f t="shared" si="14"/>
        <v/>
      </c>
      <c r="K170" s="6" t="str">
        <f t="shared" si="15"/>
        <v/>
      </c>
      <c r="L170" t="str">
        <f t="shared" si="16"/>
        <v>Completar precio unitario</v>
      </c>
      <c r="M170" t="s">
        <v>1839</v>
      </c>
      <c r="N170" s="18">
        <v>6.0833333332999997</v>
      </c>
      <c r="O170">
        <v>1</v>
      </c>
      <c r="P170">
        <v>213</v>
      </c>
      <c r="Q170" s="6">
        <f t="shared" si="17"/>
        <v>2743.8854583333336</v>
      </c>
    </row>
    <row r="171" spans="1:17" ht="30" customHeight="1">
      <c r="A171" s="17" t="s">
        <v>962</v>
      </c>
      <c r="B171" s="5" t="str">
        <f>IF(A171="","",IF(COUNTIF(Catalogo!$A$5:$A$905,A171)=0,"SKU no encontrado",INDEX(Catalogo!$B$5:$B$905,MATCH(A171,Catalogo!$A$5:$A$905,0))))</f>
        <v>3P-LECHE CLASICA LIVIANA ANGELITA X12 1L</v>
      </c>
      <c r="C171">
        <f>IF(OR(A171="",B171="SKU no encontrado"),"",INDEX(Catalogo!$C$5:$C$905,MATCH(A171,Catalogo!$A$5:$A$905,0)))</f>
        <v>12</v>
      </c>
      <c r="D171" s="19">
        <v>46498</v>
      </c>
      <c r="E171" s="20">
        <v>139</v>
      </c>
      <c r="F171" s="12"/>
      <c r="G171" s="6">
        <f>IF(OR(A171="",B171="SKU no encontrado"),"",IF(INDEX(Catalogo!$H$5:$H$905,MATCH(A171,Catalogo!$A$5:$A$905,0))=0,"",INDEX(Catalogo!$H$5:$H$905,MATCH(A171,Catalogo!$A$5:$A$905,0))))</f>
        <v>24610.850999999999</v>
      </c>
      <c r="H171" s="13" t="str">
        <f t="shared" si="12"/>
        <v/>
      </c>
      <c r="I171" s="6" t="str">
        <f t="shared" si="13"/>
        <v/>
      </c>
      <c r="J171" s="6" t="str">
        <f t="shared" si="14"/>
        <v/>
      </c>
      <c r="K171" s="6" t="str">
        <f t="shared" si="15"/>
        <v/>
      </c>
      <c r="L171" t="str">
        <f t="shared" si="16"/>
        <v>Completar precio unitario</v>
      </c>
      <c r="M171" t="s">
        <v>1839</v>
      </c>
      <c r="N171" s="18">
        <v>139</v>
      </c>
      <c r="O171">
        <v>1</v>
      </c>
      <c r="P171">
        <v>213</v>
      </c>
      <c r="Q171" s="6">
        <f t="shared" si="17"/>
        <v>2050.90425</v>
      </c>
    </row>
    <row r="172" spans="1:17" ht="30" customHeight="1">
      <c r="A172" s="17" t="s">
        <v>1006</v>
      </c>
      <c r="B172" s="5" t="str">
        <f>IF(A172="","",IF(COUNTIF(Catalogo!$A$5:$A$905,A172)=0,"SKU no encontrado",INDEX(Catalogo!$B$5:$B$905,MATCH(A172,Catalogo!$A$5:$A$905,0))))</f>
        <v>CORONA 0.0 CAN 4X6 473CC CART</v>
      </c>
      <c r="C172">
        <f>IF(OR(A172="",B172="SKU no encontrado"),"",INDEX(Catalogo!$C$5:$C$905,MATCH(A172,Catalogo!$A$5:$A$905,0)))</f>
        <v>24</v>
      </c>
      <c r="D172" s="19">
        <v>46499</v>
      </c>
      <c r="E172" s="20">
        <v>60.25</v>
      </c>
      <c r="F172" s="12"/>
      <c r="G172" s="6">
        <f>IF(OR(A172="",B172="SKU no encontrado"),"",IF(INDEX(Catalogo!$H$5:$H$905,MATCH(A172,Catalogo!$A$5:$A$905,0))=0,"",INDEX(Catalogo!$H$5:$H$905,MATCH(A172,Catalogo!$A$5:$A$905,0))))</f>
        <v>57273.108</v>
      </c>
      <c r="H172" s="13" t="str">
        <f t="shared" si="12"/>
        <v/>
      </c>
      <c r="I172" s="6" t="str">
        <f t="shared" si="13"/>
        <v/>
      </c>
      <c r="J172" s="6" t="str">
        <f t="shared" si="14"/>
        <v/>
      </c>
      <c r="K172" s="6" t="str">
        <f t="shared" si="15"/>
        <v/>
      </c>
      <c r="L172" t="str">
        <f t="shared" si="16"/>
        <v>Completar precio unitario</v>
      </c>
      <c r="M172" t="s">
        <v>1839</v>
      </c>
      <c r="N172" s="18">
        <v>60.25</v>
      </c>
      <c r="O172">
        <v>1</v>
      </c>
      <c r="P172">
        <v>214</v>
      </c>
      <c r="Q172" s="6">
        <f t="shared" si="17"/>
        <v>2386.3795</v>
      </c>
    </row>
    <row r="173" spans="1:17" ht="30" customHeight="1">
      <c r="A173" s="17" t="s">
        <v>316</v>
      </c>
      <c r="B173" s="5" t="str">
        <f>IF(A173="","",IF(COUNTIF(Catalogo!$A$5:$A$905,A173)=0,"SKU no encontrado",INDEX(Catalogo!$B$5:$B$905,MATCH(A173,Catalogo!$A$5:$A$905,0))))</f>
        <v>BRAHMA - X12 1000RET#</v>
      </c>
      <c r="C173">
        <f>IF(OR(A173="",B173="SKU no encontrado"),"",INDEX(Catalogo!$C$5:$C$905,MATCH(A173,Catalogo!$A$5:$A$905,0)))</f>
        <v>12</v>
      </c>
      <c r="D173" s="19">
        <v>46501</v>
      </c>
      <c r="E173" s="20">
        <v>400</v>
      </c>
      <c r="F173" s="12"/>
      <c r="G173" s="6">
        <f>IF(OR(A173="",B173="SKU no encontrado"),"",IF(INDEX(Catalogo!$H$5:$H$905,MATCH(A173,Catalogo!$A$5:$A$905,0))=0,"",INDEX(Catalogo!$H$5:$H$905,MATCH(A173,Catalogo!$A$5:$A$905,0))))</f>
        <v>37981.633000000002</v>
      </c>
      <c r="H173" s="13" t="str">
        <f t="shared" si="12"/>
        <v/>
      </c>
      <c r="I173" s="6" t="str">
        <f t="shared" si="13"/>
        <v/>
      </c>
      <c r="J173" s="6" t="str">
        <f t="shared" si="14"/>
        <v/>
      </c>
      <c r="K173" s="6" t="str">
        <f t="shared" si="15"/>
        <v/>
      </c>
      <c r="L173" t="str">
        <f t="shared" si="16"/>
        <v>Completar precio unitario</v>
      </c>
      <c r="M173" t="s">
        <v>1839</v>
      </c>
      <c r="N173" s="18">
        <v>400</v>
      </c>
      <c r="O173">
        <v>2</v>
      </c>
      <c r="P173">
        <v>220</v>
      </c>
      <c r="Q173" s="6">
        <f t="shared" si="17"/>
        <v>3165.1360833333333</v>
      </c>
    </row>
    <row r="174" spans="1:17" ht="30" customHeight="1">
      <c r="A174" s="17" t="s">
        <v>1051</v>
      </c>
      <c r="B174" s="5" t="str">
        <f>IF(A174="","",IF(COUNTIF(Catalogo!$A$5:$A$905,A174)=0,"SKU no encontrado",INDEX(Catalogo!$B$5:$B$905,MATCH(A174,Catalogo!$A$5:$A$905,0))))</f>
        <v>QUILMES 1890 CAN 4X4 710CC</v>
      </c>
      <c r="C174">
        <f>IF(OR(A174="",B174="SKU no encontrado"),"",INDEX(Catalogo!$C$5:$C$905,MATCH(A174,Catalogo!$A$5:$A$905,0)))</f>
        <v>16</v>
      </c>
      <c r="D174" s="19">
        <v>46504</v>
      </c>
      <c r="E174" s="20">
        <v>576</v>
      </c>
      <c r="F174" s="12"/>
      <c r="G174" s="6">
        <f>IF(OR(A174="",B174="SKU no encontrado"),"",IF(INDEX(Catalogo!$H$5:$H$905,MATCH(A174,Catalogo!$A$5:$A$905,0))=0,"",INDEX(Catalogo!$H$5:$H$905,MATCH(A174,Catalogo!$A$5:$A$905,0))))</f>
        <v>37137.404000000002</v>
      </c>
      <c r="H174" s="13" t="str">
        <f t="shared" si="12"/>
        <v/>
      </c>
      <c r="I174" s="6" t="str">
        <f t="shared" si="13"/>
        <v/>
      </c>
      <c r="J174" s="6" t="str">
        <f t="shared" si="14"/>
        <v/>
      </c>
      <c r="K174" s="6" t="str">
        <f t="shared" si="15"/>
        <v/>
      </c>
      <c r="L174" t="str">
        <f t="shared" si="16"/>
        <v>Completar precio unitario</v>
      </c>
      <c r="M174" t="s">
        <v>1839</v>
      </c>
      <c r="N174" s="18">
        <v>576</v>
      </c>
      <c r="O174">
        <v>2</v>
      </c>
      <c r="P174">
        <v>219</v>
      </c>
      <c r="Q174" s="6">
        <f t="shared" si="17"/>
        <v>2321.0877500000001</v>
      </c>
    </row>
    <row r="175" spans="1:17" ht="30" customHeight="1">
      <c r="A175" s="17" t="s">
        <v>954</v>
      </c>
      <c r="B175" s="5" t="str">
        <f>IF(A175="","",IF(COUNTIF(Catalogo!$A$5:$A$905,A175)=0,"SKU no encontrado",INDEX(Catalogo!$B$5:$B$905,MATCH(A175,Catalogo!$A$5:$A$905,0))))</f>
        <v>CORONA 0.0 OW 6X4 330CC CLUSTER 4PACK</v>
      </c>
      <c r="C175">
        <f>IF(OR(A175="",B175="SKU no encontrado"),"",INDEX(Catalogo!$C$5:$C$905,MATCH(A175,Catalogo!$A$5:$A$905,0)))</f>
        <v>24</v>
      </c>
      <c r="D175" s="19">
        <v>46507</v>
      </c>
      <c r="E175" s="20">
        <v>120.8333333333</v>
      </c>
      <c r="F175" s="12"/>
      <c r="G175" s="6">
        <f>IF(OR(A175="",B175="SKU no encontrado"),"",IF(INDEX(Catalogo!$H$5:$H$905,MATCH(A175,Catalogo!$A$5:$A$905,0))=0,"",INDEX(Catalogo!$H$5:$H$905,MATCH(A175,Catalogo!$A$5:$A$905,0))))</f>
        <v>57315.949000000001</v>
      </c>
      <c r="H175" s="13" t="str">
        <f t="shared" si="12"/>
        <v/>
      </c>
      <c r="I175" s="6" t="str">
        <f t="shared" si="13"/>
        <v/>
      </c>
      <c r="J175" s="6" t="str">
        <f t="shared" si="14"/>
        <v/>
      </c>
      <c r="K175" s="6" t="str">
        <f t="shared" si="15"/>
        <v/>
      </c>
      <c r="L175" t="str">
        <f t="shared" si="16"/>
        <v>Completar precio unitario</v>
      </c>
      <c r="M175" t="s">
        <v>1839</v>
      </c>
      <c r="N175" s="18">
        <v>120.8333333333</v>
      </c>
      <c r="O175">
        <v>1</v>
      </c>
      <c r="P175">
        <v>222</v>
      </c>
      <c r="Q175" s="6">
        <f t="shared" si="17"/>
        <v>2388.1645416666665</v>
      </c>
    </row>
    <row r="176" spans="1:17" ht="30" customHeight="1">
      <c r="A176" s="17" t="s">
        <v>637</v>
      </c>
      <c r="B176" s="5" t="str">
        <f>IF(A176="","",IF(COUNTIF(Catalogo!$A$5:$A$905,A176)=0,"SKU no encontrado",INDEX(Catalogo!$B$5:$B$905,MATCH(A176,Catalogo!$A$5:$A$905,0))))</f>
        <v>CORONA 4X6 OW 330CC PROMO</v>
      </c>
      <c r="C176">
        <f>IF(OR(A176="",B176="SKU no encontrado"),"",INDEX(Catalogo!$C$5:$C$905,MATCH(A176,Catalogo!$A$5:$A$905,0)))</f>
        <v>24</v>
      </c>
      <c r="D176" s="19">
        <v>46516</v>
      </c>
      <c r="E176" s="20">
        <v>168</v>
      </c>
      <c r="F176" s="12"/>
      <c r="G176" s="6">
        <f>IF(OR(A176="",B176="SKU no encontrado"),"",IF(INDEX(Catalogo!$H$5:$H$905,MATCH(A176,Catalogo!$A$5:$A$905,0))=0,"",INDEX(Catalogo!$H$5:$H$905,MATCH(A176,Catalogo!$A$5:$A$905,0))))</f>
        <v>74267.078999999998</v>
      </c>
      <c r="H176" s="13" t="str">
        <f t="shared" si="12"/>
        <v/>
      </c>
      <c r="I176" s="6" t="str">
        <f t="shared" si="13"/>
        <v/>
      </c>
      <c r="J176" s="6" t="str">
        <f t="shared" si="14"/>
        <v/>
      </c>
      <c r="K176" s="6" t="str">
        <f t="shared" si="15"/>
        <v/>
      </c>
      <c r="L176" t="str">
        <f t="shared" si="16"/>
        <v>Completar precio unitario</v>
      </c>
      <c r="M176" t="s">
        <v>1839</v>
      </c>
      <c r="N176" s="18">
        <v>168</v>
      </c>
      <c r="O176">
        <v>2</v>
      </c>
      <c r="P176">
        <v>231</v>
      </c>
      <c r="Q176" s="6">
        <f t="shared" si="17"/>
        <v>3094.4616249999999</v>
      </c>
    </row>
    <row r="177" spans="1:17" ht="30" customHeight="1">
      <c r="A177" s="17" t="s">
        <v>1006</v>
      </c>
      <c r="B177" s="5" t="str">
        <f>IF(A177="","",IF(COUNTIF(Catalogo!$A$5:$A$905,A177)=0,"SKU no encontrado",INDEX(Catalogo!$B$5:$B$905,MATCH(A177,Catalogo!$A$5:$A$905,0))))</f>
        <v>CORONA 0.0 CAN 4X6 473CC CART</v>
      </c>
      <c r="C177">
        <f>IF(OR(A177="",B177="SKU no encontrado"),"",INDEX(Catalogo!$C$5:$C$905,MATCH(A177,Catalogo!$A$5:$A$905,0)))</f>
        <v>24</v>
      </c>
      <c r="D177" s="19">
        <v>46518</v>
      </c>
      <c r="E177" s="20">
        <v>0.16666666669999999</v>
      </c>
      <c r="F177" s="12"/>
      <c r="G177" s="6">
        <f>IF(OR(A177="",B177="SKU no encontrado"),"",IF(INDEX(Catalogo!$H$5:$H$905,MATCH(A177,Catalogo!$A$5:$A$905,0))=0,"",INDEX(Catalogo!$H$5:$H$905,MATCH(A177,Catalogo!$A$5:$A$905,0))))</f>
        <v>57273.108</v>
      </c>
      <c r="H177" s="13" t="str">
        <f t="shared" si="12"/>
        <v/>
      </c>
      <c r="I177" s="6" t="str">
        <f t="shared" si="13"/>
        <v/>
      </c>
      <c r="J177" s="6" t="str">
        <f t="shared" si="14"/>
        <v/>
      </c>
      <c r="K177" s="6" t="str">
        <f t="shared" si="15"/>
        <v/>
      </c>
      <c r="L177" t="str">
        <f t="shared" si="16"/>
        <v>Completar precio unitario</v>
      </c>
      <c r="M177" t="s">
        <v>1839</v>
      </c>
      <c r="N177" s="18">
        <v>0.16666666669999999</v>
      </c>
      <c r="O177">
        <v>2</v>
      </c>
      <c r="P177">
        <v>233</v>
      </c>
      <c r="Q177" s="6">
        <f t="shared" si="17"/>
        <v>2386.3795</v>
      </c>
    </row>
    <row r="178" spans="1:17" ht="30" customHeight="1">
      <c r="A178" s="17" t="s">
        <v>422</v>
      </c>
      <c r="B178" s="5" t="str">
        <f>IF(A178="","",IF(COUNTIF(Catalogo!$A$5:$A$905,A178)=0,"SKU no encontrado",INDEX(Catalogo!$B$5:$B$905,MATCH(A178,Catalogo!$A$5:$A$905,0))))</f>
        <v>QUILMES STOUT CAN 4X6 473</v>
      </c>
      <c r="C178">
        <f>IF(OR(A178="",B178="SKU no encontrado"),"",INDEX(Catalogo!$C$5:$C$905,MATCH(A178,Catalogo!$A$5:$A$905,0)))</f>
        <v>24</v>
      </c>
      <c r="D178" s="19">
        <v>46523</v>
      </c>
      <c r="E178" s="20">
        <v>164.0416666667</v>
      </c>
      <c r="F178" s="12"/>
      <c r="G178" s="6">
        <f>IF(OR(A178="",B178="SKU no encontrado"),"",IF(INDEX(Catalogo!$H$5:$H$905,MATCH(A178,Catalogo!$A$5:$A$905,0))=0,"",INDEX(Catalogo!$H$5:$H$905,MATCH(A178,Catalogo!$A$5:$A$905,0))))</f>
        <v>48405.919000000002</v>
      </c>
      <c r="H178" s="13" t="str">
        <f t="shared" si="12"/>
        <v/>
      </c>
      <c r="I178" s="6" t="str">
        <f t="shared" si="13"/>
        <v/>
      </c>
      <c r="J178" s="6" t="str">
        <f t="shared" si="14"/>
        <v/>
      </c>
      <c r="K178" s="6" t="str">
        <f t="shared" si="15"/>
        <v/>
      </c>
      <c r="L178" t="str">
        <f t="shared" si="16"/>
        <v>Completar precio unitario</v>
      </c>
      <c r="M178" t="s">
        <v>1839</v>
      </c>
      <c r="N178" s="18">
        <v>164.0416666667</v>
      </c>
      <c r="O178">
        <v>1</v>
      </c>
      <c r="P178">
        <v>238</v>
      </c>
      <c r="Q178" s="6">
        <f t="shared" si="17"/>
        <v>2016.9132916666667</v>
      </c>
    </row>
    <row r="179" spans="1:17" ht="30" customHeight="1">
      <c r="A179" s="17" t="s">
        <v>529</v>
      </c>
      <c r="B179" s="5" t="str">
        <f>IF(A179="","",IF(COUNTIF(Catalogo!$A$5:$A$905,A179)=0,"SKU no encontrado",INDEX(Catalogo!$B$5:$B$905,MATCH(A179,Catalogo!$A$5:$A$905,0))))</f>
        <v>PATAGONIA AMBER OW X6 730</v>
      </c>
      <c r="C179">
        <f>IF(OR(A179="",B179="SKU no encontrado"),"",INDEX(Catalogo!$C$5:$C$905,MATCH(A179,Catalogo!$A$5:$A$905,0)))</f>
        <v>6</v>
      </c>
      <c r="D179" s="19">
        <v>46523</v>
      </c>
      <c r="E179" s="20">
        <v>168</v>
      </c>
      <c r="F179" s="12"/>
      <c r="G179" s="6">
        <f>IF(OR(A179="",B179="SKU no encontrado"),"",IF(INDEX(Catalogo!$H$5:$H$905,MATCH(A179,Catalogo!$A$5:$A$905,0))=0,"",INDEX(Catalogo!$H$5:$H$905,MATCH(A179,Catalogo!$A$5:$A$905,0))))</f>
        <v>29135.981</v>
      </c>
      <c r="H179" s="13" t="str">
        <f t="shared" si="12"/>
        <v/>
      </c>
      <c r="I179" s="6" t="str">
        <f t="shared" si="13"/>
        <v/>
      </c>
      <c r="J179" s="6" t="str">
        <f t="shared" si="14"/>
        <v/>
      </c>
      <c r="K179" s="6" t="str">
        <f t="shared" si="15"/>
        <v/>
      </c>
      <c r="L179" t="str">
        <f t="shared" si="16"/>
        <v>Completar precio unitario</v>
      </c>
      <c r="M179" t="s">
        <v>1839</v>
      </c>
      <c r="N179" s="18">
        <v>168</v>
      </c>
      <c r="O179">
        <v>1</v>
      </c>
      <c r="P179">
        <v>238</v>
      </c>
      <c r="Q179" s="6">
        <f t="shared" si="17"/>
        <v>4855.9968333333336</v>
      </c>
    </row>
    <row r="180" spans="1:17" ht="30" customHeight="1">
      <c r="A180" s="17" t="s">
        <v>1004</v>
      </c>
      <c r="B180" s="5" t="str">
        <f>IF(A180="","",IF(COUNTIF(Catalogo!$A$5:$A$905,A180)=0,"SKU no encontrado",INDEX(Catalogo!$B$5:$B$905,MATCH(A180,Catalogo!$A$5:$A$905,0))))</f>
        <v>RED BULL SUMMER EDITION CAN 6X4</v>
      </c>
      <c r="C180">
        <f>IF(OR(A180="",B180="SKU no encontrado"),"",INDEX(Catalogo!$C$5:$C$905,MATCH(A180,Catalogo!$A$5:$A$905,0)))</f>
        <v>24</v>
      </c>
      <c r="D180" s="19">
        <v>46535</v>
      </c>
      <c r="E180" s="20">
        <v>36.666666666700003</v>
      </c>
      <c r="F180" s="12"/>
      <c r="G180" s="6">
        <f>IF(OR(A180="",B180="SKU no encontrado"),"",IF(INDEX(Catalogo!$H$5:$H$905,MATCH(A180,Catalogo!$A$5:$A$905,0))=0,"",INDEX(Catalogo!$H$5:$H$905,MATCH(A180,Catalogo!$A$5:$A$905,0))))</f>
        <v>65853.251000000004</v>
      </c>
      <c r="H180" s="13" t="str">
        <f t="shared" si="12"/>
        <v/>
      </c>
      <c r="I180" s="6" t="str">
        <f t="shared" si="13"/>
        <v/>
      </c>
      <c r="J180" s="6" t="str">
        <f t="shared" si="14"/>
        <v/>
      </c>
      <c r="K180" s="6" t="str">
        <f t="shared" si="15"/>
        <v/>
      </c>
      <c r="L180" t="str">
        <f t="shared" si="16"/>
        <v>Completar precio unitario</v>
      </c>
      <c r="M180" t="s">
        <v>1839</v>
      </c>
      <c r="N180" s="18">
        <v>36.666666666700003</v>
      </c>
      <c r="O180">
        <v>1</v>
      </c>
      <c r="P180">
        <v>250</v>
      </c>
      <c r="Q180" s="6">
        <f t="shared" si="17"/>
        <v>2743.8854583333336</v>
      </c>
    </row>
    <row r="181" spans="1:17" ht="30" customHeight="1">
      <c r="A181" s="17" t="s">
        <v>970</v>
      </c>
      <c r="B181" s="5" t="str">
        <f>IF(A181="","",IF(COUNTIF(Catalogo!$A$5:$A$905,A181)=0,"SKU no encontrado",INDEX(Catalogo!$B$5:$B$905,MATCH(A181,Catalogo!$A$5:$A$905,0))))</f>
        <v>GLACIAR SG PET X12 500CC 208 PACKS</v>
      </c>
      <c r="C181">
        <f>IF(OR(A181="",B181="SKU no encontrado"),"",INDEX(Catalogo!$C$5:$C$905,MATCH(A181,Catalogo!$A$5:$A$905,0)))</f>
        <v>12</v>
      </c>
      <c r="D181" s="19">
        <v>46541</v>
      </c>
      <c r="E181" s="20">
        <v>1.0833333332999999</v>
      </c>
      <c r="F181" s="12"/>
      <c r="G181" s="6">
        <f>IF(OR(A181="",B181="SKU no encontrado"),"",IF(INDEX(Catalogo!$H$5:$H$905,MATCH(A181,Catalogo!$A$5:$A$905,0))=0,"",INDEX(Catalogo!$H$5:$H$905,MATCH(A181,Catalogo!$A$5:$A$905,0))))</f>
        <v>19226.436000000002</v>
      </c>
      <c r="H181" s="13" t="str">
        <f t="shared" si="12"/>
        <v/>
      </c>
      <c r="I181" s="6" t="str">
        <f t="shared" si="13"/>
        <v/>
      </c>
      <c r="J181" s="6" t="str">
        <f t="shared" si="14"/>
        <v/>
      </c>
      <c r="K181" s="6" t="str">
        <f t="shared" si="15"/>
        <v/>
      </c>
      <c r="L181" t="str">
        <f t="shared" si="16"/>
        <v>Completar precio unitario</v>
      </c>
      <c r="M181" t="s">
        <v>1839</v>
      </c>
      <c r="N181" s="18">
        <v>1.0833333332999999</v>
      </c>
      <c r="O181">
        <v>1</v>
      </c>
      <c r="P181">
        <v>256</v>
      </c>
      <c r="Q181" s="6">
        <f t="shared" si="17"/>
        <v>1602.2030000000002</v>
      </c>
    </row>
    <row r="182" spans="1:17" ht="30" customHeight="1">
      <c r="A182" s="17" t="s">
        <v>314</v>
      </c>
      <c r="B182" s="5" t="str">
        <f>IF(A182="","",IF(COUNTIF(Catalogo!$A$5:$A$905,A182)=0,"SKU no encontrado",INDEX(Catalogo!$B$5:$B$905,MATCH(A182,Catalogo!$A$5:$A$905,0))))</f>
        <v>QUILMES STOUT NEGRA X12 1000RET</v>
      </c>
      <c r="C182">
        <f>IF(OR(A182="",B182="SKU no encontrado"),"",INDEX(Catalogo!$C$5:$C$905,MATCH(A182,Catalogo!$A$5:$A$905,0)))</f>
        <v>12</v>
      </c>
      <c r="D182" s="19">
        <v>46543</v>
      </c>
      <c r="E182" s="20">
        <v>348.25</v>
      </c>
      <c r="F182" s="12"/>
      <c r="G182" s="6">
        <f>IF(OR(A182="",B182="SKU no encontrado"),"",IF(INDEX(Catalogo!$H$5:$H$905,MATCH(A182,Catalogo!$A$5:$A$905,0))=0,"",INDEX(Catalogo!$H$5:$H$905,MATCH(A182,Catalogo!$A$5:$A$905,0))))</f>
        <v>39858.839</v>
      </c>
      <c r="H182" s="13" t="str">
        <f t="shared" si="12"/>
        <v/>
      </c>
      <c r="I182" s="6" t="str">
        <f t="shared" si="13"/>
        <v/>
      </c>
      <c r="J182" s="6" t="str">
        <f t="shared" si="14"/>
        <v/>
      </c>
      <c r="K182" s="6" t="str">
        <f t="shared" si="15"/>
        <v/>
      </c>
      <c r="L182" t="str">
        <f t="shared" si="16"/>
        <v>Completar precio unitario</v>
      </c>
      <c r="M182" t="s">
        <v>1839</v>
      </c>
      <c r="N182" s="18">
        <v>348.25</v>
      </c>
      <c r="O182">
        <v>1</v>
      </c>
      <c r="P182">
        <v>258</v>
      </c>
      <c r="Q182" s="6">
        <f t="shared" si="17"/>
        <v>3321.5699166666668</v>
      </c>
    </row>
    <row r="183" spans="1:17" ht="30" customHeight="1">
      <c r="A183" s="17" t="s">
        <v>336</v>
      </c>
      <c r="B183" s="5" t="str">
        <f>IF(A183="","",IF(COUNTIF(Catalogo!$A$5:$A$905,A183)=0,"SKU no encontrado",INDEX(Catalogo!$B$5:$B$905,MATCH(A183,Catalogo!$A$5:$A$905,0))))</f>
        <v>GLACIAR AGUAS/G * X6 PET1500#</v>
      </c>
      <c r="C183">
        <f>IF(OR(A183="",B183="SKU no encontrado"),"",INDEX(Catalogo!$C$5:$C$905,MATCH(A183,Catalogo!$A$5:$A$905,0)))</f>
        <v>6</v>
      </c>
      <c r="D183" s="19">
        <v>46548</v>
      </c>
      <c r="E183" s="20">
        <v>259</v>
      </c>
      <c r="F183" s="12"/>
      <c r="G183" s="6">
        <f>IF(OR(A183="",B183="SKU no encontrado"),"",IF(INDEX(Catalogo!$H$5:$H$905,MATCH(A183,Catalogo!$A$5:$A$905,0))=0,"",INDEX(Catalogo!$H$5:$H$905,MATCH(A183,Catalogo!$A$5:$A$905,0))))</f>
        <v>12615.442999999999</v>
      </c>
      <c r="H183" s="13" t="str">
        <f t="shared" si="12"/>
        <v/>
      </c>
      <c r="I183" s="6" t="str">
        <f t="shared" si="13"/>
        <v/>
      </c>
      <c r="J183" s="6" t="str">
        <f t="shared" si="14"/>
        <v/>
      </c>
      <c r="K183" s="6" t="str">
        <f t="shared" si="15"/>
        <v/>
      </c>
      <c r="L183" t="str">
        <f t="shared" si="16"/>
        <v>Completar precio unitario</v>
      </c>
      <c r="M183" t="s">
        <v>1839</v>
      </c>
      <c r="N183" s="18">
        <v>259</v>
      </c>
      <c r="O183">
        <v>1</v>
      </c>
      <c r="P183">
        <v>263</v>
      </c>
      <c r="Q183" s="6">
        <f t="shared" si="17"/>
        <v>2102.5738333333334</v>
      </c>
    </row>
    <row r="184" spans="1:17" ht="30" customHeight="1">
      <c r="A184" s="17" t="s">
        <v>475</v>
      </c>
      <c r="B184" s="5" t="str">
        <f>IF(A184="","",IF(COUNTIF(Catalogo!$A$5:$A$905,A184)=0,"SKU no encontrado",INDEX(Catalogo!$B$5:$B$905,MATCH(A184,Catalogo!$A$5:$A$905,0))))</f>
        <v>RED BULL SUGAR FREE CAN 6X4 250</v>
      </c>
      <c r="C184">
        <f>IF(OR(A184="",B184="SKU no encontrado"),"",INDEX(Catalogo!$C$5:$C$905,MATCH(A184,Catalogo!$A$5:$A$905,0)))</f>
        <v>24</v>
      </c>
      <c r="D184" s="19">
        <v>46553</v>
      </c>
      <c r="E184" s="20">
        <v>60</v>
      </c>
      <c r="F184" s="12"/>
      <c r="G184" s="6">
        <f>IF(OR(A184="",B184="SKU no encontrado"),"",IF(INDEX(Catalogo!$H$5:$H$905,MATCH(A184,Catalogo!$A$5:$A$905,0))=0,"",INDEX(Catalogo!$H$5:$H$905,MATCH(A184,Catalogo!$A$5:$A$905,0))))</f>
        <v>65853.251000000004</v>
      </c>
      <c r="H184" s="13" t="str">
        <f t="shared" si="12"/>
        <v/>
      </c>
      <c r="I184" s="6" t="str">
        <f t="shared" si="13"/>
        <v/>
      </c>
      <c r="J184" s="6" t="str">
        <f t="shared" si="14"/>
        <v/>
      </c>
      <c r="K184" s="6" t="str">
        <f t="shared" si="15"/>
        <v/>
      </c>
      <c r="L184" t="str">
        <f t="shared" si="16"/>
        <v>Completar precio unitario</v>
      </c>
      <c r="M184" t="s">
        <v>1839</v>
      </c>
      <c r="N184" s="18">
        <v>60</v>
      </c>
      <c r="O184">
        <v>2</v>
      </c>
      <c r="P184">
        <v>268</v>
      </c>
      <c r="Q184" s="6">
        <f t="shared" si="17"/>
        <v>2743.8854583333336</v>
      </c>
    </row>
    <row r="185" spans="1:17" ht="30" customHeight="1">
      <c r="A185" s="17" t="s">
        <v>572</v>
      </c>
      <c r="B185" s="5" t="str">
        <f>IF(A185="","",IF(COUNTIF(Catalogo!$A$5:$A$905,A185)=0,"SKU no encontrado",INDEX(Catalogo!$B$5:$B$905,MATCH(A185,Catalogo!$A$5:$A$905,0))))</f>
        <v>CORONA OW X12 710</v>
      </c>
      <c r="C185">
        <f>IF(OR(A185="",B185="SKU no encontrado"),"",INDEX(Catalogo!$C$5:$C$905,MATCH(A185,Catalogo!$A$5:$A$905,0)))</f>
        <v>12</v>
      </c>
      <c r="D185" s="19">
        <v>46555</v>
      </c>
      <c r="E185" s="20">
        <v>995.83333333329995</v>
      </c>
      <c r="F185" s="12"/>
      <c r="G185" s="6">
        <f>IF(OR(A185="",B185="SKU no encontrado"),"",IF(INDEX(Catalogo!$H$5:$H$905,MATCH(A185,Catalogo!$A$5:$A$905,0))=0,"",INDEX(Catalogo!$H$5:$H$905,MATCH(A185,Catalogo!$A$5:$A$905,0))))</f>
        <v>59535.5</v>
      </c>
      <c r="H185" s="13" t="str">
        <f t="shared" si="12"/>
        <v/>
      </c>
      <c r="I185" s="6" t="str">
        <f t="shared" si="13"/>
        <v/>
      </c>
      <c r="J185" s="6" t="str">
        <f t="shared" si="14"/>
        <v/>
      </c>
      <c r="K185" s="6" t="str">
        <f t="shared" si="15"/>
        <v/>
      </c>
      <c r="L185" t="str">
        <f t="shared" si="16"/>
        <v>Completar precio unitario</v>
      </c>
      <c r="M185" t="s">
        <v>1839</v>
      </c>
      <c r="N185" s="18">
        <v>995.83333333329995</v>
      </c>
      <c r="O185">
        <v>1</v>
      </c>
      <c r="P185">
        <v>270</v>
      </c>
      <c r="Q185" s="6">
        <f t="shared" si="17"/>
        <v>4961.291666666667</v>
      </c>
    </row>
    <row r="186" spans="1:17" ht="30" customHeight="1">
      <c r="A186" s="17" t="s">
        <v>954</v>
      </c>
      <c r="B186" s="5" t="str">
        <f>IF(A186="","",IF(COUNTIF(Catalogo!$A$5:$A$905,A186)=0,"SKU no encontrado",INDEX(Catalogo!$B$5:$B$905,MATCH(A186,Catalogo!$A$5:$A$905,0))))</f>
        <v>CORONA 0.0 OW 6X4 330CC CLUSTER 4PACK</v>
      </c>
      <c r="C186">
        <f>IF(OR(A186="",B186="SKU no encontrado"),"",INDEX(Catalogo!$C$5:$C$905,MATCH(A186,Catalogo!$A$5:$A$905,0)))</f>
        <v>24</v>
      </c>
      <c r="D186" s="19">
        <v>46558</v>
      </c>
      <c r="E186" s="20">
        <v>56.125</v>
      </c>
      <c r="F186" s="12"/>
      <c r="G186" s="6">
        <f>IF(OR(A186="",B186="SKU no encontrado"),"",IF(INDEX(Catalogo!$H$5:$H$905,MATCH(A186,Catalogo!$A$5:$A$905,0))=0,"",INDEX(Catalogo!$H$5:$H$905,MATCH(A186,Catalogo!$A$5:$A$905,0))))</f>
        <v>57315.949000000001</v>
      </c>
      <c r="H186" s="13" t="str">
        <f t="shared" si="12"/>
        <v/>
      </c>
      <c r="I186" s="6" t="str">
        <f t="shared" si="13"/>
        <v/>
      </c>
      <c r="J186" s="6" t="str">
        <f t="shared" si="14"/>
        <v/>
      </c>
      <c r="K186" s="6" t="str">
        <f t="shared" si="15"/>
        <v/>
      </c>
      <c r="L186" t="str">
        <f t="shared" si="16"/>
        <v>Completar precio unitario</v>
      </c>
      <c r="M186" t="s">
        <v>1839</v>
      </c>
      <c r="N186" s="18">
        <v>56.125</v>
      </c>
      <c r="O186">
        <v>2</v>
      </c>
      <c r="P186">
        <v>273</v>
      </c>
      <c r="Q186" s="6">
        <f t="shared" si="17"/>
        <v>2388.1645416666665</v>
      </c>
    </row>
    <row r="187" spans="1:17" ht="30" customHeight="1">
      <c r="A187" s="17" t="s">
        <v>578</v>
      </c>
      <c r="B187" s="5" t="str">
        <f>IF(A187="","",IF(COUNTIF(Catalogo!$A$5:$A$905,A187)=0,"SKU no encontrado",INDEX(Catalogo!$B$5:$B$905,MATCH(A187,Catalogo!$A$5:$A$905,0))))</f>
        <v>ECO DE LOS ANDES SG PET X6 2000 PR 115 P</v>
      </c>
      <c r="C187">
        <f>IF(OR(A187="",B187="SKU no encontrado"),"",INDEX(Catalogo!$C$5:$C$905,MATCH(A187,Catalogo!$A$5:$A$905,0)))</f>
        <v>6</v>
      </c>
      <c r="D187" s="19">
        <v>46569</v>
      </c>
      <c r="E187" s="20">
        <v>163</v>
      </c>
      <c r="F187" s="12"/>
      <c r="G187" s="6">
        <f>IF(OR(A187="",B187="SKU no encontrado"),"",IF(INDEX(Catalogo!$H$5:$H$905,MATCH(A187,Catalogo!$A$5:$A$905,0))=0,"",INDEX(Catalogo!$H$5:$H$905,MATCH(A187,Catalogo!$A$5:$A$905,0))))</f>
        <v>14235.627</v>
      </c>
      <c r="H187" s="13" t="str">
        <f t="shared" si="12"/>
        <v/>
      </c>
      <c r="I187" s="6" t="str">
        <f t="shared" si="13"/>
        <v/>
      </c>
      <c r="J187" s="6" t="str">
        <f t="shared" si="14"/>
        <v/>
      </c>
      <c r="K187" s="6" t="str">
        <f t="shared" si="15"/>
        <v/>
      </c>
      <c r="L187" t="str">
        <f t="shared" si="16"/>
        <v>Completar precio unitario</v>
      </c>
      <c r="M187" t="s">
        <v>1839</v>
      </c>
      <c r="N187" s="18">
        <v>163</v>
      </c>
      <c r="O187">
        <v>1</v>
      </c>
      <c r="P187">
        <v>284</v>
      </c>
      <c r="Q187" s="6">
        <f t="shared" si="17"/>
        <v>2372.6044999999999</v>
      </c>
    </row>
    <row r="188" spans="1:17" ht="30" customHeight="1">
      <c r="A188" s="17" t="s">
        <v>62</v>
      </c>
      <c r="B188" s="5" t="str">
        <f>IF(A188="","",IF(COUNTIF(Catalogo!$A$5:$A$905,A188)=0,"SKU no encontrado",INDEX(Catalogo!$B$5:$B$905,MATCH(A188,Catalogo!$A$5:$A$905,0))))</f>
        <v>RED BULL CAN 6X4 250</v>
      </c>
      <c r="C188">
        <f>IF(OR(A188="",B188="SKU no encontrado"),"",INDEX(Catalogo!$C$5:$C$905,MATCH(A188,Catalogo!$A$5:$A$905,0)))</f>
        <v>24</v>
      </c>
      <c r="D188" s="19">
        <v>46573</v>
      </c>
      <c r="E188" s="20">
        <v>20.666666666699999</v>
      </c>
      <c r="F188" s="12"/>
      <c r="G188" s="6">
        <f>IF(OR(A188="",B188="SKU no encontrado"),"",IF(INDEX(Catalogo!$H$5:$H$905,MATCH(A188,Catalogo!$A$5:$A$905,0))=0,"",INDEX(Catalogo!$H$5:$H$905,MATCH(A188,Catalogo!$A$5:$A$905,0))))</f>
        <v>65853.251000000004</v>
      </c>
      <c r="H188" s="13" t="str">
        <f t="shared" si="12"/>
        <v/>
      </c>
      <c r="I188" s="6" t="str">
        <f t="shared" si="13"/>
        <v/>
      </c>
      <c r="J188" s="6" t="str">
        <f t="shared" si="14"/>
        <v/>
      </c>
      <c r="K188" s="6" t="str">
        <f t="shared" si="15"/>
        <v/>
      </c>
      <c r="L188" t="str">
        <f t="shared" si="16"/>
        <v>Completar precio unitario</v>
      </c>
      <c r="M188" t="s">
        <v>1839</v>
      </c>
      <c r="N188" s="18">
        <v>20.666666666699999</v>
      </c>
      <c r="O188">
        <v>1</v>
      </c>
      <c r="P188">
        <v>288</v>
      </c>
      <c r="Q188" s="6">
        <f t="shared" si="17"/>
        <v>2743.8854583333336</v>
      </c>
    </row>
    <row r="189" spans="1:17" ht="30" customHeight="1">
      <c r="A189" s="17" t="s">
        <v>100</v>
      </c>
      <c r="B189" s="5" t="str">
        <f>IF(A189="","",IF(COUNTIF(Catalogo!$A$5:$A$905,A189)=0,"SKU no encontrado",INDEX(Catalogo!$B$5:$B$905,MATCH(A189,Catalogo!$A$5:$A$905,0))))</f>
        <v>ECO ANDES AGUAS/G * X6 PET1500#</v>
      </c>
      <c r="C189">
        <f>IF(OR(A189="",B189="SKU no encontrado"),"",INDEX(Catalogo!$C$5:$C$905,MATCH(A189,Catalogo!$A$5:$A$905,0)))</f>
        <v>6</v>
      </c>
      <c r="D189" s="19">
        <v>46574</v>
      </c>
      <c r="E189" s="20">
        <v>90.833333333300004</v>
      </c>
      <c r="F189" s="12"/>
      <c r="G189" s="6">
        <f>IF(OR(A189="",B189="SKU no encontrado"),"",IF(INDEX(Catalogo!$H$5:$H$905,MATCH(A189,Catalogo!$A$5:$A$905,0))=0,"",INDEX(Catalogo!$H$5:$H$905,MATCH(A189,Catalogo!$A$5:$A$905,0))))</f>
        <v>11775.975</v>
      </c>
      <c r="H189" s="13" t="str">
        <f t="shared" si="12"/>
        <v/>
      </c>
      <c r="I189" s="6" t="str">
        <f t="shared" si="13"/>
        <v/>
      </c>
      <c r="J189" s="6" t="str">
        <f t="shared" si="14"/>
        <v/>
      </c>
      <c r="K189" s="6" t="str">
        <f t="shared" si="15"/>
        <v/>
      </c>
      <c r="L189" t="str">
        <f t="shared" si="16"/>
        <v>Completar precio unitario</v>
      </c>
      <c r="M189" t="s">
        <v>1839</v>
      </c>
      <c r="N189" s="18">
        <v>90.833333333300004</v>
      </c>
      <c r="O189">
        <v>1</v>
      </c>
      <c r="P189">
        <v>289</v>
      </c>
      <c r="Q189" s="6">
        <f t="shared" si="17"/>
        <v>1962.6625000000001</v>
      </c>
    </row>
    <row r="190" spans="1:17" ht="30" customHeight="1">
      <c r="A190" s="17" t="s">
        <v>460</v>
      </c>
      <c r="B190" s="5" t="str">
        <f>IF(A190="","",IF(COUNTIF(Catalogo!$A$5:$A$905,A190)=0,"SKU no encontrado",INDEX(Catalogo!$B$5:$B$905,MATCH(A190,Catalogo!$A$5:$A$905,0))))</f>
        <v>ECO DE LOS ANDES SG PET X12 500 MIX 203</v>
      </c>
      <c r="C190">
        <f>IF(OR(A190="",B190="SKU no encontrado"),"",INDEX(Catalogo!$C$5:$C$905,MATCH(A190,Catalogo!$A$5:$A$905,0)))</f>
        <v>12</v>
      </c>
      <c r="D190" s="19">
        <v>46574</v>
      </c>
      <c r="E190" s="20">
        <v>26.916666666699999</v>
      </c>
      <c r="F190" s="12"/>
      <c r="G190" s="6">
        <f>IF(OR(A190="",B190="SKU no encontrado"),"",IF(INDEX(Catalogo!$H$5:$H$905,MATCH(A190,Catalogo!$A$5:$A$905,0))=0,"",INDEX(Catalogo!$H$5:$H$905,MATCH(A190,Catalogo!$A$5:$A$905,0))))</f>
        <v>18090.016</v>
      </c>
      <c r="H190" s="13" t="str">
        <f t="shared" si="12"/>
        <v/>
      </c>
      <c r="I190" s="6" t="str">
        <f t="shared" si="13"/>
        <v/>
      </c>
      <c r="J190" s="6" t="str">
        <f t="shared" si="14"/>
        <v/>
      </c>
      <c r="K190" s="6" t="str">
        <f t="shared" si="15"/>
        <v/>
      </c>
      <c r="L190" t="str">
        <f t="shared" si="16"/>
        <v>Completar precio unitario</v>
      </c>
      <c r="M190" t="s">
        <v>1839</v>
      </c>
      <c r="N190" s="18">
        <v>26.916666666699999</v>
      </c>
      <c r="O190">
        <v>1</v>
      </c>
      <c r="P190">
        <v>289</v>
      </c>
      <c r="Q190" s="6">
        <f t="shared" si="17"/>
        <v>1507.5013333333334</v>
      </c>
    </row>
    <row r="191" spans="1:17" ht="30" customHeight="1">
      <c r="A191" s="17" t="s">
        <v>336</v>
      </c>
      <c r="B191" s="5" t="str">
        <f>IF(A191="","",IF(COUNTIF(Catalogo!$A$5:$A$905,A191)=0,"SKU no encontrado",INDEX(Catalogo!$B$5:$B$905,MATCH(A191,Catalogo!$A$5:$A$905,0))))</f>
        <v>GLACIAR AGUAS/G * X6 PET1500#</v>
      </c>
      <c r="C191">
        <f>IF(OR(A191="",B191="SKU no encontrado"),"",INDEX(Catalogo!$C$5:$C$905,MATCH(A191,Catalogo!$A$5:$A$905,0)))</f>
        <v>6</v>
      </c>
      <c r="D191" s="19">
        <v>46582</v>
      </c>
      <c r="E191" s="20">
        <v>19.5</v>
      </c>
      <c r="F191" s="12"/>
      <c r="G191" s="6">
        <f>IF(OR(A191="",B191="SKU no encontrado"),"",IF(INDEX(Catalogo!$H$5:$H$905,MATCH(A191,Catalogo!$A$5:$A$905,0))=0,"",INDEX(Catalogo!$H$5:$H$905,MATCH(A191,Catalogo!$A$5:$A$905,0))))</f>
        <v>12615.442999999999</v>
      </c>
      <c r="H191" s="13" t="str">
        <f t="shared" si="12"/>
        <v/>
      </c>
      <c r="I191" s="6" t="str">
        <f t="shared" si="13"/>
        <v/>
      </c>
      <c r="J191" s="6" t="str">
        <f t="shared" si="14"/>
        <v/>
      </c>
      <c r="K191" s="6" t="str">
        <f t="shared" si="15"/>
        <v/>
      </c>
      <c r="L191" t="str">
        <f t="shared" si="16"/>
        <v>Completar precio unitario</v>
      </c>
      <c r="M191" t="s">
        <v>1839</v>
      </c>
      <c r="N191" s="18">
        <v>19.5</v>
      </c>
      <c r="O191">
        <v>2</v>
      </c>
      <c r="P191">
        <v>297</v>
      </c>
      <c r="Q191" s="6">
        <f t="shared" si="17"/>
        <v>2102.5738333333334</v>
      </c>
    </row>
    <row r="192" spans="1:17" ht="30" customHeight="1">
      <c r="A192" s="17" t="s">
        <v>539</v>
      </c>
      <c r="B192" s="5" t="str">
        <f>IF(A192="","",IF(COUNTIF(Catalogo!$A$5:$A$905,A192)=0,"SKU no encontrado",INDEX(Catalogo!$B$5:$B$905,MATCH(A192,Catalogo!$A$5:$A$905,0))))</f>
        <v>NPV SG PET X6 1500 PR 1.5L S/G</v>
      </c>
      <c r="C192">
        <f>IF(OR(A192="",B192="SKU no encontrado"),"",INDEX(Catalogo!$C$5:$C$905,MATCH(A192,Catalogo!$A$5:$A$905,0)))</f>
        <v>6</v>
      </c>
      <c r="D192" s="19">
        <v>46584</v>
      </c>
      <c r="E192" s="20">
        <v>91</v>
      </c>
      <c r="F192" s="12"/>
      <c r="G192" s="6">
        <f>IF(OR(A192="",B192="SKU no encontrado"),"",IF(INDEX(Catalogo!$H$5:$H$905,MATCH(A192,Catalogo!$A$5:$A$905,0))=0,"",INDEX(Catalogo!$H$5:$H$905,MATCH(A192,Catalogo!$A$5:$A$905,0))))</f>
        <v>9679.0679999999993</v>
      </c>
      <c r="H192" s="13" t="str">
        <f t="shared" si="12"/>
        <v/>
      </c>
      <c r="I192" s="6" t="str">
        <f t="shared" si="13"/>
        <v/>
      </c>
      <c r="J192" s="6" t="str">
        <f t="shared" si="14"/>
        <v/>
      </c>
      <c r="K192" s="6" t="str">
        <f t="shared" si="15"/>
        <v/>
      </c>
      <c r="L192" t="str">
        <f t="shared" si="16"/>
        <v>Completar precio unitario</v>
      </c>
      <c r="M192" t="s">
        <v>1839</v>
      </c>
      <c r="N192" s="18">
        <v>91</v>
      </c>
      <c r="O192">
        <v>1</v>
      </c>
      <c r="P192">
        <v>299</v>
      </c>
      <c r="Q192" s="6">
        <f t="shared" si="17"/>
        <v>1613.1779999999999</v>
      </c>
    </row>
    <row r="193" spans="1:17" ht="30" customHeight="1">
      <c r="A193" s="17" t="s">
        <v>603</v>
      </c>
      <c r="B193" s="5" t="str">
        <f>IF(A193="","",IF(COUNTIF(Catalogo!$A$5:$A$905,A193)=0,"SKU no encontrado",INDEX(Catalogo!$B$5:$B$905,MATCH(A193,Catalogo!$A$5:$A$905,0))))</f>
        <v>ECO DE LOS ANDES SG PET X6 1000 - 192 PC</v>
      </c>
      <c r="C193">
        <f>IF(OR(A193="",B193="SKU no encontrado"),"",INDEX(Catalogo!$C$5:$C$905,MATCH(A193,Catalogo!$A$5:$A$905,0)))</f>
        <v>6</v>
      </c>
      <c r="D193" s="19">
        <v>46589</v>
      </c>
      <c r="E193" s="20">
        <v>127</v>
      </c>
      <c r="F193" s="12"/>
      <c r="G193" s="6">
        <f>IF(OR(A193="",B193="SKU no encontrado"),"",IF(INDEX(Catalogo!$H$5:$H$905,MATCH(A193,Catalogo!$A$5:$A$905,0))=0,"",INDEX(Catalogo!$H$5:$H$905,MATCH(A193,Catalogo!$A$5:$A$905,0))))</f>
        <v>13226.918</v>
      </c>
      <c r="H193" s="13" t="str">
        <f t="shared" si="12"/>
        <v/>
      </c>
      <c r="I193" s="6" t="str">
        <f t="shared" si="13"/>
        <v/>
      </c>
      <c r="J193" s="6" t="str">
        <f t="shared" si="14"/>
        <v/>
      </c>
      <c r="K193" s="6" t="str">
        <f t="shared" si="15"/>
        <v/>
      </c>
      <c r="L193" t="str">
        <f t="shared" si="16"/>
        <v>Completar precio unitario</v>
      </c>
      <c r="M193" t="s">
        <v>1839</v>
      </c>
      <c r="N193" s="18">
        <v>127</v>
      </c>
      <c r="O193">
        <v>1</v>
      </c>
      <c r="P193">
        <v>304</v>
      </c>
      <c r="Q193" s="6">
        <f t="shared" si="17"/>
        <v>2204.4863333333333</v>
      </c>
    </row>
    <row r="194" spans="1:17" ht="30" customHeight="1">
      <c r="A194" s="17" t="s">
        <v>541</v>
      </c>
      <c r="B194" s="5" t="str">
        <f>IF(A194="","",IF(COUNTIF(Catalogo!$A$5:$A$905,A194)=0,"SKU no encontrado",INDEX(Catalogo!$B$5:$B$905,MATCH(A194,Catalogo!$A$5:$A$905,0))))</f>
        <v>NPV SG PET X6 2250 PR 2.25L S/G</v>
      </c>
      <c r="C194">
        <f>IF(OR(A194="",B194="SKU no encontrado"),"",INDEX(Catalogo!$C$5:$C$905,MATCH(A194,Catalogo!$A$5:$A$905,0)))</f>
        <v>6</v>
      </c>
      <c r="D194" s="19">
        <v>46596</v>
      </c>
      <c r="E194" s="20">
        <v>45.166666666700003</v>
      </c>
      <c r="F194" s="12"/>
      <c r="G194" s="6">
        <f>IF(OR(A194="",B194="SKU no encontrado"),"",IF(INDEX(Catalogo!$H$5:$H$905,MATCH(A194,Catalogo!$A$5:$A$905,0))=0,"",INDEX(Catalogo!$H$5:$H$905,MATCH(A194,Catalogo!$A$5:$A$905,0))))</f>
        <v>12629.821</v>
      </c>
      <c r="H194" s="13" t="str">
        <f t="shared" si="12"/>
        <v/>
      </c>
      <c r="I194" s="6" t="str">
        <f t="shared" si="13"/>
        <v/>
      </c>
      <c r="J194" s="6" t="str">
        <f t="shared" si="14"/>
        <v/>
      </c>
      <c r="K194" s="6" t="str">
        <f t="shared" si="15"/>
        <v/>
      </c>
      <c r="L194" t="str">
        <f t="shared" si="16"/>
        <v>Completar precio unitario</v>
      </c>
      <c r="M194" t="s">
        <v>1839</v>
      </c>
      <c r="N194" s="18">
        <v>45.166666666700003</v>
      </c>
      <c r="O194">
        <v>1</v>
      </c>
      <c r="P194">
        <v>311</v>
      </c>
      <c r="Q194" s="6">
        <f t="shared" si="17"/>
        <v>2104.9701666666665</v>
      </c>
    </row>
    <row r="195" spans="1:17" ht="30" customHeight="1">
      <c r="A195" s="17" t="s">
        <v>100</v>
      </c>
      <c r="B195" s="5" t="str">
        <f>IF(A195="","",IF(COUNTIF(Catalogo!$A$5:$A$905,A195)=0,"SKU no encontrado",INDEX(Catalogo!$B$5:$B$905,MATCH(A195,Catalogo!$A$5:$A$905,0))))</f>
        <v>ECO ANDES AGUAS/G * X6 PET1500#</v>
      </c>
      <c r="C195">
        <f>IF(OR(A195="",B195="SKU no encontrado"),"",INDEX(Catalogo!$C$5:$C$905,MATCH(A195,Catalogo!$A$5:$A$905,0)))</f>
        <v>6</v>
      </c>
      <c r="D195" s="19">
        <v>46597</v>
      </c>
      <c r="E195" s="20">
        <v>280</v>
      </c>
      <c r="F195" s="12"/>
      <c r="G195" s="6">
        <f>IF(OR(A195="",B195="SKU no encontrado"),"",IF(INDEX(Catalogo!$H$5:$H$905,MATCH(A195,Catalogo!$A$5:$A$905,0))=0,"",INDEX(Catalogo!$H$5:$H$905,MATCH(A195,Catalogo!$A$5:$A$905,0))))</f>
        <v>11775.975</v>
      </c>
      <c r="H195" s="13" t="str">
        <f t="shared" si="12"/>
        <v/>
      </c>
      <c r="I195" s="6" t="str">
        <f t="shared" si="13"/>
        <v/>
      </c>
      <c r="J195" s="6" t="str">
        <f t="shared" si="14"/>
        <v/>
      </c>
      <c r="K195" s="6" t="str">
        <f t="shared" si="15"/>
        <v/>
      </c>
      <c r="L195" t="str">
        <f t="shared" si="16"/>
        <v>Completar precio unitario</v>
      </c>
      <c r="M195" t="s">
        <v>1839</v>
      </c>
      <c r="N195" s="18">
        <v>280</v>
      </c>
      <c r="O195">
        <v>2</v>
      </c>
      <c r="P195">
        <v>312</v>
      </c>
      <c r="Q195" s="6">
        <f t="shared" si="17"/>
        <v>1962.6625000000001</v>
      </c>
    </row>
    <row r="196" spans="1:17" ht="30" customHeight="1">
      <c r="A196" s="17" t="s">
        <v>539</v>
      </c>
      <c r="B196" s="5" t="str">
        <f>IF(A196="","",IF(COUNTIF(Catalogo!$A$5:$A$905,A196)=0,"SKU no encontrado",INDEX(Catalogo!$B$5:$B$905,MATCH(A196,Catalogo!$A$5:$A$905,0))))</f>
        <v>NPV SG PET X6 1500 PR 1.5L S/G</v>
      </c>
      <c r="C196">
        <f>IF(OR(A196="",B196="SKU no encontrado"),"",INDEX(Catalogo!$C$5:$C$905,MATCH(A196,Catalogo!$A$5:$A$905,0)))</f>
        <v>6</v>
      </c>
      <c r="D196" s="19">
        <v>46598</v>
      </c>
      <c r="E196" s="20">
        <v>47.833333333299997</v>
      </c>
      <c r="F196" s="12"/>
      <c r="G196" s="6">
        <f>IF(OR(A196="",B196="SKU no encontrado"),"",IF(INDEX(Catalogo!$H$5:$H$905,MATCH(A196,Catalogo!$A$5:$A$905,0))=0,"",INDEX(Catalogo!$H$5:$H$905,MATCH(A196,Catalogo!$A$5:$A$905,0))))</f>
        <v>9679.0679999999993</v>
      </c>
      <c r="H196" s="13" t="str">
        <f t="shared" si="12"/>
        <v/>
      </c>
      <c r="I196" s="6" t="str">
        <f t="shared" si="13"/>
        <v/>
      </c>
      <c r="J196" s="6" t="str">
        <f t="shared" si="14"/>
        <v/>
      </c>
      <c r="K196" s="6" t="str">
        <f t="shared" si="15"/>
        <v/>
      </c>
      <c r="L196" t="str">
        <f t="shared" si="16"/>
        <v>Completar precio unitario</v>
      </c>
      <c r="M196" t="s">
        <v>1839</v>
      </c>
      <c r="N196" s="18">
        <v>47.833333333299997</v>
      </c>
      <c r="O196">
        <v>2</v>
      </c>
      <c r="P196">
        <v>313</v>
      </c>
      <c r="Q196" s="6">
        <f t="shared" si="17"/>
        <v>1613.1779999999999</v>
      </c>
    </row>
    <row r="197" spans="1:17" ht="30" customHeight="1">
      <c r="A197" s="17" t="s">
        <v>342</v>
      </c>
      <c r="B197" s="5" t="str">
        <f>IF(A197="","",IF(COUNTIF(Catalogo!$A$5:$A$905,A197)=0,"SKU no encontrado",INDEX(Catalogo!$B$5:$B$905,MATCH(A197,Catalogo!$A$5:$A$905,0))))</f>
        <v>NESTLE PV AGUA ME * X12 PET 500</v>
      </c>
      <c r="C197">
        <f>IF(OR(A197="",B197="SKU no encontrado"),"",INDEX(Catalogo!$C$5:$C$905,MATCH(A197,Catalogo!$A$5:$A$905,0)))</f>
        <v>12</v>
      </c>
      <c r="D197" s="19">
        <v>46599</v>
      </c>
      <c r="E197" s="20">
        <v>0.75</v>
      </c>
      <c r="F197" s="12"/>
      <c r="G197" s="6">
        <f>IF(OR(A197="",B197="SKU no encontrado"),"",IF(INDEX(Catalogo!$H$5:$H$905,MATCH(A197,Catalogo!$A$5:$A$905,0))=0,"",INDEX(Catalogo!$H$5:$H$905,MATCH(A197,Catalogo!$A$5:$A$905,0))))</f>
        <v>16492.048999999999</v>
      </c>
      <c r="H197" s="13" t="str">
        <f t="shared" ref="H197:H260" si="18">IF(OR(M197="ELIMINAR",G197="",F197="",F197&lt;0,C197&lt;=0,F197*C197&gt;G197,E197&gt;N197),"",1-F197*C197/G197)</f>
        <v/>
      </c>
      <c r="I197" s="6" t="str">
        <f t="shared" ref="I197:I260" si="19">IF(H197="","",G197-F197*C197)</f>
        <v/>
      </c>
      <c r="J197" s="6" t="str">
        <f t="shared" ref="J197:J260" si="20">IF(OR(I197="",E197="",E197&lt;=0),"",I197*E197)</f>
        <v/>
      </c>
      <c r="K197" s="6" t="str">
        <f t="shared" ref="K197:K215" si="21">IF(OR(H197="",C197&lt;=0),"",F197*C197)</f>
        <v/>
      </c>
      <c r="L197" t="str">
        <f t="shared" ref="L197:L260" si="22">IF(M197="ELIMINAR","ELIMINAR según origen",IF(G197="","Sin precio válido",IF(C197&lt;=0,"Sin unidades por bulto",IF(F197="","Completar precio unitario",IF(OR(F197&lt;0,F197*C197&gt;G197),"Revisar precio unitario",IF(OR(E197&lt;=0,E197&gt;N197),"Revisar bultos vs. stock","Estimado proporcional"))))))</f>
        <v>Completar precio unitario</v>
      </c>
      <c r="M197" t="s">
        <v>1839</v>
      </c>
      <c r="N197" s="18">
        <v>0.75</v>
      </c>
      <c r="O197">
        <v>1</v>
      </c>
      <c r="P197">
        <v>314</v>
      </c>
      <c r="Q197" s="6">
        <f t="shared" ref="Q197:Q215" si="23">IF(OR(G197="",C197&lt;=0),"",G197/C197)</f>
        <v>1374.3374166666665</v>
      </c>
    </row>
    <row r="198" spans="1:17" ht="30" customHeight="1">
      <c r="A198" s="17" t="s">
        <v>460</v>
      </c>
      <c r="B198" s="5" t="str">
        <f>IF(A198="","",IF(COUNTIF(Catalogo!$A$5:$A$905,A198)=0,"SKU no encontrado",INDEX(Catalogo!$B$5:$B$905,MATCH(A198,Catalogo!$A$5:$A$905,0))))</f>
        <v>ECO DE LOS ANDES SG PET X12 500 MIX 203</v>
      </c>
      <c r="C198">
        <f>IF(OR(A198="",B198="SKU no encontrado"),"",INDEX(Catalogo!$C$5:$C$905,MATCH(A198,Catalogo!$A$5:$A$905,0)))</f>
        <v>12</v>
      </c>
      <c r="D198" s="19">
        <v>46600</v>
      </c>
      <c r="E198" s="20">
        <v>1015</v>
      </c>
      <c r="F198" s="12"/>
      <c r="G198" s="6">
        <f>IF(OR(A198="",B198="SKU no encontrado"),"",IF(INDEX(Catalogo!$H$5:$H$905,MATCH(A198,Catalogo!$A$5:$A$905,0))=0,"",INDEX(Catalogo!$H$5:$H$905,MATCH(A198,Catalogo!$A$5:$A$905,0))))</f>
        <v>18090.016</v>
      </c>
      <c r="H198" s="13" t="str">
        <f t="shared" si="18"/>
        <v/>
      </c>
      <c r="I198" s="6" t="str">
        <f t="shared" si="19"/>
        <v/>
      </c>
      <c r="J198" s="6" t="str">
        <f t="shared" si="20"/>
        <v/>
      </c>
      <c r="K198" s="6" t="str">
        <f t="shared" si="21"/>
        <v/>
      </c>
      <c r="L198" t="str">
        <f t="shared" si="22"/>
        <v>Completar precio unitario</v>
      </c>
      <c r="M198" t="s">
        <v>1839</v>
      </c>
      <c r="N198" s="18">
        <v>1015</v>
      </c>
      <c r="O198">
        <v>2</v>
      </c>
      <c r="P198">
        <v>315</v>
      </c>
      <c r="Q198" s="6">
        <f t="shared" si="23"/>
        <v>1507.5013333333334</v>
      </c>
    </row>
    <row r="199" spans="1:17" ht="30" customHeight="1">
      <c r="A199" s="17" t="s">
        <v>460</v>
      </c>
      <c r="B199" s="5" t="str">
        <f>IF(A199="","",IF(COUNTIF(Catalogo!$A$5:$A$905,A199)=0,"SKU no encontrado",INDEX(Catalogo!$B$5:$B$905,MATCH(A199,Catalogo!$A$5:$A$905,0))))</f>
        <v>ECO DE LOS ANDES SG PET X12 500 MIX 203</v>
      </c>
      <c r="C199">
        <f>IF(OR(A199="",B199="SKU no encontrado"),"",INDEX(Catalogo!$C$5:$C$905,MATCH(A199,Catalogo!$A$5:$A$905,0)))</f>
        <v>12</v>
      </c>
      <c r="D199" s="19">
        <v>46602</v>
      </c>
      <c r="E199" s="20">
        <v>96.833333333300004</v>
      </c>
      <c r="F199" s="12"/>
      <c r="G199" s="6">
        <f>IF(OR(A199="",B199="SKU no encontrado"),"",IF(INDEX(Catalogo!$H$5:$H$905,MATCH(A199,Catalogo!$A$5:$A$905,0))=0,"",INDEX(Catalogo!$H$5:$H$905,MATCH(A199,Catalogo!$A$5:$A$905,0))))</f>
        <v>18090.016</v>
      </c>
      <c r="H199" s="13" t="str">
        <f t="shared" si="18"/>
        <v/>
      </c>
      <c r="I199" s="6" t="str">
        <f t="shared" si="19"/>
        <v/>
      </c>
      <c r="J199" s="6" t="str">
        <f t="shared" si="20"/>
        <v/>
      </c>
      <c r="K199" s="6" t="str">
        <f t="shared" si="21"/>
        <v/>
      </c>
      <c r="L199" t="str">
        <f t="shared" si="22"/>
        <v>Completar precio unitario</v>
      </c>
      <c r="M199" t="s">
        <v>1839</v>
      </c>
      <c r="N199" s="18">
        <v>96.833333333300004</v>
      </c>
      <c r="O199">
        <v>3</v>
      </c>
      <c r="P199">
        <v>317</v>
      </c>
      <c r="Q199" s="6">
        <f t="shared" si="23"/>
        <v>1507.5013333333334</v>
      </c>
    </row>
    <row r="200" spans="1:17" ht="30" customHeight="1">
      <c r="A200" s="17" t="s">
        <v>535</v>
      </c>
      <c r="B200" s="5" t="str">
        <f>IF(A200="","",IF(COUNTIF(Catalogo!$A$5:$A$905,A200)=0,"SKU no encontrado",INDEX(Catalogo!$B$5:$B$905,MATCH(A200,Catalogo!$A$5:$A$905,0))))</f>
        <v>NPV SG PET X12 500 PR 0.5L S/G</v>
      </c>
      <c r="C200">
        <f>IF(OR(A200="",B200="SKU no encontrado"),"",INDEX(Catalogo!$C$5:$C$905,MATCH(A200,Catalogo!$A$5:$A$905,0)))</f>
        <v>12</v>
      </c>
      <c r="D200" s="19">
        <v>46602</v>
      </c>
      <c r="E200" s="20">
        <v>394</v>
      </c>
      <c r="F200" s="12"/>
      <c r="G200" s="6">
        <f>IF(OR(A200="",B200="SKU no encontrado"),"",IF(INDEX(Catalogo!$H$5:$H$905,MATCH(A200,Catalogo!$A$5:$A$905,0))=0,"",INDEX(Catalogo!$H$5:$H$905,MATCH(A200,Catalogo!$A$5:$A$905,0))))</f>
        <v>16492.048999999999</v>
      </c>
      <c r="H200" s="13" t="str">
        <f t="shared" si="18"/>
        <v/>
      </c>
      <c r="I200" s="6" t="str">
        <f t="shared" si="19"/>
        <v/>
      </c>
      <c r="J200" s="6" t="str">
        <f t="shared" si="20"/>
        <v/>
      </c>
      <c r="K200" s="6" t="str">
        <f t="shared" si="21"/>
        <v/>
      </c>
      <c r="L200" t="str">
        <f t="shared" si="22"/>
        <v>Completar precio unitario</v>
      </c>
      <c r="M200" t="s">
        <v>1839</v>
      </c>
      <c r="N200" s="18">
        <v>394</v>
      </c>
      <c r="O200">
        <v>1</v>
      </c>
      <c r="P200">
        <v>314</v>
      </c>
      <c r="Q200" s="6">
        <f t="shared" si="23"/>
        <v>1374.3374166666665</v>
      </c>
    </row>
    <row r="201" spans="1:17" ht="30" customHeight="1">
      <c r="A201" s="17" t="s">
        <v>1002</v>
      </c>
      <c r="B201" s="5" t="str">
        <f>IF(A201="","",IF(COUNTIF(Catalogo!$A$5:$A$905,A201)=0,"SKU no encontrado",INDEX(Catalogo!$B$5:$B$905,MATCH(A201,Catalogo!$A$5:$A$905,0))))</f>
        <v>GLACIAR PET X2 6.400CC</v>
      </c>
      <c r="C201">
        <f>IF(OR(A201="",B201="SKU no encontrado"),"",INDEX(Catalogo!$C$5:$C$905,MATCH(A201,Catalogo!$A$5:$A$905,0)))</f>
        <v>2</v>
      </c>
      <c r="D201" s="19">
        <v>46604</v>
      </c>
      <c r="E201" s="20">
        <v>409</v>
      </c>
      <c r="F201" s="12"/>
      <c r="G201" s="6">
        <f>IF(OR(A201="",B201="SKU no encontrado"),"",IF(INDEX(Catalogo!$H$5:$H$905,MATCH(A201,Catalogo!$A$5:$A$905,0))=0,"",INDEX(Catalogo!$H$5:$H$905,MATCH(A201,Catalogo!$A$5:$A$905,0))))</f>
        <v>12068.382</v>
      </c>
      <c r="H201" s="13" t="str">
        <f t="shared" si="18"/>
        <v/>
      </c>
      <c r="I201" s="6" t="str">
        <f t="shared" si="19"/>
        <v/>
      </c>
      <c r="J201" s="6" t="str">
        <f t="shared" si="20"/>
        <v/>
      </c>
      <c r="K201" s="6" t="str">
        <f t="shared" si="21"/>
        <v/>
      </c>
      <c r="L201" t="str">
        <f t="shared" si="22"/>
        <v>Completar precio unitario</v>
      </c>
      <c r="M201" t="s">
        <v>1839</v>
      </c>
      <c r="N201" s="18">
        <v>409</v>
      </c>
      <c r="O201">
        <v>1</v>
      </c>
      <c r="P201">
        <v>319</v>
      </c>
      <c r="Q201" s="6">
        <f t="shared" si="23"/>
        <v>6034.1909999999998</v>
      </c>
    </row>
    <row r="202" spans="1:17" ht="30" customHeight="1">
      <c r="A202" s="17" t="s">
        <v>970</v>
      </c>
      <c r="B202" s="5" t="str">
        <f>IF(A202="","",IF(COUNTIF(Catalogo!$A$5:$A$905,A202)=0,"SKU no encontrado",INDEX(Catalogo!$B$5:$B$905,MATCH(A202,Catalogo!$A$5:$A$905,0))))</f>
        <v>GLACIAR SG PET X12 500CC 208 PACKS</v>
      </c>
      <c r="C202">
        <f>IF(OR(A202="",B202="SKU no encontrado"),"",INDEX(Catalogo!$C$5:$C$905,MATCH(A202,Catalogo!$A$5:$A$905,0)))</f>
        <v>12</v>
      </c>
      <c r="D202" s="19">
        <v>46605</v>
      </c>
      <c r="E202" s="20">
        <v>260</v>
      </c>
      <c r="F202" s="12"/>
      <c r="G202" s="6">
        <f>IF(OR(A202="",B202="SKU no encontrado"),"",IF(INDEX(Catalogo!$H$5:$H$905,MATCH(A202,Catalogo!$A$5:$A$905,0))=0,"",INDEX(Catalogo!$H$5:$H$905,MATCH(A202,Catalogo!$A$5:$A$905,0))))</f>
        <v>19226.436000000002</v>
      </c>
      <c r="H202" s="13" t="str">
        <f t="shared" si="18"/>
        <v/>
      </c>
      <c r="I202" s="6" t="str">
        <f t="shared" si="19"/>
        <v/>
      </c>
      <c r="J202" s="6" t="str">
        <f t="shared" si="20"/>
        <v/>
      </c>
      <c r="K202" s="6" t="str">
        <f t="shared" si="21"/>
        <v/>
      </c>
      <c r="L202" t="str">
        <f t="shared" si="22"/>
        <v>Completar precio unitario</v>
      </c>
      <c r="M202" t="s">
        <v>1839</v>
      </c>
      <c r="N202" s="18">
        <v>260</v>
      </c>
      <c r="O202">
        <v>2</v>
      </c>
      <c r="P202">
        <v>320</v>
      </c>
      <c r="Q202" s="6">
        <f t="shared" si="23"/>
        <v>1602.2030000000002</v>
      </c>
    </row>
    <row r="203" spans="1:17" ht="30" customHeight="1">
      <c r="A203" s="17" t="s">
        <v>990</v>
      </c>
      <c r="B203" s="5" t="str">
        <f>IF(A203="","",IF(COUNTIF(Catalogo!$A$5:$A$905,A203)=0,"SKU no encontrado",INDEX(Catalogo!$B$5:$B$905,MATCH(A203,Catalogo!$A$5:$A$905,0))))</f>
        <v>GLACIAR PET X6 2L</v>
      </c>
      <c r="C203">
        <f>IF(OR(A203="",B203="SKU no encontrado"),"",INDEX(Catalogo!$C$5:$C$905,MATCH(A203,Catalogo!$A$5:$A$905,0)))</f>
        <v>6</v>
      </c>
      <c r="D203" s="19">
        <v>46606</v>
      </c>
      <c r="E203" s="20">
        <v>213</v>
      </c>
      <c r="F203" s="12"/>
      <c r="G203" s="6">
        <f>IF(OR(A203="",B203="SKU no encontrado"),"",IF(INDEX(Catalogo!$H$5:$H$905,MATCH(A203,Catalogo!$A$5:$A$905,0))=0,"",INDEX(Catalogo!$H$5:$H$905,MATCH(A203,Catalogo!$A$5:$A$905,0))))</f>
        <v>14895.165999999999</v>
      </c>
      <c r="H203" s="13" t="str">
        <f t="shared" si="18"/>
        <v/>
      </c>
      <c r="I203" s="6" t="str">
        <f t="shared" si="19"/>
        <v/>
      </c>
      <c r="J203" s="6" t="str">
        <f t="shared" si="20"/>
        <v/>
      </c>
      <c r="K203" s="6" t="str">
        <f t="shared" si="21"/>
        <v/>
      </c>
      <c r="L203" t="str">
        <f t="shared" si="22"/>
        <v>Completar precio unitario</v>
      </c>
      <c r="M203" t="s">
        <v>1839</v>
      </c>
      <c r="N203" s="18">
        <v>213</v>
      </c>
      <c r="O203">
        <v>1</v>
      </c>
      <c r="P203">
        <v>321</v>
      </c>
      <c r="Q203" s="6">
        <f t="shared" si="23"/>
        <v>2482.5276666666664</v>
      </c>
    </row>
    <row r="204" spans="1:17" ht="30" customHeight="1">
      <c r="A204" s="17" t="s">
        <v>952</v>
      </c>
      <c r="B204" s="5" t="str">
        <f>IF(A204="","",IF(COUNTIF(Catalogo!$A$5:$A$905,A204)=0,"SKU no encontrado",INDEX(Catalogo!$B$5:$B$905,MATCH(A204,Catalogo!$A$5:$A$905,0))))</f>
        <v>NESTLE PUREZA VITAL PET X2 6,4L</v>
      </c>
      <c r="C204">
        <f>IF(OR(A204="",B204="SKU no encontrado"),"",INDEX(Catalogo!$C$5:$C$905,MATCH(A204,Catalogo!$A$5:$A$905,0)))</f>
        <v>2</v>
      </c>
      <c r="D204" s="19">
        <v>46609</v>
      </c>
      <c r="E204" s="20">
        <v>448</v>
      </c>
      <c r="F204" s="12"/>
      <c r="G204" s="6">
        <f>IF(OR(A204="",B204="SKU no encontrado"),"",IF(INDEX(Catalogo!$H$5:$H$905,MATCH(A204,Catalogo!$A$5:$A$905,0))=0,"",INDEX(Catalogo!$H$5:$H$905,MATCH(A204,Catalogo!$A$5:$A$905,0))))</f>
        <v>9753.1209999999992</v>
      </c>
      <c r="H204" s="13" t="str">
        <f t="shared" si="18"/>
        <v/>
      </c>
      <c r="I204" s="6" t="str">
        <f t="shared" si="19"/>
        <v/>
      </c>
      <c r="J204" s="6" t="str">
        <f t="shared" si="20"/>
        <v/>
      </c>
      <c r="K204" s="6" t="str">
        <f t="shared" si="21"/>
        <v/>
      </c>
      <c r="L204" t="str">
        <f t="shared" si="22"/>
        <v>Completar precio unitario</v>
      </c>
      <c r="M204" t="s">
        <v>1839</v>
      </c>
      <c r="N204" s="18">
        <v>448</v>
      </c>
      <c r="O204">
        <v>1</v>
      </c>
      <c r="P204">
        <v>324</v>
      </c>
      <c r="Q204" s="6">
        <f t="shared" si="23"/>
        <v>4876.5604999999996</v>
      </c>
    </row>
    <row r="205" spans="1:17" ht="30" customHeight="1">
      <c r="A205" s="17" t="s">
        <v>952</v>
      </c>
      <c r="B205" s="5" t="str">
        <f>IF(A205="","",IF(COUNTIF(Catalogo!$A$5:$A$905,A205)=0,"SKU no encontrado",INDEX(Catalogo!$B$5:$B$905,MATCH(A205,Catalogo!$A$5:$A$905,0))))</f>
        <v>NESTLE PUREZA VITAL PET X2 6,4L</v>
      </c>
      <c r="C205">
        <f>IF(OR(A205="",B205="SKU no encontrado"),"",INDEX(Catalogo!$C$5:$C$905,MATCH(A205,Catalogo!$A$5:$A$905,0)))</f>
        <v>2</v>
      </c>
      <c r="D205" s="19">
        <v>46610</v>
      </c>
      <c r="E205" s="20">
        <v>0.5</v>
      </c>
      <c r="F205" s="12"/>
      <c r="G205" s="6">
        <f>IF(OR(A205="",B205="SKU no encontrado"),"",IF(INDEX(Catalogo!$H$5:$H$905,MATCH(A205,Catalogo!$A$5:$A$905,0))=0,"",INDEX(Catalogo!$H$5:$H$905,MATCH(A205,Catalogo!$A$5:$A$905,0))))</f>
        <v>9753.1209999999992</v>
      </c>
      <c r="H205" s="13" t="str">
        <f t="shared" si="18"/>
        <v/>
      </c>
      <c r="I205" s="6" t="str">
        <f t="shared" si="19"/>
        <v/>
      </c>
      <c r="J205" s="6" t="str">
        <f t="shared" si="20"/>
        <v/>
      </c>
      <c r="K205" s="6" t="str">
        <f t="shared" si="21"/>
        <v/>
      </c>
      <c r="L205" t="str">
        <f t="shared" si="22"/>
        <v>Completar precio unitario</v>
      </c>
      <c r="M205" t="s">
        <v>1839</v>
      </c>
      <c r="N205" s="18">
        <v>0.5</v>
      </c>
      <c r="O205">
        <v>2</v>
      </c>
      <c r="P205">
        <v>325</v>
      </c>
      <c r="Q205" s="6">
        <f t="shared" si="23"/>
        <v>4876.5604999999996</v>
      </c>
    </row>
    <row r="206" spans="1:17" ht="30" customHeight="1">
      <c r="A206" s="17" t="s">
        <v>63</v>
      </c>
      <c r="B206" s="5" t="str">
        <f>IF(A206="","",IF(COUNTIF(Catalogo!$A$5:$A$905,A206)=0,"SKU no encontrado",INDEX(Catalogo!$B$5:$B$905,MATCH(A206,Catalogo!$A$5:$A$905,0))))</f>
        <v>GLACIAR SG PET X6 750 222 PC</v>
      </c>
      <c r="C206">
        <f>IF(OR(A206="",B206="SKU no encontrado"),"",INDEX(Catalogo!$C$5:$C$905,MATCH(A206,Catalogo!$A$5:$A$905,0)))</f>
        <v>6</v>
      </c>
      <c r="D206" s="19">
        <v>46618</v>
      </c>
      <c r="E206" s="20">
        <v>425.5</v>
      </c>
      <c r="F206" s="12"/>
      <c r="G206" s="6">
        <f>IF(OR(A206="",B206="SKU no encontrado"),"",IF(INDEX(Catalogo!$H$5:$H$905,MATCH(A206,Catalogo!$A$5:$A$905,0))=0,"",INDEX(Catalogo!$H$5:$H$905,MATCH(A206,Catalogo!$A$5:$A$905,0))))</f>
        <v>10016.942999999999</v>
      </c>
      <c r="H206" s="13" t="str">
        <f t="shared" si="18"/>
        <v/>
      </c>
      <c r="I206" s="6" t="str">
        <f t="shared" si="19"/>
        <v/>
      </c>
      <c r="J206" s="6" t="str">
        <f t="shared" si="20"/>
        <v/>
      </c>
      <c r="K206" s="6" t="str">
        <f t="shared" si="21"/>
        <v/>
      </c>
      <c r="L206" t="str">
        <f t="shared" si="22"/>
        <v>Completar precio unitario</v>
      </c>
      <c r="M206" t="s">
        <v>1839</v>
      </c>
      <c r="N206" s="18">
        <v>425.5</v>
      </c>
      <c r="O206">
        <v>1</v>
      </c>
      <c r="P206">
        <v>333</v>
      </c>
      <c r="Q206" s="6">
        <f t="shared" si="23"/>
        <v>1669.4904999999999</v>
      </c>
    </row>
    <row r="207" spans="1:17" ht="30" customHeight="1">
      <c r="A207" s="17" t="s">
        <v>990</v>
      </c>
      <c r="B207" s="5" t="str">
        <f>IF(A207="","",IF(COUNTIF(Catalogo!$A$5:$A$905,A207)=0,"SKU no encontrado",INDEX(Catalogo!$B$5:$B$905,MATCH(A207,Catalogo!$A$5:$A$905,0))))</f>
        <v>GLACIAR PET X6 2L</v>
      </c>
      <c r="C207">
        <f>IF(OR(A207="",B207="SKU no encontrado"),"",INDEX(Catalogo!$C$5:$C$905,MATCH(A207,Catalogo!$A$5:$A$905,0)))</f>
        <v>6</v>
      </c>
      <c r="D207" s="19">
        <v>46624</v>
      </c>
      <c r="E207" s="20">
        <v>115</v>
      </c>
      <c r="F207" s="12"/>
      <c r="G207" s="6">
        <f>IF(OR(A207="",B207="SKU no encontrado"),"",IF(INDEX(Catalogo!$H$5:$H$905,MATCH(A207,Catalogo!$A$5:$A$905,0))=0,"",INDEX(Catalogo!$H$5:$H$905,MATCH(A207,Catalogo!$A$5:$A$905,0))))</f>
        <v>14895.165999999999</v>
      </c>
      <c r="H207" s="13" t="str">
        <f t="shared" si="18"/>
        <v/>
      </c>
      <c r="I207" s="6" t="str">
        <f t="shared" si="19"/>
        <v/>
      </c>
      <c r="J207" s="6" t="str">
        <f t="shared" si="20"/>
        <v/>
      </c>
      <c r="K207" s="6" t="str">
        <f t="shared" si="21"/>
        <v/>
      </c>
      <c r="L207" t="str">
        <f t="shared" si="22"/>
        <v>Completar precio unitario</v>
      </c>
      <c r="M207" t="s">
        <v>1839</v>
      </c>
      <c r="N207" s="18">
        <v>115</v>
      </c>
      <c r="O207">
        <v>2</v>
      </c>
      <c r="P207">
        <v>339</v>
      </c>
      <c r="Q207" s="6">
        <f t="shared" si="23"/>
        <v>2482.5276666666664</v>
      </c>
    </row>
    <row r="208" spans="1:17" ht="30" customHeight="1">
      <c r="A208" s="17" t="s">
        <v>62</v>
      </c>
      <c r="B208" s="5" t="str">
        <f>IF(A208="","",IF(COUNTIF(Catalogo!$A$5:$A$905,A208)=0,"SKU no encontrado",INDEX(Catalogo!$B$5:$B$905,MATCH(A208,Catalogo!$A$5:$A$905,0))))</f>
        <v>RED BULL CAN 6X4 250</v>
      </c>
      <c r="C208">
        <f>IF(OR(A208="",B208="SKU no encontrado"),"",INDEX(Catalogo!$C$5:$C$905,MATCH(A208,Catalogo!$A$5:$A$905,0)))</f>
        <v>24</v>
      </c>
      <c r="D208" s="19">
        <v>46683</v>
      </c>
      <c r="E208" s="20">
        <v>9</v>
      </c>
      <c r="F208" s="12"/>
      <c r="G208" s="6">
        <f>IF(OR(A208="",B208="SKU no encontrado"),"",IF(INDEX(Catalogo!$H$5:$H$905,MATCH(A208,Catalogo!$A$5:$A$905,0))=0,"",INDEX(Catalogo!$H$5:$H$905,MATCH(A208,Catalogo!$A$5:$A$905,0))))</f>
        <v>65853.251000000004</v>
      </c>
      <c r="H208" s="13" t="str">
        <f t="shared" si="18"/>
        <v/>
      </c>
      <c r="I208" s="6" t="str">
        <f t="shared" si="19"/>
        <v/>
      </c>
      <c r="J208" s="6" t="str">
        <f t="shared" si="20"/>
        <v/>
      </c>
      <c r="K208" s="6" t="str">
        <f t="shared" si="21"/>
        <v/>
      </c>
      <c r="L208" t="str">
        <f t="shared" si="22"/>
        <v>Completar precio unitario</v>
      </c>
      <c r="M208" t="s">
        <v>1839</v>
      </c>
      <c r="N208" s="18">
        <v>9</v>
      </c>
      <c r="O208">
        <v>2</v>
      </c>
      <c r="P208">
        <v>398</v>
      </c>
      <c r="Q208" s="6">
        <f t="shared" si="23"/>
        <v>2743.8854583333336</v>
      </c>
    </row>
    <row r="209" spans="1:17" ht="30" customHeight="1">
      <c r="A209" s="17" t="s">
        <v>62</v>
      </c>
      <c r="B209" s="5" t="str">
        <f>IF(A209="","",IF(COUNTIF(Catalogo!$A$5:$A$905,A209)=0,"SKU no encontrado",INDEX(Catalogo!$B$5:$B$905,MATCH(A209,Catalogo!$A$5:$A$905,0))))</f>
        <v>RED BULL CAN 6X4 250</v>
      </c>
      <c r="C209">
        <f>IF(OR(A209="",B209="SKU no encontrado"),"",INDEX(Catalogo!$C$5:$C$905,MATCH(A209,Catalogo!$A$5:$A$905,0)))</f>
        <v>24</v>
      </c>
      <c r="D209" s="19">
        <v>46719</v>
      </c>
      <c r="E209" s="20">
        <v>165</v>
      </c>
      <c r="F209" s="12"/>
      <c r="G209" s="6">
        <f>IF(OR(A209="",B209="SKU no encontrado"),"",IF(INDEX(Catalogo!$H$5:$H$905,MATCH(A209,Catalogo!$A$5:$A$905,0))=0,"",INDEX(Catalogo!$H$5:$H$905,MATCH(A209,Catalogo!$A$5:$A$905,0))))</f>
        <v>65853.251000000004</v>
      </c>
      <c r="H209" s="13" t="str">
        <f t="shared" si="18"/>
        <v/>
      </c>
      <c r="I209" s="6" t="str">
        <f t="shared" si="19"/>
        <v/>
      </c>
      <c r="J209" s="6" t="str">
        <f t="shared" si="20"/>
        <v/>
      </c>
      <c r="K209" s="6" t="str">
        <f t="shared" si="21"/>
        <v/>
      </c>
      <c r="L209" t="str">
        <f t="shared" si="22"/>
        <v>Completar precio unitario</v>
      </c>
      <c r="M209" t="s">
        <v>1839</v>
      </c>
      <c r="N209" s="18">
        <v>165</v>
      </c>
      <c r="O209">
        <v>3</v>
      </c>
      <c r="P209">
        <v>434</v>
      </c>
      <c r="Q209" s="6">
        <f t="shared" si="23"/>
        <v>2743.8854583333336</v>
      </c>
    </row>
    <row r="210" spans="1:17" ht="30" customHeight="1">
      <c r="A210" s="17" t="s">
        <v>601</v>
      </c>
      <c r="B210" s="5" t="str">
        <f>IF(A210="","",IF(COUNTIF(Catalogo!$A$5:$A$905,A210)=0,"SKU no encontrado",INDEX(Catalogo!$B$5:$B$905,MATCH(A210,Catalogo!$A$5:$A$905,0))))</f>
        <v>RED BULL REGULAR CAN 6X4 355CC</v>
      </c>
      <c r="C210">
        <f>IF(OR(A210="",B210="SKU no encontrado"),"",INDEX(Catalogo!$C$5:$C$905,MATCH(A210,Catalogo!$A$5:$A$905,0)))</f>
        <v>24</v>
      </c>
      <c r="D210" s="19">
        <v>46815</v>
      </c>
      <c r="E210" s="20">
        <v>83.666666666699996</v>
      </c>
      <c r="F210" s="12"/>
      <c r="G210" s="6">
        <f>IF(OR(A210="",B210="SKU no encontrado"),"",IF(INDEX(Catalogo!$H$5:$H$905,MATCH(A210,Catalogo!$A$5:$A$905,0))=0,"",INDEX(Catalogo!$H$5:$H$905,MATCH(A210,Catalogo!$A$5:$A$905,0))))</f>
        <v>88837.282999999996</v>
      </c>
      <c r="H210" s="13" t="str">
        <f t="shared" si="18"/>
        <v/>
      </c>
      <c r="I210" s="6" t="str">
        <f t="shared" si="19"/>
        <v/>
      </c>
      <c r="J210" s="6" t="str">
        <f t="shared" si="20"/>
        <v/>
      </c>
      <c r="K210" s="6" t="str">
        <f t="shared" si="21"/>
        <v/>
      </c>
      <c r="L210" t="str">
        <f t="shared" si="22"/>
        <v>Completar precio unitario</v>
      </c>
      <c r="M210" t="s">
        <v>1839</v>
      </c>
      <c r="N210" s="18">
        <v>83.666666666699996</v>
      </c>
      <c r="O210">
        <v>1</v>
      </c>
      <c r="P210">
        <v>530</v>
      </c>
      <c r="Q210" s="6">
        <f t="shared" si="23"/>
        <v>3701.5534583333333</v>
      </c>
    </row>
    <row r="211" spans="1:17" ht="30" customHeight="1">
      <c r="A211" s="17" t="s">
        <v>968</v>
      </c>
      <c r="B211" s="5" t="str">
        <f>IF(A211="","",IF(COUNTIF(Catalogo!$A$5:$A$905,A211)=0,"SKU no encontrado",INDEX(Catalogo!$B$5:$B$905,MATCH(A211,Catalogo!$A$5:$A$905,0))))</f>
        <v>3P - YERBA C/P PLAYADITO X5 1KG</v>
      </c>
      <c r="C211">
        <f>IF(OR(A211="",B211="SKU no encontrado"),"",INDEX(Catalogo!$C$5:$C$905,MATCH(A211,Catalogo!$A$5:$A$905,0)))</f>
        <v>5</v>
      </c>
      <c r="D211" s="19">
        <v>46865</v>
      </c>
      <c r="E211" s="20">
        <v>0.2</v>
      </c>
      <c r="F211" s="12"/>
      <c r="G211" s="6">
        <f>IF(OR(A211="",B211="SKU no encontrado"),"",IF(INDEX(Catalogo!$H$5:$H$905,MATCH(A211,Catalogo!$A$5:$A$905,0))=0,"",INDEX(Catalogo!$H$5:$H$905,MATCH(A211,Catalogo!$A$5:$A$905,0))))</f>
        <v>20714.312000000002</v>
      </c>
      <c r="H211" s="13" t="str">
        <f t="shared" si="18"/>
        <v/>
      </c>
      <c r="I211" s="6" t="str">
        <f t="shared" si="19"/>
        <v/>
      </c>
      <c r="J211" s="6" t="str">
        <f t="shared" si="20"/>
        <v/>
      </c>
      <c r="K211" s="6" t="str">
        <f t="shared" si="21"/>
        <v/>
      </c>
      <c r="L211" t="str">
        <f t="shared" si="22"/>
        <v>Completar precio unitario</v>
      </c>
      <c r="M211" t="s">
        <v>1839</v>
      </c>
      <c r="N211" s="18">
        <v>0.2</v>
      </c>
      <c r="O211">
        <v>1</v>
      </c>
      <c r="P211">
        <v>580</v>
      </c>
      <c r="Q211" s="6">
        <f t="shared" si="23"/>
        <v>4142.8624</v>
      </c>
    </row>
    <row r="212" spans="1:17" ht="30" customHeight="1">
      <c r="A212" s="17" t="s">
        <v>966</v>
      </c>
      <c r="B212" s="5" t="str">
        <f>IF(A212="","",IF(COUNTIF(Catalogo!$A$5:$A$905,A212)=0,"SKU no encontrado",INDEX(Catalogo!$B$5:$B$905,MATCH(A212,Catalogo!$A$5:$A$905,0))))</f>
        <v>3P-YERBA C/P PLAYADITO X10 500GR</v>
      </c>
      <c r="C212">
        <f>IF(OR(A212="",B212="SKU no encontrado"),"",INDEX(Catalogo!$C$5:$C$905,MATCH(A212,Catalogo!$A$5:$A$905,0)))</f>
        <v>10</v>
      </c>
      <c r="D212" s="19">
        <v>46866</v>
      </c>
      <c r="E212" s="20">
        <v>0.8</v>
      </c>
      <c r="F212" s="12"/>
      <c r="G212" s="6">
        <f>IF(OR(A212="",B212="SKU no encontrado"),"",IF(INDEX(Catalogo!$H$5:$H$905,MATCH(A212,Catalogo!$A$5:$A$905,0))=0,"",INDEX(Catalogo!$H$5:$H$905,MATCH(A212,Catalogo!$A$5:$A$905,0))))</f>
        <v>22158.899000000001</v>
      </c>
      <c r="H212" s="13" t="str">
        <f t="shared" si="18"/>
        <v/>
      </c>
      <c r="I212" s="6" t="str">
        <f t="shared" si="19"/>
        <v/>
      </c>
      <c r="J212" s="6" t="str">
        <f t="shared" si="20"/>
        <v/>
      </c>
      <c r="K212" s="6" t="str">
        <f t="shared" si="21"/>
        <v/>
      </c>
      <c r="L212" t="str">
        <f t="shared" si="22"/>
        <v>Completar precio unitario</v>
      </c>
      <c r="M212" t="s">
        <v>1839</v>
      </c>
      <c r="N212" s="18">
        <v>0.8</v>
      </c>
      <c r="O212">
        <v>1</v>
      </c>
      <c r="P212">
        <v>581</v>
      </c>
      <c r="Q212" s="6">
        <f t="shared" si="23"/>
        <v>2215.8899000000001</v>
      </c>
    </row>
    <row r="213" spans="1:17" ht="30" customHeight="1">
      <c r="A213" s="17" t="s">
        <v>760</v>
      </c>
      <c r="B213" s="5" t="str">
        <f>IF(A213="","",IF(COUNTIF(Catalogo!$A$5:$A$905,A213)=0,"SKU no encontrado",INDEX(Catalogo!$B$5:$B$905,MATCH(A213,Catalogo!$A$5:$A$905,0))))</f>
        <v>VINO MANDAMAS X12 1LT</v>
      </c>
      <c r="C213">
        <f>IF(OR(A213="",B213="SKU no encontrado"),"",INDEX(Catalogo!$C$5:$C$905,MATCH(A213,Catalogo!$A$5:$A$905,0)))</f>
        <v>12</v>
      </c>
      <c r="D213" s="19">
        <v>46891</v>
      </c>
      <c r="E213" s="20">
        <v>5</v>
      </c>
      <c r="F213" s="12"/>
      <c r="G213" s="6">
        <f>IF(OR(A213="",B213="SKU no encontrado"),"",IF(INDEX(Catalogo!$H$5:$H$905,MATCH(A213,Catalogo!$A$5:$A$905,0))=0,"",INDEX(Catalogo!$H$5:$H$905,MATCH(A213,Catalogo!$A$5:$A$905,0))))</f>
        <v>27335.563999999998</v>
      </c>
      <c r="H213" s="13" t="str">
        <f t="shared" si="18"/>
        <v/>
      </c>
      <c r="I213" s="6" t="str">
        <f t="shared" si="19"/>
        <v/>
      </c>
      <c r="J213" s="6" t="str">
        <f t="shared" si="20"/>
        <v/>
      </c>
      <c r="K213" s="6" t="str">
        <f t="shared" si="21"/>
        <v/>
      </c>
      <c r="L213" t="str">
        <f t="shared" si="22"/>
        <v>Completar precio unitario</v>
      </c>
      <c r="M213" t="s">
        <v>1839</v>
      </c>
      <c r="N213" s="18">
        <v>5</v>
      </c>
      <c r="O213">
        <v>1</v>
      </c>
      <c r="P213">
        <v>606</v>
      </c>
      <c r="Q213" s="6">
        <f t="shared" si="23"/>
        <v>2277.9636666666665</v>
      </c>
    </row>
    <row r="214" spans="1:17" ht="30" customHeight="1">
      <c r="A214" s="17" t="s">
        <v>674</v>
      </c>
      <c r="B214" s="5" t="str">
        <f>IF(A214="","",IF(COUNTIF(Catalogo!$A$5:$A$905,A214)=0,"SKU no encontrado",INDEX(Catalogo!$B$5:$B$905,MATCH(A214,Catalogo!$A$5:$A$905,0))))</f>
        <v>MIRINDA NARANJA PET X6 500CC</v>
      </c>
      <c r="C214">
        <f>IF(OR(A214="",B214="SKU no encontrado"),"",INDEX(Catalogo!$C$5:$C$905,MATCH(A214,Catalogo!$A$5:$A$905,0)))</f>
        <v>6</v>
      </c>
      <c r="D214" s="19">
        <v>46274</v>
      </c>
      <c r="E214" s="20">
        <v>4</v>
      </c>
      <c r="F214" s="12"/>
      <c r="G214" s="6">
        <f>IF(OR(A214="",B214="SKU no encontrado"),"",IF(INDEX(Catalogo!$H$5:$H$905,MATCH(A214,Catalogo!$A$5:$A$905,0))=0,"",INDEX(Catalogo!$H$5:$H$905,MATCH(A214,Catalogo!$A$5:$A$905,0))))</f>
        <v>10239.912</v>
      </c>
      <c r="H214" s="13" t="str">
        <f t="shared" si="18"/>
        <v/>
      </c>
      <c r="I214" s="6" t="str">
        <f t="shared" si="19"/>
        <v/>
      </c>
      <c r="J214" s="6" t="str">
        <f t="shared" si="20"/>
        <v/>
      </c>
      <c r="K214" s="6" t="str">
        <f t="shared" si="21"/>
        <v/>
      </c>
      <c r="L214" t="str">
        <f t="shared" si="22"/>
        <v>ELIMINAR según origen</v>
      </c>
      <c r="M214" t="s">
        <v>1840</v>
      </c>
      <c r="N214" s="18">
        <v>4</v>
      </c>
      <c r="O214">
        <v>1</v>
      </c>
      <c r="P214" t="s">
        <v>1841</v>
      </c>
      <c r="Q214" s="6">
        <f t="shared" si="23"/>
        <v>1706.652</v>
      </c>
    </row>
    <row r="215" spans="1:17" ht="30" customHeight="1">
      <c r="A215" s="17" t="s">
        <v>883</v>
      </c>
      <c r="B215" s="5" t="str">
        <f>IF(A215="","",IF(COUNTIF(Catalogo!$A$5:$A$905,A215)=0,"SKU no encontrado",INDEX(Catalogo!$B$5:$B$905,MATCH(A215,Catalogo!$A$5:$A$905,0))))</f>
        <v>ANDES ORIGEN RUBIA 2.0 RET X12 1000CC</v>
      </c>
      <c r="C215">
        <f>IF(OR(A215="",B215="SKU no encontrado"),"",INDEX(Catalogo!$C$5:$C$905,MATCH(A215,Catalogo!$A$5:$A$905,0)))</f>
        <v>12</v>
      </c>
      <c r="D215" s="19">
        <v>46284</v>
      </c>
      <c r="E215" s="20">
        <v>30.333333333300001</v>
      </c>
      <c r="F215" s="12"/>
      <c r="G215" s="6">
        <f>IF(OR(A215="",B215="SKU no encontrado"),"",IF(INDEX(Catalogo!$H$5:$H$905,MATCH(A215,Catalogo!$A$5:$A$905,0))=0,"",INDEX(Catalogo!$H$5:$H$905,MATCH(A215,Catalogo!$A$5:$A$905,0))))</f>
        <v>47326.294999999998</v>
      </c>
      <c r="H215" s="13" t="str">
        <f t="shared" si="18"/>
        <v/>
      </c>
      <c r="I215" s="6" t="str">
        <f t="shared" si="19"/>
        <v/>
      </c>
      <c r="J215" s="6" t="str">
        <f t="shared" si="20"/>
        <v/>
      </c>
      <c r="K215" s="6" t="str">
        <f t="shared" si="21"/>
        <v/>
      </c>
      <c r="L215" t="str">
        <f t="shared" si="22"/>
        <v>ELIMINAR según origen</v>
      </c>
      <c r="M215" t="s">
        <v>1840</v>
      </c>
      <c r="N215" s="18">
        <v>30.333333333300001</v>
      </c>
      <c r="O215">
        <v>1</v>
      </c>
      <c r="P215" t="s">
        <v>1841</v>
      </c>
      <c r="Q215" s="6">
        <f t="shared" si="23"/>
        <v>3943.8579166666664</v>
      </c>
    </row>
    <row r="218" spans="1:17">
      <c r="I218" t="s">
        <v>1842</v>
      </c>
      <c r="J218" s="14">
        <f>SUM(J5:J215)</f>
        <v>0</v>
      </c>
    </row>
  </sheetData>
  <conditionalFormatting sqref="M5:M215">
    <cfRule type="containsText" dxfId="2" priority="1" operator="containsText" text="ACCIONAR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Uso</vt:lpstr>
      <vt:lpstr>Simulador</vt:lpstr>
      <vt:lpstr>Catalogo</vt:lpstr>
      <vt:lpstr>Cruce</vt:lpstr>
      <vt:lpstr>Trelew</vt:lpstr>
      <vt:lpstr>Madryn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RIESGO TOMAS</cp:lastModifiedBy>
  <dcterms:modified xsi:type="dcterms:W3CDTF">2026-09-08T14:45:04Z</dcterms:modified>
</cp:coreProperties>
</file>